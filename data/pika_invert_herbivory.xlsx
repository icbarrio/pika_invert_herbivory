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reiknistofnun-my.sharepoint.com/personal/isabel_lbhi_is/Documents/ISABEL/R/pika_invert_herbivory/data/"/>
    </mc:Choice>
  </mc:AlternateContent>
  <xr:revisionPtr revIDLastSave="98" documentId="8_{AF040273-A1EF-4FF8-8998-A49B63555F9E}" xr6:coauthVersionLast="47" xr6:coauthVersionMax="47" xr10:uidLastSave="{2DF1BA07-F321-409D-A978-7FAF06AF6512}"/>
  <bookViews>
    <workbookView xWindow="28680" yWindow="-120" windowWidth="29040" windowHeight="15720" tabRatio="828" xr2:uid="{00000000-000D-0000-FFFF-FFFF00000000}"/>
  </bookViews>
  <sheets>
    <sheet name="notes" sheetId="2" r:id="rId1"/>
    <sheet name="haypiles_ORIGINAL" sheetId="1" r:id="rId2"/>
    <sheet name="point_intercept_ORIGINAL" sheetId="7" r:id="rId3"/>
  </sheets>
  <definedNames>
    <definedName name="_xlnm._FilterDatabase" localSheetId="2" hidden="1">point_intercept_ORIGINAL!$A$1:$A$5731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L5731" i="7" l="1"/>
  <c r="CK5731" i="7"/>
  <c r="CJ5731" i="7"/>
  <c r="CI5731" i="7"/>
  <c r="CH5731" i="7"/>
  <c r="CG5731" i="7"/>
  <c r="CF5731" i="7"/>
  <c r="CE5731" i="7"/>
  <c r="CD5731" i="7"/>
  <c r="CC5731" i="7"/>
  <c r="CB5731" i="7"/>
  <c r="CA5731" i="7"/>
  <c r="BZ5731" i="7"/>
  <c r="BY5731" i="7"/>
  <c r="BX5731" i="7"/>
  <c r="BW5731" i="7"/>
  <c r="BV5731" i="7"/>
  <c r="BU5731" i="7"/>
  <c r="BT5731" i="7"/>
  <c r="BS5731" i="7"/>
  <c r="BR5731" i="7"/>
  <c r="BQ5731" i="7"/>
  <c r="BP5731" i="7"/>
  <c r="BO5731" i="7"/>
  <c r="BN5731" i="7"/>
  <c r="BM5731" i="7"/>
  <c r="BL5731" i="7"/>
  <c r="BK5731" i="7"/>
  <c r="BJ5731" i="7"/>
  <c r="BI5731" i="7"/>
  <c r="BH5731" i="7"/>
  <c r="BG5731" i="7"/>
  <c r="BF5731" i="7"/>
  <c r="BE5731" i="7"/>
  <c r="BD5731" i="7"/>
  <c r="BC5731" i="7"/>
  <c r="BB5731" i="7"/>
  <c r="BA5731" i="7"/>
  <c r="AZ5731" i="7"/>
  <c r="AY5731" i="7"/>
  <c r="AX5731" i="7"/>
  <c r="AW5731" i="7"/>
  <c r="AV5731" i="7"/>
  <c r="AU5731" i="7"/>
  <c r="AT5731" i="7"/>
  <c r="AS5731" i="7"/>
  <c r="AR5731" i="7"/>
  <c r="AQ5731" i="7"/>
  <c r="AP5731" i="7"/>
  <c r="AO5731" i="7"/>
  <c r="AN5731" i="7"/>
  <c r="AM5731" i="7"/>
  <c r="AL5731" i="7"/>
  <c r="AK5731" i="7"/>
  <c r="AJ5731" i="7"/>
  <c r="AI5731" i="7"/>
  <c r="AH5731" i="7"/>
  <c r="AG5731" i="7"/>
  <c r="AF5731" i="7"/>
  <c r="AE5731" i="7"/>
  <c r="AD5731" i="7"/>
  <c r="AC5731" i="7"/>
  <c r="AB5731" i="7"/>
  <c r="AA5731" i="7"/>
  <c r="Z5731" i="7"/>
  <c r="Y5731" i="7"/>
  <c r="X5731" i="7"/>
  <c r="W5731" i="7"/>
  <c r="V5731" i="7"/>
  <c r="U5731" i="7"/>
  <c r="T5731" i="7"/>
  <c r="S5731" i="7"/>
  <c r="R5731" i="7"/>
  <c r="Q5731" i="7"/>
  <c r="P5731" i="7"/>
  <c r="O5731" i="7"/>
  <c r="N5731" i="7"/>
  <c r="M5731" i="7"/>
  <c r="L5731" i="7"/>
  <c r="K5731" i="7"/>
  <c r="J5731" i="7"/>
  <c r="I5731" i="7"/>
  <c r="H5731" i="7"/>
  <c r="G5731" i="7"/>
  <c r="CL5530" i="7"/>
  <c r="CK5530" i="7"/>
  <c r="CJ5530" i="7"/>
  <c r="CI5530" i="7"/>
  <c r="CH5530" i="7"/>
  <c r="CG5530" i="7"/>
  <c r="CF5530" i="7"/>
  <c r="CE5530" i="7"/>
  <c r="CD5530" i="7"/>
  <c r="CC5530" i="7"/>
  <c r="CB5530" i="7"/>
  <c r="CA5530" i="7"/>
  <c r="BZ5530" i="7"/>
  <c r="BY5530" i="7"/>
  <c r="BX5530" i="7"/>
  <c r="BW5530" i="7"/>
  <c r="BV5530" i="7"/>
  <c r="BU5530" i="7"/>
  <c r="BT5530" i="7"/>
  <c r="BS5530" i="7"/>
  <c r="BR5530" i="7"/>
  <c r="BQ5530" i="7"/>
  <c r="BP5530" i="7"/>
  <c r="BO5530" i="7"/>
  <c r="BN5530" i="7"/>
  <c r="BM5530" i="7"/>
  <c r="BL5530" i="7"/>
  <c r="BK5530" i="7"/>
  <c r="BJ5530" i="7"/>
  <c r="BI5530" i="7"/>
  <c r="BH5530" i="7"/>
  <c r="BG5530" i="7"/>
  <c r="BF5530" i="7"/>
  <c r="BE5530" i="7"/>
  <c r="BD5530" i="7"/>
  <c r="BC5530" i="7"/>
  <c r="BB5530" i="7"/>
  <c r="BA5530" i="7"/>
  <c r="AZ5530" i="7"/>
  <c r="AY5530" i="7"/>
  <c r="AX5530" i="7"/>
  <c r="AW5530" i="7"/>
  <c r="AV5530" i="7"/>
  <c r="AU5530" i="7"/>
  <c r="AT5530" i="7"/>
  <c r="AS5530" i="7"/>
  <c r="AR5530" i="7"/>
  <c r="AQ5530" i="7"/>
  <c r="AP5530" i="7"/>
  <c r="AO5530" i="7"/>
  <c r="AN5530" i="7"/>
  <c r="AM5530" i="7"/>
  <c r="AL5530" i="7"/>
  <c r="AK5530" i="7"/>
  <c r="AJ5530" i="7"/>
  <c r="AI5530" i="7"/>
  <c r="AH5530" i="7"/>
  <c r="AG5530" i="7"/>
  <c r="AF5530" i="7"/>
  <c r="AE5530" i="7"/>
  <c r="AD5530" i="7"/>
  <c r="AC5530" i="7"/>
  <c r="AB5530" i="7"/>
  <c r="AA5530" i="7"/>
  <c r="Z5530" i="7"/>
  <c r="Y5530" i="7"/>
  <c r="X5530" i="7"/>
  <c r="W5530" i="7"/>
  <c r="V5530" i="7"/>
  <c r="U5530" i="7"/>
  <c r="T5530" i="7"/>
  <c r="S5530" i="7"/>
  <c r="R5530" i="7"/>
  <c r="Q5530" i="7"/>
  <c r="P5530" i="7"/>
  <c r="O5530" i="7"/>
  <c r="N5530" i="7"/>
  <c r="M5530" i="7"/>
  <c r="L5530" i="7"/>
  <c r="K5530" i="7"/>
  <c r="J5530" i="7"/>
  <c r="I5530" i="7"/>
  <c r="H5530" i="7"/>
  <c r="G5530" i="7"/>
  <c r="CL5329" i="7"/>
  <c r="CK5329" i="7"/>
  <c r="CJ5329" i="7"/>
  <c r="CI5329" i="7"/>
  <c r="CH5329" i="7"/>
  <c r="CG5329" i="7"/>
  <c r="CF5329" i="7"/>
  <c r="CE5329" i="7"/>
  <c r="CD5329" i="7"/>
  <c r="CC5329" i="7"/>
  <c r="CB5329" i="7"/>
  <c r="CA5329" i="7"/>
  <c r="BZ5329" i="7"/>
  <c r="BY5329" i="7"/>
  <c r="BX5329" i="7"/>
  <c r="BW5329" i="7"/>
  <c r="BV5329" i="7"/>
  <c r="BU5329" i="7"/>
  <c r="BT5329" i="7"/>
  <c r="BS5329" i="7"/>
  <c r="BR5329" i="7"/>
  <c r="BQ5329" i="7"/>
  <c r="BP5329" i="7"/>
  <c r="BO5329" i="7"/>
  <c r="BN5329" i="7"/>
  <c r="BM5329" i="7"/>
  <c r="BL5329" i="7"/>
  <c r="BK5329" i="7"/>
  <c r="BJ5329" i="7"/>
  <c r="BI5329" i="7"/>
  <c r="BH5329" i="7"/>
  <c r="BG5329" i="7"/>
  <c r="BF5329" i="7"/>
  <c r="BE5329" i="7"/>
  <c r="BD5329" i="7"/>
  <c r="BC5329" i="7"/>
  <c r="BB5329" i="7"/>
  <c r="BA5329" i="7"/>
  <c r="AZ5329" i="7"/>
  <c r="AY5329" i="7"/>
  <c r="AX5329" i="7"/>
  <c r="AW5329" i="7"/>
  <c r="AV5329" i="7"/>
  <c r="AU5329" i="7"/>
  <c r="AT5329" i="7"/>
  <c r="AS5329" i="7"/>
  <c r="AR5329" i="7"/>
  <c r="AQ5329" i="7"/>
  <c r="AP5329" i="7"/>
  <c r="AO5329" i="7"/>
  <c r="AN5329" i="7"/>
  <c r="AM5329" i="7"/>
  <c r="AL5329" i="7"/>
  <c r="AK5329" i="7"/>
  <c r="AJ5329" i="7"/>
  <c r="AI5329" i="7"/>
  <c r="AH5329" i="7"/>
  <c r="AG5329" i="7"/>
  <c r="AF5329" i="7"/>
  <c r="AE5329" i="7"/>
  <c r="AD5329" i="7"/>
  <c r="AC5329" i="7"/>
  <c r="AB5329" i="7"/>
  <c r="AA5329" i="7"/>
  <c r="Z5329" i="7"/>
  <c r="Y5329" i="7"/>
  <c r="X5329" i="7"/>
  <c r="W5329" i="7"/>
  <c r="V5329" i="7"/>
  <c r="U5329" i="7"/>
  <c r="T5329" i="7"/>
  <c r="S5329" i="7"/>
  <c r="R5329" i="7"/>
  <c r="Q5329" i="7"/>
  <c r="P5329" i="7"/>
  <c r="O5329" i="7"/>
  <c r="N5329" i="7"/>
  <c r="M5329" i="7"/>
  <c r="L5329" i="7"/>
  <c r="K5329" i="7"/>
  <c r="J5329" i="7"/>
  <c r="I5329" i="7"/>
  <c r="H5329" i="7"/>
  <c r="G5329" i="7"/>
  <c r="CL5128" i="7"/>
  <c r="CK5128" i="7"/>
  <c r="CJ5128" i="7"/>
  <c r="CI5128" i="7"/>
  <c r="CH5128" i="7"/>
  <c r="CG5128" i="7"/>
  <c r="CF5128" i="7"/>
  <c r="CE5128" i="7"/>
  <c r="CD5128" i="7"/>
  <c r="CC5128" i="7"/>
  <c r="CB5128" i="7"/>
  <c r="CA5128" i="7"/>
  <c r="BZ5128" i="7"/>
  <c r="BY5128" i="7"/>
  <c r="BX5128" i="7"/>
  <c r="BW5128" i="7"/>
  <c r="BV5128" i="7"/>
  <c r="BU5128" i="7"/>
  <c r="BT5128" i="7"/>
  <c r="BS5128" i="7"/>
  <c r="BR5128" i="7"/>
  <c r="BQ5128" i="7"/>
  <c r="BP5128" i="7"/>
  <c r="BO5128" i="7"/>
  <c r="BN5128" i="7"/>
  <c r="BM5128" i="7"/>
  <c r="BL5128" i="7"/>
  <c r="BK5128" i="7"/>
  <c r="BJ5128" i="7"/>
  <c r="BI5128" i="7"/>
  <c r="BH5128" i="7"/>
  <c r="BG5128" i="7"/>
  <c r="BF5128" i="7"/>
  <c r="BE5128" i="7"/>
  <c r="BD5128" i="7"/>
  <c r="BC5128" i="7"/>
  <c r="BB5128" i="7"/>
  <c r="BA5128" i="7"/>
  <c r="AZ5128" i="7"/>
  <c r="AY5128" i="7"/>
  <c r="AX5128" i="7"/>
  <c r="AW5128" i="7"/>
  <c r="AV5128" i="7"/>
  <c r="AU5128" i="7"/>
  <c r="AT5128" i="7"/>
  <c r="AS5128" i="7"/>
  <c r="AR5128" i="7"/>
  <c r="AQ5128" i="7"/>
  <c r="AP5128" i="7"/>
  <c r="AO5128" i="7"/>
  <c r="AN5128" i="7"/>
  <c r="AM5128" i="7"/>
  <c r="AL5128" i="7"/>
  <c r="AK5128" i="7"/>
  <c r="AJ5128" i="7"/>
  <c r="AI5128" i="7"/>
  <c r="AH5128" i="7"/>
  <c r="AG5128" i="7"/>
  <c r="AF5128" i="7"/>
  <c r="AE5128" i="7"/>
  <c r="AD5128" i="7"/>
  <c r="AC5128" i="7"/>
  <c r="AB5128" i="7"/>
  <c r="AA5128" i="7"/>
  <c r="Z5128" i="7"/>
  <c r="Y5128" i="7"/>
  <c r="X5128" i="7"/>
  <c r="W5128" i="7"/>
  <c r="V5128" i="7"/>
  <c r="U5128" i="7"/>
  <c r="T5128" i="7"/>
  <c r="S5128" i="7"/>
  <c r="R5128" i="7"/>
  <c r="Q5128" i="7"/>
  <c r="P5128" i="7"/>
  <c r="O5128" i="7"/>
  <c r="N5128" i="7"/>
  <c r="M5128" i="7"/>
  <c r="L5128" i="7"/>
  <c r="K5128" i="7"/>
  <c r="J5128" i="7"/>
  <c r="I5128" i="7"/>
  <c r="H5128" i="7"/>
  <c r="G5128" i="7"/>
  <c r="CL4927" i="7"/>
  <c r="CK4927" i="7"/>
  <c r="CJ4927" i="7"/>
  <c r="CI4927" i="7"/>
  <c r="CH4927" i="7"/>
  <c r="CG4927" i="7"/>
  <c r="CF4927" i="7"/>
  <c r="CE4927" i="7"/>
  <c r="CD4927" i="7"/>
  <c r="CC4927" i="7"/>
  <c r="CB4927" i="7"/>
  <c r="CA4927" i="7"/>
  <c r="BZ4927" i="7"/>
  <c r="BY4927" i="7"/>
  <c r="BX4927" i="7"/>
  <c r="BW4927" i="7"/>
  <c r="BV4927" i="7"/>
  <c r="BU4927" i="7"/>
  <c r="BT4927" i="7"/>
  <c r="BS4927" i="7"/>
  <c r="BR4927" i="7"/>
  <c r="BQ4927" i="7"/>
  <c r="BP4927" i="7"/>
  <c r="BO4927" i="7"/>
  <c r="BN4927" i="7"/>
  <c r="BM4927" i="7"/>
  <c r="BL4927" i="7"/>
  <c r="BK4927" i="7"/>
  <c r="BJ4927" i="7"/>
  <c r="BI4927" i="7"/>
  <c r="BH4927" i="7"/>
  <c r="BG4927" i="7"/>
  <c r="BF4927" i="7"/>
  <c r="BE4927" i="7"/>
  <c r="BD4927" i="7"/>
  <c r="BC4927" i="7"/>
  <c r="BB4927" i="7"/>
  <c r="BA4927" i="7"/>
  <c r="AZ4927" i="7"/>
  <c r="AY4927" i="7"/>
  <c r="AX4927" i="7"/>
  <c r="AW4927" i="7"/>
  <c r="AV4927" i="7"/>
  <c r="AU4927" i="7"/>
  <c r="AT4927" i="7"/>
  <c r="AS4927" i="7"/>
  <c r="AR4927" i="7"/>
  <c r="AQ4927" i="7"/>
  <c r="AP4927" i="7"/>
  <c r="AO4927" i="7"/>
  <c r="AN4927" i="7"/>
  <c r="AM4927" i="7"/>
  <c r="AL4927" i="7"/>
  <c r="AK4927" i="7"/>
  <c r="AJ4927" i="7"/>
  <c r="AI4927" i="7"/>
  <c r="AH4927" i="7"/>
  <c r="AG4927" i="7"/>
  <c r="AF4927" i="7"/>
  <c r="AE4927" i="7"/>
  <c r="AD4927" i="7"/>
  <c r="AC4927" i="7"/>
  <c r="AB4927" i="7"/>
  <c r="AA4927" i="7"/>
  <c r="Z4927" i="7"/>
  <c r="Y4927" i="7"/>
  <c r="X4927" i="7"/>
  <c r="W4927" i="7"/>
  <c r="V4927" i="7"/>
  <c r="U4927" i="7"/>
  <c r="T4927" i="7"/>
  <c r="S4927" i="7"/>
  <c r="R4927" i="7"/>
  <c r="Q4927" i="7"/>
  <c r="P4927" i="7"/>
  <c r="O4927" i="7"/>
  <c r="N4927" i="7"/>
  <c r="M4927" i="7"/>
  <c r="L4927" i="7"/>
  <c r="K4927" i="7"/>
  <c r="J4927" i="7"/>
  <c r="I4927" i="7"/>
  <c r="H4927" i="7"/>
  <c r="G4927" i="7"/>
  <c r="CL4726" i="7"/>
  <c r="CK4726" i="7"/>
  <c r="CJ4726" i="7"/>
  <c r="CI4726" i="7"/>
  <c r="CH4726" i="7"/>
  <c r="CG4726" i="7"/>
  <c r="CF4726" i="7"/>
  <c r="CE4726" i="7"/>
  <c r="CD4726" i="7"/>
  <c r="CC4726" i="7"/>
  <c r="CB4726" i="7"/>
  <c r="CA4726" i="7"/>
  <c r="BZ4726" i="7"/>
  <c r="BY4726" i="7"/>
  <c r="BX4726" i="7"/>
  <c r="BW4726" i="7"/>
  <c r="BV4726" i="7"/>
  <c r="BU4726" i="7"/>
  <c r="BT4726" i="7"/>
  <c r="BS4726" i="7"/>
  <c r="BR4726" i="7"/>
  <c r="BQ4726" i="7"/>
  <c r="BP4726" i="7"/>
  <c r="BO4726" i="7"/>
  <c r="BN4726" i="7"/>
  <c r="BM4726" i="7"/>
  <c r="BL4726" i="7"/>
  <c r="BK4726" i="7"/>
  <c r="BJ4726" i="7"/>
  <c r="BI4726" i="7"/>
  <c r="BH4726" i="7"/>
  <c r="BG4726" i="7"/>
  <c r="BF4726" i="7"/>
  <c r="BE4726" i="7"/>
  <c r="BD4726" i="7"/>
  <c r="BC4726" i="7"/>
  <c r="BB4726" i="7"/>
  <c r="BA4726" i="7"/>
  <c r="AZ4726" i="7"/>
  <c r="AY4726" i="7"/>
  <c r="AX4726" i="7"/>
  <c r="AW4726" i="7"/>
  <c r="AV4726" i="7"/>
  <c r="AU4726" i="7"/>
  <c r="AT4726" i="7"/>
  <c r="AS4726" i="7"/>
  <c r="AR4726" i="7"/>
  <c r="AQ4726" i="7"/>
  <c r="AP4726" i="7"/>
  <c r="AO4726" i="7"/>
  <c r="AN4726" i="7"/>
  <c r="AM4726" i="7"/>
  <c r="AL4726" i="7"/>
  <c r="AK4726" i="7"/>
  <c r="AJ4726" i="7"/>
  <c r="AI4726" i="7"/>
  <c r="AH4726" i="7"/>
  <c r="AG4726" i="7"/>
  <c r="AF4726" i="7"/>
  <c r="AE4726" i="7"/>
  <c r="AD4726" i="7"/>
  <c r="AC4726" i="7"/>
  <c r="AB4726" i="7"/>
  <c r="AA4726" i="7"/>
  <c r="Z4726" i="7"/>
  <c r="Y4726" i="7"/>
  <c r="X4726" i="7"/>
  <c r="W4726" i="7"/>
  <c r="V4726" i="7"/>
  <c r="U4726" i="7"/>
  <c r="T4726" i="7"/>
  <c r="S4726" i="7"/>
  <c r="R4726" i="7"/>
  <c r="Q4726" i="7"/>
  <c r="P4726" i="7"/>
  <c r="O4726" i="7"/>
  <c r="N4726" i="7"/>
  <c r="M4726" i="7"/>
  <c r="L4726" i="7"/>
  <c r="K4726" i="7"/>
  <c r="J4726" i="7"/>
  <c r="I4726" i="7"/>
  <c r="H4726" i="7"/>
  <c r="G4726" i="7"/>
  <c r="CL4525" i="7"/>
  <c r="CK4525" i="7"/>
  <c r="CJ4525" i="7"/>
  <c r="CI4525" i="7"/>
  <c r="CH4525" i="7"/>
  <c r="CG4525" i="7"/>
  <c r="CF4525" i="7"/>
  <c r="CE4525" i="7"/>
  <c r="CD4525" i="7"/>
  <c r="CC4525" i="7"/>
  <c r="CB4525" i="7"/>
  <c r="CA4525" i="7"/>
  <c r="BZ4525" i="7"/>
  <c r="BY4525" i="7"/>
  <c r="BX4525" i="7"/>
  <c r="BW4525" i="7"/>
  <c r="BV4525" i="7"/>
  <c r="BU4525" i="7"/>
  <c r="BT4525" i="7"/>
  <c r="BS4525" i="7"/>
  <c r="BR4525" i="7"/>
  <c r="BQ4525" i="7"/>
  <c r="BP4525" i="7"/>
  <c r="BO4525" i="7"/>
  <c r="BN4525" i="7"/>
  <c r="BM4525" i="7"/>
  <c r="BL4525" i="7"/>
  <c r="BK4525" i="7"/>
  <c r="BJ4525" i="7"/>
  <c r="BI4525" i="7"/>
  <c r="BH4525" i="7"/>
  <c r="BG4525" i="7"/>
  <c r="BF4525" i="7"/>
  <c r="BE4525" i="7"/>
  <c r="BD4525" i="7"/>
  <c r="BC4525" i="7"/>
  <c r="BB4525" i="7"/>
  <c r="BA4525" i="7"/>
  <c r="AZ4525" i="7"/>
  <c r="AY4525" i="7"/>
  <c r="AX4525" i="7"/>
  <c r="AW4525" i="7"/>
  <c r="AV4525" i="7"/>
  <c r="AU4525" i="7"/>
  <c r="AT4525" i="7"/>
  <c r="AS4525" i="7"/>
  <c r="AR4525" i="7"/>
  <c r="AQ4525" i="7"/>
  <c r="AP4525" i="7"/>
  <c r="AO4525" i="7"/>
  <c r="AN4525" i="7"/>
  <c r="AM4525" i="7"/>
  <c r="AL4525" i="7"/>
  <c r="AK4525" i="7"/>
  <c r="AJ4525" i="7"/>
  <c r="AI4525" i="7"/>
  <c r="AH4525" i="7"/>
  <c r="AG4525" i="7"/>
  <c r="AF4525" i="7"/>
  <c r="AE4525" i="7"/>
  <c r="AD4525" i="7"/>
  <c r="AC4525" i="7"/>
  <c r="AB4525" i="7"/>
  <c r="AA4525" i="7"/>
  <c r="Z4525" i="7"/>
  <c r="Y4525" i="7"/>
  <c r="X4525" i="7"/>
  <c r="W4525" i="7"/>
  <c r="V4525" i="7"/>
  <c r="U4525" i="7"/>
  <c r="T4525" i="7"/>
  <c r="S4525" i="7"/>
  <c r="R4525" i="7"/>
  <c r="Q4525" i="7"/>
  <c r="P4525" i="7"/>
  <c r="O4525" i="7"/>
  <c r="N4525" i="7"/>
  <c r="M4525" i="7"/>
  <c r="L4525" i="7"/>
  <c r="K4525" i="7"/>
  <c r="J4525" i="7"/>
  <c r="I4525" i="7"/>
  <c r="H4525" i="7"/>
  <c r="G4525" i="7"/>
  <c r="CL4324" i="7"/>
  <c r="CK4324" i="7"/>
  <c r="CJ4324" i="7"/>
  <c r="CI4324" i="7"/>
  <c r="CH4324" i="7"/>
  <c r="CG4324" i="7"/>
  <c r="CF4324" i="7"/>
  <c r="CE4324" i="7"/>
  <c r="CD4324" i="7"/>
  <c r="CC4324" i="7"/>
  <c r="CB4324" i="7"/>
  <c r="CA4324" i="7"/>
  <c r="BZ4324" i="7"/>
  <c r="BY4324" i="7"/>
  <c r="BX4324" i="7"/>
  <c r="BW4324" i="7"/>
  <c r="BV4324" i="7"/>
  <c r="BU4324" i="7"/>
  <c r="BT4324" i="7"/>
  <c r="BS4324" i="7"/>
  <c r="BR4324" i="7"/>
  <c r="BQ4324" i="7"/>
  <c r="BP4324" i="7"/>
  <c r="BO4324" i="7"/>
  <c r="BN4324" i="7"/>
  <c r="BM4324" i="7"/>
  <c r="BL4324" i="7"/>
  <c r="BK4324" i="7"/>
  <c r="BJ4324" i="7"/>
  <c r="BI4324" i="7"/>
  <c r="BH4324" i="7"/>
  <c r="BG4324" i="7"/>
  <c r="BF4324" i="7"/>
  <c r="BE4324" i="7"/>
  <c r="BD4324" i="7"/>
  <c r="BC4324" i="7"/>
  <c r="BB4324" i="7"/>
  <c r="BA4324" i="7"/>
  <c r="AZ4324" i="7"/>
  <c r="AY4324" i="7"/>
  <c r="AX4324" i="7"/>
  <c r="AW4324" i="7"/>
  <c r="AV4324" i="7"/>
  <c r="AU4324" i="7"/>
  <c r="AT4324" i="7"/>
  <c r="AS4324" i="7"/>
  <c r="AR4324" i="7"/>
  <c r="AQ4324" i="7"/>
  <c r="AP4324" i="7"/>
  <c r="AO4324" i="7"/>
  <c r="AN4324" i="7"/>
  <c r="AM4324" i="7"/>
  <c r="AL4324" i="7"/>
  <c r="AK4324" i="7"/>
  <c r="AJ4324" i="7"/>
  <c r="AI4324" i="7"/>
  <c r="AH4324" i="7"/>
  <c r="AG4324" i="7"/>
  <c r="AF4324" i="7"/>
  <c r="AE4324" i="7"/>
  <c r="AD4324" i="7"/>
  <c r="AC4324" i="7"/>
  <c r="AB4324" i="7"/>
  <c r="AA4324" i="7"/>
  <c r="Z4324" i="7"/>
  <c r="Y4324" i="7"/>
  <c r="X4324" i="7"/>
  <c r="W4324" i="7"/>
  <c r="V4324" i="7"/>
  <c r="U4324" i="7"/>
  <c r="T4324" i="7"/>
  <c r="S4324" i="7"/>
  <c r="R4324" i="7"/>
  <c r="Q4324" i="7"/>
  <c r="P4324" i="7"/>
  <c r="O4324" i="7"/>
  <c r="N4324" i="7"/>
  <c r="M4324" i="7"/>
  <c r="L4324" i="7"/>
  <c r="K4324" i="7"/>
  <c r="J4324" i="7"/>
  <c r="I4324" i="7"/>
  <c r="H4324" i="7"/>
  <c r="G4324" i="7"/>
  <c r="G4123" i="7"/>
  <c r="H4123" i="7"/>
  <c r="I4123" i="7"/>
  <c r="J4123" i="7"/>
  <c r="K4123" i="7"/>
  <c r="L4123" i="7"/>
  <c r="M4123" i="7"/>
  <c r="N4123" i="7"/>
  <c r="O4123" i="7"/>
  <c r="P4123" i="7"/>
  <c r="Q4123" i="7"/>
  <c r="R4123" i="7"/>
  <c r="S4123" i="7"/>
  <c r="T4123" i="7"/>
  <c r="U4123" i="7"/>
  <c r="V4123" i="7"/>
  <c r="W4123" i="7"/>
  <c r="X4123" i="7"/>
  <c r="Y4123" i="7"/>
  <c r="Z4123" i="7"/>
  <c r="AA4123" i="7"/>
  <c r="AB4123" i="7"/>
  <c r="AC4123" i="7"/>
  <c r="AD4123" i="7"/>
  <c r="AE4123" i="7"/>
  <c r="AF4123" i="7"/>
  <c r="AG4123" i="7"/>
  <c r="AH4123" i="7"/>
  <c r="AI4123" i="7"/>
  <c r="AJ4123" i="7"/>
  <c r="AK4123" i="7"/>
  <c r="AL4123" i="7"/>
  <c r="AM4123" i="7"/>
  <c r="AN4123" i="7"/>
  <c r="AO4123" i="7"/>
  <c r="AP4123" i="7"/>
  <c r="AQ4123" i="7"/>
  <c r="AR4123" i="7"/>
  <c r="AS4123" i="7"/>
  <c r="AT4123" i="7"/>
  <c r="AU4123" i="7"/>
  <c r="AV4123" i="7"/>
  <c r="AW4123" i="7"/>
  <c r="AX4123" i="7"/>
  <c r="AY4123" i="7"/>
  <c r="AZ4123" i="7"/>
  <c r="BA4123" i="7"/>
  <c r="BB4123" i="7"/>
  <c r="BC4123" i="7"/>
  <c r="BD4123" i="7"/>
  <c r="BE4123" i="7"/>
  <c r="BF4123" i="7"/>
  <c r="BG4123" i="7"/>
  <c r="BH4123" i="7"/>
  <c r="BI4123" i="7"/>
  <c r="BJ4123" i="7"/>
  <c r="BK4123" i="7"/>
  <c r="BL4123" i="7"/>
  <c r="BM4123" i="7"/>
  <c r="BN4123" i="7"/>
  <c r="BO4123" i="7"/>
  <c r="BP4123" i="7"/>
  <c r="BQ4123" i="7"/>
  <c r="BR4123" i="7"/>
  <c r="BS4123" i="7"/>
  <c r="BT4123" i="7"/>
  <c r="BU4123" i="7"/>
  <c r="BV4123" i="7"/>
  <c r="BW4123" i="7"/>
  <c r="BX4123" i="7"/>
  <c r="BY4123" i="7"/>
  <c r="BZ4123" i="7"/>
  <c r="CA4123" i="7"/>
  <c r="CB4123" i="7"/>
  <c r="CC4123" i="7"/>
  <c r="CD4123" i="7"/>
  <c r="CE4123" i="7"/>
  <c r="CF4123" i="7"/>
  <c r="CG4123" i="7"/>
  <c r="CH4123" i="7"/>
  <c r="CI4123" i="7"/>
  <c r="CJ4123" i="7"/>
  <c r="CK4123" i="7"/>
  <c r="CL4123" i="7"/>
  <c r="CL3922" i="7"/>
  <c r="CK3922" i="7"/>
  <c r="CJ3922" i="7"/>
  <c r="CI3922" i="7"/>
  <c r="CH3922" i="7"/>
  <c r="CG3922" i="7"/>
  <c r="CF3922" i="7"/>
  <c r="CE3922" i="7"/>
  <c r="CD3922" i="7"/>
  <c r="CC3922" i="7"/>
  <c r="CB3922" i="7"/>
  <c r="CA3922" i="7"/>
  <c r="BZ3922" i="7"/>
  <c r="BY3922" i="7"/>
  <c r="BX3922" i="7"/>
  <c r="BW3922" i="7"/>
  <c r="BV3922" i="7"/>
  <c r="BU3922" i="7"/>
  <c r="BT3922" i="7"/>
  <c r="BS3922" i="7"/>
  <c r="BR3922" i="7"/>
  <c r="BQ3922" i="7"/>
  <c r="BP3922" i="7"/>
  <c r="BO3922" i="7"/>
  <c r="BN3922" i="7"/>
  <c r="BM3922" i="7"/>
  <c r="BL3922" i="7"/>
  <c r="BK3922" i="7"/>
  <c r="BJ3922" i="7"/>
  <c r="BI3922" i="7"/>
  <c r="BH3922" i="7"/>
  <c r="BG3922" i="7"/>
  <c r="BF3922" i="7"/>
  <c r="BE3922" i="7"/>
  <c r="BD3922" i="7"/>
  <c r="BC3922" i="7"/>
  <c r="BB3922" i="7"/>
  <c r="BA3922" i="7"/>
  <c r="AZ3922" i="7"/>
  <c r="AY3922" i="7"/>
  <c r="AX3922" i="7"/>
  <c r="AW3922" i="7"/>
  <c r="AV3922" i="7"/>
  <c r="AU3922" i="7"/>
  <c r="AT3922" i="7"/>
  <c r="AS3922" i="7"/>
  <c r="AR3922" i="7"/>
  <c r="AQ3922" i="7"/>
  <c r="AP3922" i="7"/>
  <c r="AO3922" i="7"/>
  <c r="AN3922" i="7"/>
  <c r="AM3922" i="7"/>
  <c r="AL3922" i="7"/>
  <c r="AK3922" i="7"/>
  <c r="AJ3922" i="7"/>
  <c r="AI3922" i="7"/>
  <c r="AH3922" i="7"/>
  <c r="AG3922" i="7"/>
  <c r="AF3922" i="7"/>
  <c r="AE3922" i="7"/>
  <c r="AD3922" i="7"/>
  <c r="AC3922" i="7"/>
  <c r="AB3922" i="7"/>
  <c r="AA3922" i="7"/>
  <c r="Z3922" i="7"/>
  <c r="Y3922" i="7"/>
  <c r="X3922" i="7"/>
  <c r="W3922" i="7"/>
  <c r="V3922" i="7"/>
  <c r="U3922" i="7"/>
  <c r="T3922" i="7"/>
  <c r="S3922" i="7"/>
  <c r="R3922" i="7"/>
  <c r="Q3922" i="7"/>
  <c r="P3922" i="7"/>
  <c r="O3922" i="7"/>
  <c r="N3922" i="7"/>
  <c r="M3922" i="7"/>
  <c r="L3922" i="7"/>
  <c r="K3922" i="7"/>
  <c r="J3922" i="7"/>
  <c r="I3922" i="7"/>
  <c r="H3922" i="7"/>
  <c r="G3922" i="7"/>
  <c r="CL3721" i="7"/>
  <c r="CK3721" i="7"/>
  <c r="CJ3721" i="7"/>
  <c r="CI3721" i="7"/>
  <c r="CH3721" i="7"/>
  <c r="CG3721" i="7"/>
  <c r="CF3721" i="7"/>
  <c r="CE3721" i="7"/>
  <c r="CD3721" i="7"/>
  <c r="CC3721" i="7"/>
  <c r="CB3721" i="7"/>
  <c r="CA3721" i="7"/>
  <c r="BZ3721" i="7"/>
  <c r="BY3721" i="7"/>
  <c r="BX3721" i="7"/>
  <c r="BW3721" i="7"/>
  <c r="BV3721" i="7"/>
  <c r="BU3721" i="7"/>
  <c r="BT3721" i="7"/>
  <c r="BS3721" i="7"/>
  <c r="BR3721" i="7"/>
  <c r="BQ3721" i="7"/>
  <c r="BP3721" i="7"/>
  <c r="BO3721" i="7"/>
  <c r="BN3721" i="7"/>
  <c r="BM3721" i="7"/>
  <c r="BL3721" i="7"/>
  <c r="BK3721" i="7"/>
  <c r="BJ3721" i="7"/>
  <c r="BI3721" i="7"/>
  <c r="BH3721" i="7"/>
  <c r="BG3721" i="7"/>
  <c r="BF3721" i="7"/>
  <c r="BE3721" i="7"/>
  <c r="BD3721" i="7"/>
  <c r="BC3721" i="7"/>
  <c r="BB3721" i="7"/>
  <c r="BA3721" i="7"/>
  <c r="AZ3721" i="7"/>
  <c r="AY3721" i="7"/>
  <c r="AX3721" i="7"/>
  <c r="AW3721" i="7"/>
  <c r="AV3721" i="7"/>
  <c r="AU3721" i="7"/>
  <c r="AT3721" i="7"/>
  <c r="AS3721" i="7"/>
  <c r="AR3721" i="7"/>
  <c r="AQ3721" i="7"/>
  <c r="AP3721" i="7"/>
  <c r="AO3721" i="7"/>
  <c r="AN3721" i="7"/>
  <c r="AM3721" i="7"/>
  <c r="AL3721" i="7"/>
  <c r="AK3721" i="7"/>
  <c r="AJ3721" i="7"/>
  <c r="AI3721" i="7"/>
  <c r="AH3721" i="7"/>
  <c r="AG3721" i="7"/>
  <c r="AF3721" i="7"/>
  <c r="AE3721" i="7"/>
  <c r="AD3721" i="7"/>
  <c r="AC3721" i="7"/>
  <c r="AB3721" i="7"/>
  <c r="AA3721" i="7"/>
  <c r="Z3721" i="7"/>
  <c r="Y3721" i="7"/>
  <c r="X3721" i="7"/>
  <c r="W3721" i="7"/>
  <c r="V3721" i="7"/>
  <c r="U3721" i="7"/>
  <c r="T3721" i="7"/>
  <c r="S3721" i="7"/>
  <c r="R3721" i="7"/>
  <c r="Q3721" i="7"/>
  <c r="P3721" i="7"/>
  <c r="O3721" i="7"/>
  <c r="N3721" i="7"/>
  <c r="M3721" i="7"/>
  <c r="L3721" i="7"/>
  <c r="K3721" i="7"/>
  <c r="J3721" i="7"/>
  <c r="I3721" i="7"/>
  <c r="H3721" i="7"/>
  <c r="G3721" i="7"/>
  <c r="H3319" i="7"/>
  <c r="I3319" i="7"/>
  <c r="J3319" i="7"/>
  <c r="K3319" i="7"/>
  <c r="L3319" i="7"/>
  <c r="M3319" i="7"/>
  <c r="N3319" i="7"/>
  <c r="O3319" i="7"/>
  <c r="P3319" i="7"/>
  <c r="Q3319" i="7"/>
  <c r="R3319" i="7"/>
  <c r="S3319" i="7"/>
  <c r="T3319" i="7"/>
  <c r="U3319" i="7"/>
  <c r="V3319" i="7"/>
  <c r="W3319" i="7"/>
  <c r="X3319" i="7"/>
  <c r="Y3319" i="7"/>
  <c r="Z3319" i="7"/>
  <c r="AA3319" i="7"/>
  <c r="AB3319" i="7"/>
  <c r="AC3319" i="7"/>
  <c r="AD3319" i="7"/>
  <c r="AE3319" i="7"/>
  <c r="AF3319" i="7"/>
  <c r="AG3319" i="7"/>
  <c r="AH3319" i="7"/>
  <c r="AI3319" i="7"/>
  <c r="AJ3319" i="7"/>
  <c r="AK3319" i="7"/>
  <c r="AL3319" i="7"/>
  <c r="AM3319" i="7"/>
  <c r="AN3319" i="7"/>
  <c r="AO3319" i="7"/>
  <c r="AP3319" i="7"/>
  <c r="AQ3319" i="7"/>
  <c r="AR3319" i="7"/>
  <c r="AS3319" i="7"/>
  <c r="AT3319" i="7"/>
  <c r="AU3319" i="7"/>
  <c r="AV3319" i="7"/>
  <c r="AW3319" i="7"/>
  <c r="AX3319" i="7"/>
  <c r="AY3319" i="7"/>
  <c r="AZ3319" i="7"/>
  <c r="BA3319" i="7"/>
  <c r="BB3319" i="7"/>
  <c r="BC3319" i="7"/>
  <c r="BD3319" i="7"/>
  <c r="BE3319" i="7"/>
  <c r="BF3319" i="7"/>
  <c r="BG3319" i="7"/>
  <c r="BH3319" i="7"/>
  <c r="BI3319" i="7"/>
  <c r="BJ3319" i="7"/>
  <c r="BK3319" i="7"/>
  <c r="BL3319" i="7"/>
  <c r="BM3319" i="7"/>
  <c r="BN3319" i="7"/>
  <c r="BO3319" i="7"/>
  <c r="BP3319" i="7"/>
  <c r="BQ3319" i="7"/>
  <c r="BR3319" i="7"/>
  <c r="BS3319" i="7"/>
  <c r="BT3319" i="7"/>
  <c r="BU3319" i="7"/>
  <c r="BV3319" i="7"/>
  <c r="BW3319" i="7"/>
  <c r="BX3319" i="7"/>
  <c r="BY3319" i="7"/>
  <c r="BZ3319" i="7"/>
  <c r="CA3319" i="7"/>
  <c r="CB3319" i="7"/>
  <c r="CC3319" i="7"/>
  <c r="CD3319" i="7"/>
  <c r="CE3319" i="7"/>
  <c r="CF3319" i="7"/>
  <c r="CG3319" i="7"/>
  <c r="CH3319" i="7"/>
  <c r="CI3319" i="7"/>
  <c r="CJ3319" i="7"/>
  <c r="CK3319" i="7"/>
  <c r="CL3319" i="7"/>
  <c r="G3319" i="7"/>
  <c r="CL3520" i="7"/>
  <c r="CK3520" i="7"/>
  <c r="CJ3520" i="7"/>
  <c r="CI3520" i="7"/>
  <c r="CH3520" i="7"/>
  <c r="CG3520" i="7"/>
  <c r="CF3520" i="7"/>
  <c r="CE3520" i="7"/>
  <c r="CD3520" i="7"/>
  <c r="CC3520" i="7"/>
  <c r="CB3520" i="7"/>
  <c r="CA3520" i="7"/>
  <c r="BZ3520" i="7"/>
  <c r="BY3520" i="7"/>
  <c r="BX3520" i="7"/>
  <c r="BW3520" i="7"/>
  <c r="BV3520" i="7"/>
  <c r="BU3520" i="7"/>
  <c r="BT3520" i="7"/>
  <c r="BS3520" i="7"/>
  <c r="BR3520" i="7"/>
  <c r="BQ3520" i="7"/>
  <c r="BP3520" i="7"/>
  <c r="BO3520" i="7"/>
  <c r="BN3520" i="7"/>
  <c r="BM3520" i="7"/>
  <c r="BL3520" i="7"/>
  <c r="BK3520" i="7"/>
  <c r="BJ3520" i="7"/>
  <c r="BI3520" i="7"/>
  <c r="BH3520" i="7"/>
  <c r="BG3520" i="7"/>
  <c r="BF3520" i="7"/>
  <c r="BE3520" i="7"/>
  <c r="BD3520" i="7"/>
  <c r="BC3520" i="7"/>
  <c r="BB3520" i="7"/>
  <c r="BA3520" i="7"/>
  <c r="AZ3520" i="7"/>
  <c r="AY3520" i="7"/>
  <c r="AX3520" i="7"/>
  <c r="AW3520" i="7"/>
  <c r="AV3520" i="7"/>
  <c r="AU3520" i="7"/>
  <c r="AT3520" i="7"/>
  <c r="AS3520" i="7"/>
  <c r="AR3520" i="7"/>
  <c r="AQ3520" i="7"/>
  <c r="AP3520" i="7"/>
  <c r="AO3520" i="7"/>
  <c r="AN3520" i="7"/>
  <c r="AM3520" i="7"/>
  <c r="AL3520" i="7"/>
  <c r="AK3520" i="7"/>
  <c r="AJ3520" i="7"/>
  <c r="AI3520" i="7"/>
  <c r="AH3520" i="7"/>
  <c r="AG3520" i="7"/>
  <c r="AF3520" i="7"/>
  <c r="AE3520" i="7"/>
  <c r="AD3520" i="7"/>
  <c r="AC3520" i="7"/>
  <c r="AB3520" i="7"/>
  <c r="AA3520" i="7"/>
  <c r="Z3520" i="7"/>
  <c r="Y3520" i="7"/>
  <c r="X3520" i="7"/>
  <c r="W3520" i="7"/>
  <c r="V3520" i="7"/>
  <c r="U3520" i="7"/>
  <c r="T3520" i="7"/>
  <c r="S3520" i="7"/>
  <c r="R3520" i="7"/>
  <c r="Q3520" i="7"/>
  <c r="P3520" i="7"/>
  <c r="O3520" i="7"/>
  <c r="N3520" i="7"/>
  <c r="M3520" i="7"/>
  <c r="L3520" i="7"/>
  <c r="K3520" i="7"/>
  <c r="J3520" i="7"/>
  <c r="I3520" i="7"/>
  <c r="H3520" i="7"/>
  <c r="G3520" i="7"/>
  <c r="CL3218" i="7"/>
  <c r="CK3218" i="7"/>
  <c r="CJ3218" i="7"/>
  <c r="CI3218" i="7"/>
  <c r="CH3218" i="7"/>
  <c r="CG3218" i="7"/>
  <c r="CF3218" i="7"/>
  <c r="CE3218" i="7"/>
  <c r="CD3218" i="7"/>
  <c r="CC3218" i="7"/>
  <c r="CB3218" i="7"/>
  <c r="CA3218" i="7"/>
  <c r="BZ3218" i="7"/>
  <c r="BY3218" i="7"/>
  <c r="BX3218" i="7"/>
  <c r="BW3218" i="7"/>
  <c r="BV3218" i="7"/>
  <c r="BU3218" i="7"/>
  <c r="BT3218" i="7"/>
  <c r="BS3218" i="7"/>
  <c r="BR3218" i="7"/>
  <c r="BQ3218" i="7"/>
  <c r="BP3218" i="7"/>
  <c r="BO3218" i="7"/>
  <c r="BN3218" i="7"/>
  <c r="BM3218" i="7"/>
  <c r="BL3218" i="7"/>
  <c r="BK3218" i="7"/>
  <c r="BJ3218" i="7"/>
  <c r="BI3218" i="7"/>
  <c r="BH3218" i="7"/>
  <c r="BG3218" i="7"/>
  <c r="BF3218" i="7"/>
  <c r="BE3218" i="7"/>
  <c r="BD3218" i="7"/>
  <c r="BC3218" i="7"/>
  <c r="BB3218" i="7"/>
  <c r="BA3218" i="7"/>
  <c r="AZ3218" i="7"/>
  <c r="AY3218" i="7"/>
  <c r="AX3218" i="7"/>
  <c r="AW3218" i="7"/>
  <c r="AV3218" i="7"/>
  <c r="AU3218" i="7"/>
  <c r="AT3218" i="7"/>
  <c r="AS3218" i="7"/>
  <c r="AR3218" i="7"/>
  <c r="AQ3218" i="7"/>
  <c r="AP3218" i="7"/>
  <c r="AO3218" i="7"/>
  <c r="AN3218" i="7"/>
  <c r="AM3218" i="7"/>
  <c r="AL3218" i="7"/>
  <c r="AK3218" i="7"/>
  <c r="AJ3218" i="7"/>
  <c r="AI3218" i="7"/>
  <c r="AH3218" i="7"/>
  <c r="AG3218" i="7"/>
  <c r="AF3218" i="7"/>
  <c r="AE3218" i="7"/>
  <c r="AD3218" i="7"/>
  <c r="AC3218" i="7"/>
  <c r="AB3218" i="7"/>
  <c r="AA3218" i="7"/>
  <c r="Z3218" i="7"/>
  <c r="Y3218" i="7"/>
  <c r="X3218" i="7"/>
  <c r="W3218" i="7"/>
  <c r="V3218" i="7"/>
  <c r="U3218" i="7"/>
  <c r="T3218" i="7"/>
  <c r="S3218" i="7"/>
  <c r="R3218" i="7"/>
  <c r="Q3218" i="7"/>
  <c r="P3218" i="7"/>
  <c r="O3218" i="7"/>
  <c r="N3218" i="7"/>
  <c r="M3218" i="7"/>
  <c r="L3218" i="7"/>
  <c r="K3218" i="7"/>
  <c r="J3218" i="7"/>
  <c r="I3218" i="7"/>
  <c r="H3218" i="7"/>
  <c r="G3218" i="7"/>
  <c r="CL3017" i="7"/>
  <c r="CK3017" i="7"/>
  <c r="CJ3017" i="7"/>
  <c r="CI3017" i="7"/>
  <c r="CH3017" i="7"/>
  <c r="CG3017" i="7"/>
  <c r="CF3017" i="7"/>
  <c r="CE3017" i="7"/>
  <c r="CD3017" i="7"/>
  <c r="CC3017" i="7"/>
  <c r="CB3017" i="7"/>
  <c r="CA3017" i="7"/>
  <c r="BZ3017" i="7"/>
  <c r="BY3017" i="7"/>
  <c r="BX3017" i="7"/>
  <c r="BW3017" i="7"/>
  <c r="BV3017" i="7"/>
  <c r="BU3017" i="7"/>
  <c r="BT3017" i="7"/>
  <c r="BS3017" i="7"/>
  <c r="BR3017" i="7"/>
  <c r="BQ3017" i="7"/>
  <c r="BP3017" i="7"/>
  <c r="BO3017" i="7"/>
  <c r="BN3017" i="7"/>
  <c r="BM3017" i="7"/>
  <c r="BL3017" i="7"/>
  <c r="BK3017" i="7"/>
  <c r="BJ3017" i="7"/>
  <c r="BI3017" i="7"/>
  <c r="BH3017" i="7"/>
  <c r="BG3017" i="7"/>
  <c r="BF3017" i="7"/>
  <c r="BE3017" i="7"/>
  <c r="BD3017" i="7"/>
  <c r="BC3017" i="7"/>
  <c r="BB3017" i="7"/>
  <c r="BA3017" i="7"/>
  <c r="AZ3017" i="7"/>
  <c r="AY3017" i="7"/>
  <c r="AX3017" i="7"/>
  <c r="AW3017" i="7"/>
  <c r="AV3017" i="7"/>
  <c r="AU3017" i="7"/>
  <c r="AT3017" i="7"/>
  <c r="AS3017" i="7"/>
  <c r="AR3017" i="7"/>
  <c r="AQ3017" i="7"/>
  <c r="AP3017" i="7"/>
  <c r="AO3017" i="7"/>
  <c r="AN3017" i="7"/>
  <c r="AM3017" i="7"/>
  <c r="AL3017" i="7"/>
  <c r="AK3017" i="7"/>
  <c r="AJ3017" i="7"/>
  <c r="AI3017" i="7"/>
  <c r="AH3017" i="7"/>
  <c r="AG3017" i="7"/>
  <c r="AF3017" i="7"/>
  <c r="AE3017" i="7"/>
  <c r="AD3017" i="7"/>
  <c r="AC3017" i="7"/>
  <c r="AB3017" i="7"/>
  <c r="AA3017" i="7"/>
  <c r="Z3017" i="7"/>
  <c r="Y3017" i="7"/>
  <c r="X3017" i="7"/>
  <c r="W3017" i="7"/>
  <c r="V3017" i="7"/>
  <c r="U3017" i="7"/>
  <c r="T3017" i="7"/>
  <c r="S3017" i="7"/>
  <c r="R3017" i="7"/>
  <c r="Q3017" i="7"/>
  <c r="P3017" i="7"/>
  <c r="O3017" i="7"/>
  <c r="N3017" i="7"/>
  <c r="M3017" i="7"/>
  <c r="L3017" i="7"/>
  <c r="K3017" i="7"/>
  <c r="J3017" i="7"/>
  <c r="I3017" i="7"/>
  <c r="H3017" i="7"/>
  <c r="G3017" i="7"/>
  <c r="CL2816" i="7"/>
  <c r="CK2816" i="7"/>
  <c r="CJ2816" i="7"/>
  <c r="CI2816" i="7"/>
  <c r="CH2816" i="7"/>
  <c r="CG2816" i="7"/>
  <c r="CF2816" i="7"/>
  <c r="CE2816" i="7"/>
  <c r="CD2816" i="7"/>
  <c r="CC2816" i="7"/>
  <c r="CB2816" i="7"/>
  <c r="CA2816" i="7"/>
  <c r="BZ2816" i="7"/>
  <c r="BY2816" i="7"/>
  <c r="BX2816" i="7"/>
  <c r="BW2816" i="7"/>
  <c r="BV2816" i="7"/>
  <c r="BU2816" i="7"/>
  <c r="BT2816" i="7"/>
  <c r="BS2816" i="7"/>
  <c r="BR2816" i="7"/>
  <c r="BQ2816" i="7"/>
  <c r="BP2816" i="7"/>
  <c r="BO2816" i="7"/>
  <c r="BN2816" i="7"/>
  <c r="BM2816" i="7"/>
  <c r="BL2816" i="7"/>
  <c r="BK2816" i="7"/>
  <c r="BJ2816" i="7"/>
  <c r="BI2816" i="7"/>
  <c r="BH2816" i="7"/>
  <c r="BG2816" i="7"/>
  <c r="BF2816" i="7"/>
  <c r="BE2816" i="7"/>
  <c r="BD2816" i="7"/>
  <c r="BC2816" i="7"/>
  <c r="BB2816" i="7"/>
  <c r="BA2816" i="7"/>
  <c r="AZ2816" i="7"/>
  <c r="AY2816" i="7"/>
  <c r="AX2816" i="7"/>
  <c r="AW2816" i="7"/>
  <c r="AV2816" i="7"/>
  <c r="AU2816" i="7"/>
  <c r="AT2816" i="7"/>
  <c r="AS2816" i="7"/>
  <c r="AR2816" i="7"/>
  <c r="AQ2816" i="7"/>
  <c r="AP2816" i="7"/>
  <c r="AO2816" i="7"/>
  <c r="AN2816" i="7"/>
  <c r="AM2816" i="7"/>
  <c r="AL2816" i="7"/>
  <c r="AK2816" i="7"/>
  <c r="AJ2816" i="7"/>
  <c r="AI2816" i="7"/>
  <c r="AH2816" i="7"/>
  <c r="AG2816" i="7"/>
  <c r="AF2816" i="7"/>
  <c r="AE2816" i="7"/>
  <c r="AD2816" i="7"/>
  <c r="AC2816" i="7"/>
  <c r="AB2816" i="7"/>
  <c r="AA2816" i="7"/>
  <c r="Z2816" i="7"/>
  <c r="Y2816" i="7"/>
  <c r="X2816" i="7"/>
  <c r="W2816" i="7"/>
  <c r="V2816" i="7"/>
  <c r="U2816" i="7"/>
  <c r="T2816" i="7"/>
  <c r="S2816" i="7"/>
  <c r="R2816" i="7"/>
  <c r="Q2816" i="7"/>
  <c r="P2816" i="7"/>
  <c r="O2816" i="7"/>
  <c r="N2816" i="7"/>
  <c r="M2816" i="7"/>
  <c r="L2816" i="7"/>
  <c r="K2816" i="7"/>
  <c r="J2816" i="7"/>
  <c r="I2816" i="7"/>
  <c r="H2816" i="7"/>
  <c r="G2816" i="7"/>
  <c r="CL2615" i="7"/>
  <c r="CK2615" i="7"/>
  <c r="CJ2615" i="7"/>
  <c r="CI2615" i="7"/>
  <c r="CH2615" i="7"/>
  <c r="CG2615" i="7"/>
  <c r="CF2615" i="7"/>
  <c r="CE2615" i="7"/>
  <c r="CD2615" i="7"/>
  <c r="CC2615" i="7"/>
  <c r="CB2615" i="7"/>
  <c r="CA2615" i="7"/>
  <c r="BZ2615" i="7"/>
  <c r="BY2615" i="7"/>
  <c r="BX2615" i="7"/>
  <c r="BW2615" i="7"/>
  <c r="BV2615" i="7"/>
  <c r="BU2615" i="7"/>
  <c r="BT2615" i="7"/>
  <c r="BS2615" i="7"/>
  <c r="BR2615" i="7"/>
  <c r="BQ2615" i="7"/>
  <c r="BP2615" i="7"/>
  <c r="BO2615" i="7"/>
  <c r="BN2615" i="7"/>
  <c r="BM2615" i="7"/>
  <c r="BL2615" i="7"/>
  <c r="BK2615" i="7"/>
  <c r="BJ2615" i="7"/>
  <c r="BI2615" i="7"/>
  <c r="BH2615" i="7"/>
  <c r="BG2615" i="7"/>
  <c r="BF2615" i="7"/>
  <c r="BE2615" i="7"/>
  <c r="BD2615" i="7"/>
  <c r="BC2615" i="7"/>
  <c r="BB2615" i="7"/>
  <c r="BA2615" i="7"/>
  <c r="AZ2615" i="7"/>
  <c r="AY2615" i="7"/>
  <c r="AX2615" i="7"/>
  <c r="AW2615" i="7"/>
  <c r="AV2615" i="7"/>
  <c r="AU2615" i="7"/>
  <c r="AT2615" i="7"/>
  <c r="AS2615" i="7"/>
  <c r="AR2615" i="7"/>
  <c r="AQ2615" i="7"/>
  <c r="AP2615" i="7"/>
  <c r="AO2615" i="7"/>
  <c r="AN2615" i="7"/>
  <c r="AM2615" i="7"/>
  <c r="AL2615" i="7"/>
  <c r="AK2615" i="7"/>
  <c r="AJ2615" i="7"/>
  <c r="AI2615" i="7"/>
  <c r="AH2615" i="7"/>
  <c r="AG2615" i="7"/>
  <c r="AF2615" i="7"/>
  <c r="AE2615" i="7"/>
  <c r="AD2615" i="7"/>
  <c r="AC2615" i="7"/>
  <c r="AB2615" i="7"/>
  <c r="AA2615" i="7"/>
  <c r="Z2615" i="7"/>
  <c r="Y2615" i="7"/>
  <c r="X2615" i="7"/>
  <c r="W2615" i="7"/>
  <c r="V2615" i="7"/>
  <c r="U2615" i="7"/>
  <c r="T2615" i="7"/>
  <c r="S2615" i="7"/>
  <c r="R2615" i="7"/>
  <c r="Q2615" i="7"/>
  <c r="P2615" i="7"/>
  <c r="O2615" i="7"/>
  <c r="N2615" i="7"/>
  <c r="M2615" i="7"/>
  <c r="L2615" i="7"/>
  <c r="K2615" i="7"/>
  <c r="J2615" i="7"/>
  <c r="I2615" i="7"/>
  <c r="H2615" i="7"/>
  <c r="G2615" i="7"/>
  <c r="CL2112" i="7"/>
  <c r="CK2112" i="7"/>
  <c r="CJ2112" i="7"/>
  <c r="CI2112" i="7"/>
  <c r="CH2112" i="7"/>
  <c r="CG2112" i="7"/>
  <c r="CF2112" i="7"/>
  <c r="CE2112" i="7"/>
  <c r="CD2112" i="7"/>
  <c r="CC2112" i="7"/>
  <c r="CB2112" i="7"/>
  <c r="CA2112" i="7"/>
  <c r="BZ2112" i="7"/>
  <c r="BY2112" i="7"/>
  <c r="BX2112" i="7"/>
  <c r="BW2112" i="7"/>
  <c r="BV2112" i="7"/>
  <c r="BU2112" i="7"/>
  <c r="BT2112" i="7"/>
  <c r="BS2112" i="7"/>
  <c r="BR2112" i="7"/>
  <c r="BQ2112" i="7"/>
  <c r="BP2112" i="7"/>
  <c r="BO2112" i="7"/>
  <c r="BN2112" i="7"/>
  <c r="BM2112" i="7"/>
  <c r="BL2112" i="7"/>
  <c r="BK2112" i="7"/>
  <c r="BJ2112" i="7"/>
  <c r="BI2112" i="7"/>
  <c r="BH2112" i="7"/>
  <c r="BG2112" i="7"/>
  <c r="BF2112" i="7"/>
  <c r="BE2112" i="7"/>
  <c r="BD2112" i="7"/>
  <c r="BC2112" i="7"/>
  <c r="BB2112" i="7"/>
  <c r="BA2112" i="7"/>
  <c r="AZ2112" i="7"/>
  <c r="AY2112" i="7"/>
  <c r="AX2112" i="7"/>
  <c r="AW2112" i="7"/>
  <c r="AV2112" i="7"/>
  <c r="AU2112" i="7"/>
  <c r="AT2112" i="7"/>
  <c r="AS2112" i="7"/>
  <c r="AR2112" i="7"/>
  <c r="AQ2112" i="7"/>
  <c r="AP2112" i="7"/>
  <c r="AO2112" i="7"/>
  <c r="AN2112" i="7"/>
  <c r="AM2112" i="7"/>
  <c r="AL2112" i="7"/>
  <c r="AK2112" i="7"/>
  <c r="AJ2112" i="7"/>
  <c r="AI2112" i="7"/>
  <c r="AH2112" i="7"/>
  <c r="AG2112" i="7"/>
  <c r="AF2112" i="7"/>
  <c r="AE2112" i="7"/>
  <c r="AD2112" i="7"/>
  <c r="AC2112" i="7"/>
  <c r="AB2112" i="7"/>
  <c r="AA2112" i="7"/>
  <c r="Z2112" i="7"/>
  <c r="Y2112" i="7"/>
  <c r="X2112" i="7"/>
  <c r="W2112" i="7"/>
  <c r="V2112" i="7"/>
  <c r="U2112" i="7"/>
  <c r="T2112" i="7"/>
  <c r="S2112" i="7"/>
  <c r="R2112" i="7"/>
  <c r="Q2112" i="7"/>
  <c r="P2112" i="7"/>
  <c r="O2112" i="7"/>
  <c r="N2112" i="7"/>
  <c r="M2112" i="7"/>
  <c r="L2112" i="7"/>
  <c r="K2112" i="7"/>
  <c r="J2112" i="7"/>
  <c r="I2112" i="7"/>
  <c r="H2112" i="7"/>
  <c r="G2112" i="7"/>
  <c r="H2213" i="7"/>
  <c r="I2213" i="7"/>
  <c r="J2213" i="7"/>
  <c r="K2213" i="7"/>
  <c r="L2213" i="7"/>
  <c r="M2213" i="7"/>
  <c r="N2213" i="7"/>
  <c r="O2213" i="7"/>
  <c r="P2213" i="7"/>
  <c r="Q2213" i="7"/>
  <c r="R2213" i="7"/>
  <c r="S2213" i="7"/>
  <c r="T2213" i="7"/>
  <c r="U2213" i="7"/>
  <c r="V2213" i="7"/>
  <c r="W2213" i="7"/>
  <c r="X2213" i="7"/>
  <c r="Y2213" i="7"/>
  <c r="Z2213" i="7"/>
  <c r="AA2213" i="7"/>
  <c r="AB2213" i="7"/>
  <c r="AC2213" i="7"/>
  <c r="AD2213" i="7"/>
  <c r="AE2213" i="7"/>
  <c r="AF2213" i="7"/>
  <c r="AG2213" i="7"/>
  <c r="AH2213" i="7"/>
  <c r="AI2213" i="7"/>
  <c r="AJ2213" i="7"/>
  <c r="AK2213" i="7"/>
  <c r="AL2213" i="7"/>
  <c r="AM2213" i="7"/>
  <c r="AN2213" i="7"/>
  <c r="AO2213" i="7"/>
  <c r="AP2213" i="7"/>
  <c r="AQ2213" i="7"/>
  <c r="AR2213" i="7"/>
  <c r="AS2213" i="7"/>
  <c r="AT2213" i="7"/>
  <c r="AU2213" i="7"/>
  <c r="AV2213" i="7"/>
  <c r="AW2213" i="7"/>
  <c r="AX2213" i="7"/>
  <c r="AY2213" i="7"/>
  <c r="AZ2213" i="7"/>
  <c r="BA2213" i="7"/>
  <c r="BB2213" i="7"/>
  <c r="BC2213" i="7"/>
  <c r="BD2213" i="7"/>
  <c r="BE2213" i="7"/>
  <c r="BF2213" i="7"/>
  <c r="BG2213" i="7"/>
  <c r="BH2213" i="7"/>
  <c r="BI2213" i="7"/>
  <c r="BJ2213" i="7"/>
  <c r="BK2213" i="7"/>
  <c r="BL2213" i="7"/>
  <c r="BM2213" i="7"/>
  <c r="BN2213" i="7"/>
  <c r="BO2213" i="7"/>
  <c r="BP2213" i="7"/>
  <c r="BQ2213" i="7"/>
  <c r="BR2213" i="7"/>
  <c r="BS2213" i="7"/>
  <c r="BT2213" i="7"/>
  <c r="BU2213" i="7"/>
  <c r="BV2213" i="7"/>
  <c r="BW2213" i="7"/>
  <c r="BX2213" i="7"/>
  <c r="BY2213" i="7"/>
  <c r="BZ2213" i="7"/>
  <c r="CA2213" i="7"/>
  <c r="CB2213" i="7"/>
  <c r="CC2213" i="7"/>
  <c r="CD2213" i="7"/>
  <c r="CE2213" i="7"/>
  <c r="CF2213" i="7"/>
  <c r="CG2213" i="7"/>
  <c r="CH2213" i="7"/>
  <c r="CI2213" i="7"/>
  <c r="CJ2213" i="7"/>
  <c r="CK2213" i="7"/>
  <c r="CL2213" i="7"/>
  <c r="G2213" i="7"/>
  <c r="CL2414" i="7"/>
  <c r="CK2414" i="7"/>
  <c r="CJ2414" i="7"/>
  <c r="CI2414" i="7"/>
  <c r="CH2414" i="7"/>
  <c r="CG2414" i="7"/>
  <c r="CF2414" i="7"/>
  <c r="CE2414" i="7"/>
  <c r="CD2414" i="7"/>
  <c r="CC2414" i="7"/>
  <c r="CB2414" i="7"/>
  <c r="CA2414" i="7"/>
  <c r="BZ2414" i="7"/>
  <c r="BY2414" i="7"/>
  <c r="BX2414" i="7"/>
  <c r="BW2414" i="7"/>
  <c r="BV2414" i="7"/>
  <c r="BU2414" i="7"/>
  <c r="BT2414" i="7"/>
  <c r="BS2414" i="7"/>
  <c r="BR2414" i="7"/>
  <c r="BQ2414" i="7"/>
  <c r="BP2414" i="7"/>
  <c r="BO2414" i="7"/>
  <c r="BN2414" i="7"/>
  <c r="BM2414" i="7"/>
  <c r="BL2414" i="7"/>
  <c r="BK2414" i="7"/>
  <c r="BJ2414" i="7"/>
  <c r="BI2414" i="7"/>
  <c r="BH2414" i="7"/>
  <c r="BG2414" i="7"/>
  <c r="BF2414" i="7"/>
  <c r="BE2414" i="7"/>
  <c r="BD2414" i="7"/>
  <c r="BC2414" i="7"/>
  <c r="BB2414" i="7"/>
  <c r="BA2414" i="7"/>
  <c r="AZ2414" i="7"/>
  <c r="AY2414" i="7"/>
  <c r="AX2414" i="7"/>
  <c r="AW2414" i="7"/>
  <c r="AV2414" i="7"/>
  <c r="AU2414" i="7"/>
  <c r="AT2414" i="7"/>
  <c r="AS2414" i="7"/>
  <c r="AR2414" i="7"/>
  <c r="AQ2414" i="7"/>
  <c r="AP2414" i="7"/>
  <c r="AO2414" i="7"/>
  <c r="AN2414" i="7"/>
  <c r="AM2414" i="7"/>
  <c r="AL2414" i="7"/>
  <c r="AK2414" i="7"/>
  <c r="AJ2414" i="7"/>
  <c r="AI2414" i="7"/>
  <c r="AH2414" i="7"/>
  <c r="AG2414" i="7"/>
  <c r="AF2414" i="7"/>
  <c r="AE2414" i="7"/>
  <c r="AD2414" i="7"/>
  <c r="AC2414" i="7"/>
  <c r="AB2414" i="7"/>
  <c r="AA2414" i="7"/>
  <c r="Z2414" i="7"/>
  <c r="Y2414" i="7"/>
  <c r="X2414" i="7"/>
  <c r="W2414" i="7"/>
  <c r="V2414" i="7"/>
  <c r="U2414" i="7"/>
  <c r="T2414" i="7"/>
  <c r="S2414" i="7"/>
  <c r="R2414" i="7"/>
  <c r="Q2414" i="7"/>
  <c r="P2414" i="7"/>
  <c r="O2414" i="7"/>
  <c r="N2414" i="7"/>
  <c r="M2414" i="7"/>
  <c r="L2414" i="7"/>
  <c r="K2414" i="7"/>
  <c r="J2414" i="7"/>
  <c r="I2414" i="7"/>
  <c r="H2414" i="7"/>
  <c r="G2414" i="7"/>
  <c r="CL2011" i="7"/>
  <c r="CK2011" i="7"/>
  <c r="CJ2011" i="7"/>
  <c r="CI2011" i="7"/>
  <c r="CH2011" i="7"/>
  <c r="CG2011" i="7"/>
  <c r="CF2011" i="7"/>
  <c r="CE2011" i="7"/>
  <c r="CD2011" i="7"/>
  <c r="CC2011" i="7"/>
  <c r="CB2011" i="7"/>
  <c r="CA2011" i="7"/>
  <c r="BZ2011" i="7"/>
  <c r="BY2011" i="7"/>
  <c r="BX2011" i="7"/>
  <c r="BW2011" i="7"/>
  <c r="BV2011" i="7"/>
  <c r="BU2011" i="7"/>
  <c r="BT2011" i="7"/>
  <c r="BS2011" i="7"/>
  <c r="BR2011" i="7"/>
  <c r="BQ2011" i="7"/>
  <c r="BP2011" i="7"/>
  <c r="BO2011" i="7"/>
  <c r="BN2011" i="7"/>
  <c r="BM2011" i="7"/>
  <c r="BL2011" i="7"/>
  <c r="BK2011" i="7"/>
  <c r="BJ2011" i="7"/>
  <c r="BI2011" i="7"/>
  <c r="BH2011" i="7"/>
  <c r="BG2011" i="7"/>
  <c r="BF2011" i="7"/>
  <c r="BE2011" i="7"/>
  <c r="BD2011" i="7"/>
  <c r="BC2011" i="7"/>
  <c r="BB2011" i="7"/>
  <c r="BA2011" i="7"/>
  <c r="AZ2011" i="7"/>
  <c r="AY2011" i="7"/>
  <c r="AX2011" i="7"/>
  <c r="AW2011" i="7"/>
  <c r="AV2011" i="7"/>
  <c r="AU2011" i="7"/>
  <c r="AT2011" i="7"/>
  <c r="AS2011" i="7"/>
  <c r="AR2011" i="7"/>
  <c r="AQ2011" i="7"/>
  <c r="AP2011" i="7"/>
  <c r="AO2011" i="7"/>
  <c r="AN2011" i="7"/>
  <c r="AM2011" i="7"/>
  <c r="AL2011" i="7"/>
  <c r="AK2011" i="7"/>
  <c r="AJ2011" i="7"/>
  <c r="AI2011" i="7"/>
  <c r="AH2011" i="7"/>
  <c r="AG2011" i="7"/>
  <c r="AF2011" i="7"/>
  <c r="AE2011" i="7"/>
  <c r="AD2011" i="7"/>
  <c r="AC2011" i="7"/>
  <c r="AB2011" i="7"/>
  <c r="AA2011" i="7"/>
  <c r="Z2011" i="7"/>
  <c r="Y2011" i="7"/>
  <c r="X2011" i="7"/>
  <c r="W2011" i="7"/>
  <c r="V2011" i="7"/>
  <c r="U2011" i="7"/>
  <c r="T2011" i="7"/>
  <c r="S2011" i="7"/>
  <c r="R2011" i="7"/>
  <c r="Q2011" i="7"/>
  <c r="P2011" i="7"/>
  <c r="O2011" i="7"/>
  <c r="N2011" i="7"/>
  <c r="M2011" i="7"/>
  <c r="L2011" i="7"/>
  <c r="K2011" i="7"/>
  <c r="J2011" i="7"/>
  <c r="I2011" i="7"/>
  <c r="H2011" i="7"/>
  <c r="G2011" i="7"/>
  <c r="CL1810" i="7"/>
  <c r="CK1810" i="7"/>
  <c r="CJ1810" i="7"/>
  <c r="CI1810" i="7"/>
  <c r="CH1810" i="7"/>
  <c r="CG1810" i="7"/>
  <c r="CF1810" i="7"/>
  <c r="CE1810" i="7"/>
  <c r="CD1810" i="7"/>
  <c r="CC1810" i="7"/>
  <c r="CB1810" i="7"/>
  <c r="CA1810" i="7"/>
  <c r="BZ1810" i="7"/>
  <c r="BY1810" i="7"/>
  <c r="BX1810" i="7"/>
  <c r="BW1810" i="7"/>
  <c r="BV1810" i="7"/>
  <c r="BU1810" i="7"/>
  <c r="BT1810" i="7"/>
  <c r="BS1810" i="7"/>
  <c r="BR1810" i="7"/>
  <c r="BQ1810" i="7"/>
  <c r="BP1810" i="7"/>
  <c r="BO1810" i="7"/>
  <c r="BN1810" i="7"/>
  <c r="BM1810" i="7"/>
  <c r="BL1810" i="7"/>
  <c r="BK1810" i="7"/>
  <c r="BJ1810" i="7"/>
  <c r="BI1810" i="7"/>
  <c r="BH1810" i="7"/>
  <c r="BG1810" i="7"/>
  <c r="BF1810" i="7"/>
  <c r="BE1810" i="7"/>
  <c r="BD1810" i="7"/>
  <c r="BC1810" i="7"/>
  <c r="BB1810" i="7"/>
  <c r="BA1810" i="7"/>
  <c r="AZ1810" i="7"/>
  <c r="AY1810" i="7"/>
  <c r="AX1810" i="7"/>
  <c r="AW1810" i="7"/>
  <c r="AV1810" i="7"/>
  <c r="AU1810" i="7"/>
  <c r="AT1810" i="7"/>
  <c r="AS1810" i="7"/>
  <c r="AR1810" i="7"/>
  <c r="AQ1810" i="7"/>
  <c r="AP1810" i="7"/>
  <c r="AO1810" i="7"/>
  <c r="AN1810" i="7"/>
  <c r="AM1810" i="7"/>
  <c r="AL1810" i="7"/>
  <c r="AK1810" i="7"/>
  <c r="AJ1810" i="7"/>
  <c r="AI1810" i="7"/>
  <c r="AH1810" i="7"/>
  <c r="AG1810" i="7"/>
  <c r="AF1810" i="7"/>
  <c r="AE1810" i="7"/>
  <c r="AD1810" i="7"/>
  <c r="AC1810" i="7"/>
  <c r="AB1810" i="7"/>
  <c r="AA1810" i="7"/>
  <c r="Z1810" i="7"/>
  <c r="Y1810" i="7"/>
  <c r="X1810" i="7"/>
  <c r="W1810" i="7"/>
  <c r="V1810" i="7"/>
  <c r="U1810" i="7"/>
  <c r="T1810" i="7"/>
  <c r="S1810" i="7"/>
  <c r="R1810" i="7"/>
  <c r="Q1810" i="7"/>
  <c r="P1810" i="7"/>
  <c r="O1810" i="7"/>
  <c r="N1810" i="7"/>
  <c r="M1810" i="7"/>
  <c r="L1810" i="7"/>
  <c r="K1810" i="7"/>
  <c r="J1810" i="7"/>
  <c r="I1810" i="7"/>
  <c r="H1810" i="7"/>
  <c r="G1810" i="7"/>
  <c r="CL1609" i="7"/>
  <c r="CK1609" i="7"/>
  <c r="CJ1609" i="7"/>
  <c r="CI1609" i="7"/>
  <c r="CH1609" i="7"/>
  <c r="CG1609" i="7"/>
  <c r="CF1609" i="7"/>
  <c r="CE1609" i="7"/>
  <c r="CD1609" i="7"/>
  <c r="CC1609" i="7"/>
  <c r="CB1609" i="7"/>
  <c r="CA1609" i="7"/>
  <c r="BZ1609" i="7"/>
  <c r="BY1609" i="7"/>
  <c r="BX1609" i="7"/>
  <c r="BW1609" i="7"/>
  <c r="BV1609" i="7"/>
  <c r="BU1609" i="7"/>
  <c r="BT1609" i="7"/>
  <c r="BS1609" i="7"/>
  <c r="BR1609" i="7"/>
  <c r="BQ1609" i="7"/>
  <c r="BP1609" i="7"/>
  <c r="BO1609" i="7"/>
  <c r="BN1609" i="7"/>
  <c r="BM1609" i="7"/>
  <c r="BL1609" i="7"/>
  <c r="BK1609" i="7"/>
  <c r="BJ1609" i="7"/>
  <c r="BI1609" i="7"/>
  <c r="BH1609" i="7"/>
  <c r="BG1609" i="7"/>
  <c r="BF1609" i="7"/>
  <c r="BE1609" i="7"/>
  <c r="BD1609" i="7"/>
  <c r="BC1609" i="7"/>
  <c r="BB1609" i="7"/>
  <c r="BA1609" i="7"/>
  <c r="AZ1609" i="7"/>
  <c r="AY1609" i="7"/>
  <c r="AX1609" i="7"/>
  <c r="AW1609" i="7"/>
  <c r="AV1609" i="7"/>
  <c r="AU1609" i="7"/>
  <c r="AT1609" i="7"/>
  <c r="AS1609" i="7"/>
  <c r="AR1609" i="7"/>
  <c r="AQ1609" i="7"/>
  <c r="AP1609" i="7"/>
  <c r="AO1609" i="7"/>
  <c r="AN1609" i="7"/>
  <c r="AM1609" i="7"/>
  <c r="AL1609" i="7"/>
  <c r="AK1609" i="7"/>
  <c r="AJ1609" i="7"/>
  <c r="AI1609" i="7"/>
  <c r="AH1609" i="7"/>
  <c r="AG1609" i="7"/>
  <c r="AF1609" i="7"/>
  <c r="AE1609" i="7"/>
  <c r="AD1609" i="7"/>
  <c r="AC1609" i="7"/>
  <c r="AB1609" i="7"/>
  <c r="AA1609" i="7"/>
  <c r="Z1609" i="7"/>
  <c r="Y1609" i="7"/>
  <c r="X1609" i="7"/>
  <c r="W1609" i="7"/>
  <c r="V1609" i="7"/>
  <c r="U1609" i="7"/>
  <c r="T1609" i="7"/>
  <c r="S1609" i="7"/>
  <c r="R1609" i="7"/>
  <c r="Q1609" i="7"/>
  <c r="P1609" i="7"/>
  <c r="O1609" i="7"/>
  <c r="N1609" i="7"/>
  <c r="M1609" i="7"/>
  <c r="L1609" i="7"/>
  <c r="K1609" i="7"/>
  <c r="J1609" i="7"/>
  <c r="I1609" i="7"/>
  <c r="H1609" i="7"/>
  <c r="G1609" i="7"/>
  <c r="CL1408" i="7"/>
  <c r="CK1408" i="7"/>
  <c r="CJ1408" i="7"/>
  <c r="CI1408" i="7"/>
  <c r="CH1408" i="7"/>
  <c r="CG1408" i="7"/>
  <c r="CF1408" i="7"/>
  <c r="CE1408" i="7"/>
  <c r="CD1408" i="7"/>
  <c r="CC1408" i="7"/>
  <c r="CB1408" i="7"/>
  <c r="CA1408" i="7"/>
  <c r="BZ1408" i="7"/>
  <c r="BY1408" i="7"/>
  <c r="BX1408" i="7"/>
  <c r="BW1408" i="7"/>
  <c r="BV1408" i="7"/>
  <c r="BU1408" i="7"/>
  <c r="BT1408" i="7"/>
  <c r="BS1408" i="7"/>
  <c r="BR1408" i="7"/>
  <c r="BQ1408" i="7"/>
  <c r="BP1408" i="7"/>
  <c r="BO1408" i="7"/>
  <c r="BN1408" i="7"/>
  <c r="BM1408" i="7"/>
  <c r="BL1408" i="7"/>
  <c r="BK1408" i="7"/>
  <c r="BJ1408" i="7"/>
  <c r="BI1408" i="7"/>
  <c r="BH1408" i="7"/>
  <c r="BG1408" i="7"/>
  <c r="BF1408" i="7"/>
  <c r="BE1408" i="7"/>
  <c r="BD1408" i="7"/>
  <c r="BC1408" i="7"/>
  <c r="BB1408" i="7"/>
  <c r="BA1408" i="7"/>
  <c r="AZ1408" i="7"/>
  <c r="AY1408" i="7"/>
  <c r="AX1408" i="7"/>
  <c r="AW1408" i="7"/>
  <c r="AV1408" i="7"/>
  <c r="AU1408" i="7"/>
  <c r="AT1408" i="7"/>
  <c r="AS1408" i="7"/>
  <c r="AR1408" i="7"/>
  <c r="AQ1408" i="7"/>
  <c r="AP1408" i="7"/>
  <c r="AO1408" i="7"/>
  <c r="AN1408" i="7"/>
  <c r="AM1408" i="7"/>
  <c r="AL1408" i="7"/>
  <c r="AK1408" i="7"/>
  <c r="AJ1408" i="7"/>
  <c r="AI1408" i="7"/>
  <c r="AH1408" i="7"/>
  <c r="AG1408" i="7"/>
  <c r="AF1408" i="7"/>
  <c r="AE1408" i="7"/>
  <c r="AD1408" i="7"/>
  <c r="AC1408" i="7"/>
  <c r="AB1408" i="7"/>
  <c r="AA1408" i="7"/>
  <c r="Z1408" i="7"/>
  <c r="Y1408" i="7"/>
  <c r="X1408" i="7"/>
  <c r="W1408" i="7"/>
  <c r="V1408" i="7"/>
  <c r="U1408" i="7"/>
  <c r="T1408" i="7"/>
  <c r="S1408" i="7"/>
  <c r="R1408" i="7"/>
  <c r="Q1408" i="7"/>
  <c r="P1408" i="7"/>
  <c r="O1408" i="7"/>
  <c r="N1408" i="7"/>
  <c r="M1408" i="7"/>
  <c r="L1408" i="7"/>
  <c r="K1408" i="7"/>
  <c r="J1408" i="7"/>
  <c r="I1408" i="7"/>
  <c r="H1408" i="7"/>
  <c r="G1408" i="7"/>
  <c r="CL1207" i="7"/>
  <c r="CK1207" i="7"/>
  <c r="CJ1207" i="7"/>
  <c r="CI1207" i="7"/>
  <c r="CH1207" i="7"/>
  <c r="CG1207" i="7"/>
  <c r="CF1207" i="7"/>
  <c r="CE1207" i="7"/>
  <c r="CD1207" i="7"/>
  <c r="CC1207" i="7"/>
  <c r="CB1207" i="7"/>
  <c r="CA1207" i="7"/>
  <c r="BZ1207" i="7"/>
  <c r="BY1207" i="7"/>
  <c r="BX1207" i="7"/>
  <c r="BW1207" i="7"/>
  <c r="BV1207" i="7"/>
  <c r="BU1207" i="7"/>
  <c r="BT1207" i="7"/>
  <c r="BS1207" i="7"/>
  <c r="BR1207" i="7"/>
  <c r="BQ1207" i="7"/>
  <c r="BP1207" i="7"/>
  <c r="BO1207" i="7"/>
  <c r="BN1207" i="7"/>
  <c r="BM1207" i="7"/>
  <c r="BL1207" i="7"/>
  <c r="BK1207" i="7"/>
  <c r="BJ1207" i="7"/>
  <c r="BI1207" i="7"/>
  <c r="BH1207" i="7"/>
  <c r="BG1207" i="7"/>
  <c r="BF1207" i="7"/>
  <c r="BE1207" i="7"/>
  <c r="BD1207" i="7"/>
  <c r="BC1207" i="7"/>
  <c r="BB1207" i="7"/>
  <c r="BA1207" i="7"/>
  <c r="AZ1207" i="7"/>
  <c r="AY1207" i="7"/>
  <c r="AX1207" i="7"/>
  <c r="AW1207" i="7"/>
  <c r="AV1207" i="7"/>
  <c r="AU1207" i="7"/>
  <c r="AT1207" i="7"/>
  <c r="AS1207" i="7"/>
  <c r="AR1207" i="7"/>
  <c r="AQ1207" i="7"/>
  <c r="AP1207" i="7"/>
  <c r="AO1207" i="7"/>
  <c r="AN1207" i="7"/>
  <c r="AM1207" i="7"/>
  <c r="AL1207" i="7"/>
  <c r="AK1207" i="7"/>
  <c r="AJ1207" i="7"/>
  <c r="AI1207" i="7"/>
  <c r="AH1207" i="7"/>
  <c r="AG1207" i="7"/>
  <c r="AF1207" i="7"/>
  <c r="AE1207" i="7"/>
  <c r="AD1207" i="7"/>
  <c r="AC1207" i="7"/>
  <c r="AB1207" i="7"/>
  <c r="AA1207" i="7"/>
  <c r="Z1207" i="7"/>
  <c r="Y1207" i="7"/>
  <c r="X1207" i="7"/>
  <c r="W1207" i="7"/>
  <c r="V1207" i="7"/>
  <c r="U1207" i="7"/>
  <c r="T1207" i="7"/>
  <c r="S1207" i="7"/>
  <c r="R1207" i="7"/>
  <c r="Q1207" i="7"/>
  <c r="P1207" i="7"/>
  <c r="O1207" i="7"/>
  <c r="N1207" i="7"/>
  <c r="M1207" i="7"/>
  <c r="L1207" i="7"/>
  <c r="K1207" i="7"/>
  <c r="J1207" i="7"/>
  <c r="I1207" i="7"/>
  <c r="H1207" i="7"/>
  <c r="G1207" i="7"/>
  <c r="CL1006" i="7"/>
  <c r="CK1006" i="7"/>
  <c r="CJ1006" i="7"/>
  <c r="CI1006" i="7"/>
  <c r="CH1006" i="7"/>
  <c r="CG1006" i="7"/>
  <c r="CF1006" i="7"/>
  <c r="CE1006" i="7"/>
  <c r="CD1006" i="7"/>
  <c r="CC1006" i="7"/>
  <c r="CB1006" i="7"/>
  <c r="CA1006" i="7"/>
  <c r="BZ1006" i="7"/>
  <c r="BY1006" i="7"/>
  <c r="BX1006" i="7"/>
  <c r="BW1006" i="7"/>
  <c r="BV1006" i="7"/>
  <c r="BU1006" i="7"/>
  <c r="BT1006" i="7"/>
  <c r="BS1006" i="7"/>
  <c r="BR1006" i="7"/>
  <c r="BQ1006" i="7"/>
  <c r="BP1006" i="7"/>
  <c r="BO1006" i="7"/>
  <c r="BN1006" i="7"/>
  <c r="BM1006" i="7"/>
  <c r="BL1006" i="7"/>
  <c r="BK1006" i="7"/>
  <c r="BJ1006" i="7"/>
  <c r="BI1006" i="7"/>
  <c r="BH1006" i="7"/>
  <c r="BG1006" i="7"/>
  <c r="BF1006" i="7"/>
  <c r="BE1006" i="7"/>
  <c r="BD1006" i="7"/>
  <c r="BC1006" i="7"/>
  <c r="BB1006" i="7"/>
  <c r="BA1006" i="7"/>
  <c r="AZ1006" i="7"/>
  <c r="AY1006" i="7"/>
  <c r="AX1006" i="7"/>
  <c r="AW1006" i="7"/>
  <c r="AV1006" i="7"/>
  <c r="AU1006" i="7"/>
  <c r="AT1006" i="7"/>
  <c r="AS1006" i="7"/>
  <c r="AR1006" i="7"/>
  <c r="AQ1006" i="7"/>
  <c r="AP1006" i="7"/>
  <c r="AO1006" i="7"/>
  <c r="AN1006" i="7"/>
  <c r="AM1006" i="7"/>
  <c r="AL1006" i="7"/>
  <c r="AK1006" i="7"/>
  <c r="AJ1006" i="7"/>
  <c r="AI1006" i="7"/>
  <c r="AH1006" i="7"/>
  <c r="AG1006" i="7"/>
  <c r="AF1006" i="7"/>
  <c r="AE1006" i="7"/>
  <c r="AD1006" i="7"/>
  <c r="AC1006" i="7"/>
  <c r="AB1006" i="7"/>
  <c r="AA1006" i="7"/>
  <c r="Z1006" i="7"/>
  <c r="Y1006" i="7"/>
  <c r="X1006" i="7"/>
  <c r="W1006" i="7"/>
  <c r="V1006" i="7"/>
  <c r="U1006" i="7"/>
  <c r="T1006" i="7"/>
  <c r="S1006" i="7"/>
  <c r="R1006" i="7"/>
  <c r="Q1006" i="7"/>
  <c r="P1006" i="7"/>
  <c r="O1006" i="7"/>
  <c r="N1006" i="7"/>
  <c r="M1006" i="7"/>
  <c r="L1006" i="7"/>
  <c r="K1006" i="7"/>
  <c r="J1006" i="7"/>
  <c r="I1006" i="7"/>
  <c r="H1006" i="7"/>
  <c r="G1006" i="7"/>
  <c r="CL805" i="7"/>
  <c r="CK805" i="7"/>
  <c r="CJ805" i="7"/>
  <c r="CI805" i="7"/>
  <c r="CH805" i="7"/>
  <c r="CG805" i="7"/>
  <c r="CF805" i="7"/>
  <c r="CE805" i="7"/>
  <c r="CD805" i="7"/>
  <c r="CC805" i="7"/>
  <c r="CB805" i="7"/>
  <c r="CA805" i="7"/>
  <c r="BZ805" i="7"/>
  <c r="BY805" i="7"/>
  <c r="BX805" i="7"/>
  <c r="BW805" i="7"/>
  <c r="BV805" i="7"/>
  <c r="BU805" i="7"/>
  <c r="BT805" i="7"/>
  <c r="BS805" i="7"/>
  <c r="BR805" i="7"/>
  <c r="BQ805" i="7"/>
  <c r="BP805" i="7"/>
  <c r="BO805" i="7"/>
  <c r="BN805" i="7"/>
  <c r="BM805" i="7"/>
  <c r="BL805" i="7"/>
  <c r="BK805" i="7"/>
  <c r="BJ805" i="7"/>
  <c r="BI805" i="7"/>
  <c r="BH805" i="7"/>
  <c r="BG805" i="7"/>
  <c r="BF805" i="7"/>
  <c r="BE805" i="7"/>
  <c r="BD805" i="7"/>
  <c r="BC805" i="7"/>
  <c r="BB805" i="7"/>
  <c r="BA805" i="7"/>
  <c r="AZ805" i="7"/>
  <c r="AY805" i="7"/>
  <c r="AX805" i="7"/>
  <c r="AW805" i="7"/>
  <c r="AV805" i="7"/>
  <c r="AU805" i="7"/>
  <c r="AT805" i="7"/>
  <c r="AS805" i="7"/>
  <c r="AR805" i="7"/>
  <c r="AQ805" i="7"/>
  <c r="AP805" i="7"/>
  <c r="AO805" i="7"/>
  <c r="AN805" i="7"/>
  <c r="AM805" i="7"/>
  <c r="AL805" i="7"/>
  <c r="AK805" i="7"/>
  <c r="AJ805" i="7"/>
  <c r="AI805" i="7"/>
  <c r="AH805" i="7"/>
  <c r="AG805" i="7"/>
  <c r="AF805" i="7"/>
  <c r="AE805" i="7"/>
  <c r="AD805" i="7"/>
  <c r="AC805" i="7"/>
  <c r="AB805" i="7"/>
  <c r="AA805" i="7"/>
  <c r="Z805" i="7"/>
  <c r="Y805" i="7"/>
  <c r="X805" i="7"/>
  <c r="W805" i="7"/>
  <c r="V805" i="7"/>
  <c r="U805" i="7"/>
  <c r="T805" i="7"/>
  <c r="S805" i="7"/>
  <c r="R805" i="7"/>
  <c r="Q805" i="7"/>
  <c r="P805" i="7"/>
  <c r="O805" i="7"/>
  <c r="N805" i="7"/>
  <c r="M805" i="7"/>
  <c r="L805" i="7"/>
  <c r="K805" i="7"/>
  <c r="J805" i="7"/>
  <c r="I805" i="7"/>
  <c r="H805" i="7"/>
  <c r="G805" i="7"/>
  <c r="CL604" i="7"/>
  <c r="CK604" i="7"/>
  <c r="CJ604" i="7"/>
  <c r="CI604" i="7"/>
  <c r="CH604" i="7"/>
  <c r="CG604" i="7"/>
  <c r="CF604" i="7"/>
  <c r="CE604" i="7"/>
  <c r="CD604" i="7"/>
  <c r="CC604" i="7"/>
  <c r="CB604" i="7"/>
  <c r="CA604" i="7"/>
  <c r="BZ604" i="7"/>
  <c r="BY604" i="7"/>
  <c r="BX604" i="7"/>
  <c r="BW604" i="7"/>
  <c r="BV604" i="7"/>
  <c r="BU604" i="7"/>
  <c r="BT604" i="7"/>
  <c r="BS604" i="7"/>
  <c r="BR604" i="7"/>
  <c r="BQ604" i="7"/>
  <c r="BP604" i="7"/>
  <c r="BO604" i="7"/>
  <c r="BN604" i="7"/>
  <c r="BM604" i="7"/>
  <c r="BL604" i="7"/>
  <c r="BK604" i="7"/>
  <c r="BJ604" i="7"/>
  <c r="BI604" i="7"/>
  <c r="BH604" i="7"/>
  <c r="BG604" i="7"/>
  <c r="BF604" i="7"/>
  <c r="BE604" i="7"/>
  <c r="BD604" i="7"/>
  <c r="BC604" i="7"/>
  <c r="BB604" i="7"/>
  <c r="BA604" i="7"/>
  <c r="AZ604" i="7"/>
  <c r="AY604" i="7"/>
  <c r="AX604" i="7"/>
  <c r="AW604" i="7"/>
  <c r="AV604" i="7"/>
  <c r="AU604" i="7"/>
  <c r="AT604" i="7"/>
  <c r="AS604" i="7"/>
  <c r="AR604" i="7"/>
  <c r="AQ604" i="7"/>
  <c r="AP604" i="7"/>
  <c r="AO604" i="7"/>
  <c r="AN604" i="7"/>
  <c r="AM604" i="7"/>
  <c r="AL604" i="7"/>
  <c r="AK604" i="7"/>
  <c r="AJ604" i="7"/>
  <c r="AI604" i="7"/>
  <c r="AH604" i="7"/>
  <c r="AG604" i="7"/>
  <c r="AF604" i="7"/>
  <c r="AE604" i="7"/>
  <c r="AD604" i="7"/>
  <c r="AC604" i="7"/>
  <c r="AB604" i="7"/>
  <c r="AA604" i="7"/>
  <c r="Z604" i="7"/>
  <c r="Y604" i="7"/>
  <c r="X604" i="7"/>
  <c r="W604" i="7"/>
  <c r="V604" i="7"/>
  <c r="U604" i="7"/>
  <c r="T604" i="7"/>
  <c r="S604" i="7"/>
  <c r="R604" i="7"/>
  <c r="Q604" i="7"/>
  <c r="P604" i="7"/>
  <c r="O604" i="7"/>
  <c r="N604" i="7"/>
  <c r="M604" i="7"/>
  <c r="L604" i="7"/>
  <c r="K604" i="7"/>
  <c r="J604" i="7"/>
  <c r="I604" i="7"/>
  <c r="H604" i="7"/>
  <c r="G604" i="7"/>
  <c r="G403" i="7"/>
  <c r="CL403" i="7"/>
  <c r="CK403" i="7"/>
  <c r="CJ403" i="7"/>
  <c r="CI403" i="7"/>
  <c r="CH403" i="7"/>
  <c r="CG403" i="7"/>
  <c r="CF403" i="7"/>
  <c r="CE403" i="7"/>
  <c r="CD403" i="7"/>
  <c r="CC403" i="7"/>
  <c r="CB403" i="7"/>
  <c r="CA403" i="7"/>
  <c r="BZ403" i="7"/>
  <c r="BY403" i="7"/>
  <c r="BX403" i="7"/>
  <c r="BW403" i="7"/>
  <c r="BV403" i="7"/>
  <c r="BU403" i="7"/>
  <c r="BT403" i="7"/>
  <c r="BS403" i="7"/>
  <c r="BR403" i="7"/>
  <c r="BQ403" i="7"/>
  <c r="BP403" i="7"/>
  <c r="BO403" i="7"/>
  <c r="BN403" i="7"/>
  <c r="BM403" i="7"/>
  <c r="BL403" i="7"/>
  <c r="BK403" i="7"/>
  <c r="BJ403" i="7"/>
  <c r="BI403" i="7"/>
  <c r="BH403" i="7"/>
  <c r="BG403" i="7"/>
  <c r="BF403" i="7"/>
  <c r="BE403" i="7"/>
  <c r="BD403" i="7"/>
  <c r="BC403" i="7"/>
  <c r="BB403" i="7"/>
  <c r="BA403" i="7"/>
  <c r="AZ403" i="7"/>
  <c r="AY403" i="7"/>
  <c r="AX403" i="7"/>
  <c r="AW403" i="7"/>
  <c r="AV403" i="7"/>
  <c r="AU403" i="7"/>
  <c r="AT403" i="7"/>
  <c r="AS403" i="7"/>
  <c r="AR403" i="7"/>
  <c r="AQ403" i="7"/>
  <c r="AP403" i="7"/>
  <c r="AO403" i="7"/>
  <c r="AN403" i="7"/>
  <c r="AM403" i="7"/>
  <c r="AL403" i="7"/>
  <c r="AK403" i="7"/>
  <c r="AJ403" i="7"/>
  <c r="AI403" i="7"/>
  <c r="AH403" i="7"/>
  <c r="AG403" i="7"/>
  <c r="AF403" i="7"/>
  <c r="AE403" i="7"/>
  <c r="AD403" i="7"/>
  <c r="AC403" i="7"/>
  <c r="AB403" i="7"/>
  <c r="AA403" i="7"/>
  <c r="Z403" i="7"/>
  <c r="Y403" i="7"/>
  <c r="X403" i="7"/>
  <c r="W403" i="7"/>
  <c r="V403" i="7"/>
  <c r="U403" i="7"/>
  <c r="T403" i="7"/>
  <c r="S403" i="7"/>
  <c r="R403" i="7"/>
  <c r="Q403" i="7"/>
  <c r="P403" i="7"/>
  <c r="O403" i="7"/>
  <c r="N403" i="7"/>
  <c r="M403" i="7"/>
  <c r="L403" i="7"/>
  <c r="K403" i="7"/>
  <c r="J403" i="7"/>
  <c r="I403" i="7"/>
  <c r="H403" i="7"/>
  <c r="BM202" i="7"/>
  <c r="BN202" i="7"/>
  <c r="BO202" i="7"/>
  <c r="BP202" i="7"/>
  <c r="BQ202" i="7"/>
  <c r="BR202" i="7"/>
  <c r="BS202" i="7"/>
  <c r="BT202" i="7"/>
  <c r="BU202" i="7"/>
  <c r="BV202" i="7"/>
  <c r="BW202" i="7"/>
  <c r="BX202" i="7"/>
  <c r="BY202" i="7"/>
  <c r="BZ202" i="7"/>
  <c r="CA202" i="7"/>
  <c r="CB202" i="7"/>
  <c r="CC202" i="7"/>
  <c r="CD202" i="7"/>
  <c r="CE202" i="7"/>
  <c r="CF202" i="7"/>
  <c r="CG202" i="7"/>
  <c r="CH202" i="7"/>
  <c r="CI202" i="7"/>
  <c r="CJ202" i="7"/>
  <c r="CK202" i="7"/>
  <c r="CL202" i="7"/>
  <c r="H202" i="7"/>
  <c r="I202" i="7"/>
  <c r="J202" i="7"/>
  <c r="K202" i="7"/>
  <c r="L202" i="7"/>
  <c r="M202" i="7"/>
  <c r="N202" i="7"/>
  <c r="O202" i="7"/>
  <c r="P202" i="7"/>
  <c r="Q202" i="7"/>
  <c r="R202" i="7"/>
  <c r="S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AJ202" i="7"/>
  <c r="AK202" i="7"/>
  <c r="AL202" i="7"/>
  <c r="AM202" i="7"/>
  <c r="AN202" i="7"/>
  <c r="AO202" i="7"/>
  <c r="AP202" i="7"/>
  <c r="AQ202" i="7"/>
  <c r="AR202" i="7"/>
  <c r="AS202" i="7"/>
  <c r="AT202" i="7"/>
  <c r="AU202" i="7"/>
  <c r="AV202" i="7"/>
  <c r="AW202" i="7"/>
  <c r="AX202" i="7"/>
  <c r="AY202" i="7"/>
  <c r="AZ202" i="7"/>
  <c r="BA202" i="7"/>
  <c r="BB202" i="7"/>
  <c r="BC202" i="7"/>
  <c r="BD202" i="7"/>
  <c r="BE202" i="7"/>
  <c r="BF202" i="7"/>
  <c r="BG202" i="7"/>
  <c r="BH202" i="7"/>
  <c r="BI202" i="7"/>
  <c r="BJ202" i="7"/>
  <c r="BK202" i="7"/>
  <c r="BL202" i="7"/>
  <c r="G202" i="7"/>
  <c r="F60" i="1"/>
  <c r="F54" i="1"/>
  <c r="K52" i="1"/>
  <c r="F52" i="1"/>
  <c r="I51" i="1"/>
  <c r="I50" i="1"/>
  <c r="H46" i="1"/>
  <c r="F46" i="1"/>
  <c r="I43" i="1"/>
  <c r="I42" i="1"/>
  <c r="F42" i="1"/>
  <c r="I40" i="1"/>
  <c r="F40" i="1"/>
  <c r="N38" i="1"/>
  <c r="F36" i="1"/>
  <c r="F34" i="1"/>
  <c r="N32" i="1"/>
  <c r="G32" i="1"/>
  <c r="I30" i="1"/>
  <c r="F30" i="1"/>
  <c r="F28" i="1"/>
  <c r="P26" i="1"/>
  <c r="H26" i="1"/>
  <c r="G26" i="1"/>
  <c r="J25" i="1"/>
  <c r="J24" i="1"/>
  <c r="F24" i="1"/>
  <c r="AG22" i="1"/>
  <c r="I22" i="1"/>
  <c r="F22" i="1"/>
  <c r="AG20" i="1"/>
  <c r="P20" i="1"/>
  <c r="F20" i="1"/>
  <c r="F16" i="1"/>
  <c r="J14" i="1"/>
  <c r="I14" i="1"/>
  <c r="F12" i="1"/>
  <c r="O11" i="1"/>
  <c r="AG10" i="1"/>
  <c r="H10" i="1"/>
  <c r="F10" i="1"/>
  <c r="I8" i="1"/>
  <c r="H8" i="1"/>
  <c r="F8" i="1"/>
  <c r="I6" i="1"/>
  <c r="F4" i="1"/>
  <c r="I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Helen</author>
  </authors>
  <commentList>
    <comment ref="C10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Helen:</t>
        </r>
        <r>
          <rPr>
            <sz val="8"/>
            <color indexed="81"/>
            <rFont val="Tahoma"/>
            <family val="2"/>
          </rPr>
          <t xml:space="preserve">
Not exact, but probably E DD16 S12 W37
</t>
        </r>
      </text>
    </comment>
    <comment ref="C12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Helen:</t>
        </r>
        <r>
          <rPr>
            <sz val="8"/>
            <color indexed="81"/>
            <rFont val="Tahoma"/>
            <family val="2"/>
          </rPr>
          <t xml:space="preserve">
Prob E CC14 S35 W2</t>
        </r>
      </text>
    </comment>
    <comment ref="C20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Helen:</t>
        </r>
        <r>
          <rPr>
            <sz val="8"/>
            <color indexed="81"/>
            <rFont val="Tahoma"/>
            <family val="2"/>
          </rPr>
          <t xml:space="preserve">
might be E EE10 S10 W15</t>
        </r>
      </text>
    </comment>
    <comment ref="G20" authorId="0" shapeId="0" xr:uid="{00000000-0006-0000-0100-000004000000}">
      <text>
        <r>
          <rPr>
            <b/>
            <sz val="8"/>
            <color indexed="81"/>
            <rFont val="Tahoma"/>
            <family val="2"/>
          </rPr>
          <t>Helen:</t>
        </r>
        <r>
          <rPr>
            <sz val="8"/>
            <color indexed="81"/>
            <rFont val="Tahoma"/>
            <family val="2"/>
          </rPr>
          <t xml:space="preserve">
MOSTLY INFLO</t>
        </r>
      </text>
    </comment>
    <comment ref="G43" authorId="0" shapeId="0" xr:uid="{00000000-0006-0000-0100-000005000000}">
      <text>
        <r>
          <rPr>
            <b/>
            <sz val="8"/>
            <color indexed="81"/>
            <rFont val="Tahoma"/>
            <family val="2"/>
          </rPr>
          <t>Helen:</t>
        </r>
        <r>
          <rPr>
            <sz val="8"/>
            <color indexed="81"/>
            <rFont val="Tahoma"/>
            <family val="2"/>
          </rPr>
          <t xml:space="preserve">
INCL INFLO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Reviewer</author>
    <author>Helen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Reviewer:</t>
        </r>
        <r>
          <rPr>
            <sz val="9"/>
            <color indexed="81"/>
            <rFont val="Tahoma"/>
            <family val="2"/>
          </rPr>
          <t xml:space="preserve">
Missing the second quadrat of G12 N12 E12 and G9 N30 E10</t>
        </r>
      </text>
    </comment>
    <comment ref="J1627" authorId="1" shapeId="0" xr:uid="{00000000-0006-0000-0300-000002000000}">
      <text>
        <r>
          <rPr>
            <b/>
            <sz val="8"/>
            <color indexed="81"/>
            <rFont val="Tahoma"/>
            <family val="2"/>
          </rPr>
          <t>Helen:</t>
        </r>
        <r>
          <rPr>
            <sz val="8"/>
            <color indexed="81"/>
            <rFont val="Tahoma"/>
            <family val="2"/>
          </rPr>
          <t xml:space="preserve">
also pika'd</t>
        </r>
      </text>
    </comment>
    <comment ref="R2762" authorId="1" shapeId="0" xr:uid="{00000000-0006-0000-0300-000003000000}">
      <text>
        <r>
          <rPr>
            <b/>
            <sz val="8"/>
            <color indexed="81"/>
            <rFont val="Tahoma"/>
            <family val="2"/>
          </rPr>
          <t>Helen:</t>
        </r>
        <r>
          <rPr>
            <sz val="8"/>
            <color indexed="81"/>
            <rFont val="Tahoma"/>
            <family val="2"/>
          </rPr>
          <t xml:space="preserve">
And Pika'd</t>
        </r>
      </text>
    </comment>
  </commentList>
</comments>
</file>

<file path=xl/sharedStrings.xml><?xml version="1.0" encoding="utf-8"?>
<sst xmlns="http://schemas.openxmlformats.org/spreadsheetml/2006/main" count="6460" uniqueCount="170">
  <si>
    <t>Location</t>
  </si>
  <si>
    <t xml:space="preserve">Talus area </t>
  </si>
  <si>
    <t>Name in database? 0=no, 1=yes</t>
  </si>
  <si>
    <t>Date taken</t>
  </si>
  <si>
    <t>Category</t>
  </si>
  <si>
    <t>graminoids</t>
  </si>
  <si>
    <t xml:space="preserve">Pol bis </t>
  </si>
  <si>
    <t>pol viv</t>
  </si>
  <si>
    <t xml:space="preserve">sal sp. </t>
  </si>
  <si>
    <t>sal ret</t>
  </si>
  <si>
    <t xml:space="preserve">pet fri </t>
  </si>
  <si>
    <t>lich/moss</t>
  </si>
  <si>
    <t xml:space="preserve">pedic </t>
  </si>
  <si>
    <t>vacc vit-id</t>
  </si>
  <si>
    <t>vacc uli</t>
  </si>
  <si>
    <t>dryas</t>
  </si>
  <si>
    <t>dry seed head</t>
  </si>
  <si>
    <t>art arc</t>
  </si>
  <si>
    <t>un-id'd forbs</t>
  </si>
  <si>
    <t>cas tet</t>
  </si>
  <si>
    <t>oxy nig</t>
  </si>
  <si>
    <t>oxy dyg</t>
  </si>
  <si>
    <t>antenn</t>
  </si>
  <si>
    <t>ane parv</t>
  </si>
  <si>
    <t xml:space="preserve">camp </t>
  </si>
  <si>
    <t>pot biflo</t>
  </si>
  <si>
    <t>pot villosa</t>
  </si>
  <si>
    <t>parrya</t>
  </si>
  <si>
    <t>Sax bronch</t>
  </si>
  <si>
    <t>STEL LON</t>
  </si>
  <si>
    <t>ASTRAGALUS</t>
  </si>
  <si>
    <t>OXY DYG</t>
  </si>
  <si>
    <t>assorted forbs</t>
  </si>
  <si>
    <t>E BB 17 W3 N25</t>
  </si>
  <si>
    <t>camp creek</t>
  </si>
  <si>
    <t>Undamaged weight (g)</t>
  </si>
  <si>
    <t>Damaged weight (g)</t>
  </si>
  <si>
    <t>E CC13 N10 E15</t>
  </si>
  <si>
    <t>E CC13 S5 E25</t>
  </si>
  <si>
    <t>?</t>
  </si>
  <si>
    <t>E DD15 S10 W12</t>
  </si>
  <si>
    <t>E DD16 S12 W30</t>
  </si>
  <si>
    <t>ZSAME AS CC13 _____E CC14 S35 W1</t>
  </si>
  <si>
    <t>E G12 N12 E12</t>
  </si>
  <si>
    <t>GH talus</t>
  </si>
  <si>
    <t>E G9 N30 E10</t>
  </si>
  <si>
    <t>E DD6 S7 E8</t>
  </si>
  <si>
    <t>greenhouses</t>
  </si>
  <si>
    <t>E EE10 S1 W15</t>
  </si>
  <si>
    <t>E EE11 S13 E18</t>
  </si>
  <si>
    <t>E EE8 S15 W25</t>
  </si>
  <si>
    <t>E FF11 S20 W10</t>
  </si>
  <si>
    <t>E K10 S25 W25</t>
  </si>
  <si>
    <t>KLM talus</t>
  </si>
  <si>
    <t>E K5 N2 E0</t>
  </si>
  <si>
    <t>E K5 N25 E5</t>
  </si>
  <si>
    <t>E K7 N4 E11</t>
  </si>
  <si>
    <t>E K7 S15 W20</t>
  </si>
  <si>
    <t>E K7 S25 E2</t>
  </si>
  <si>
    <t>E K9 N18 W25</t>
  </si>
  <si>
    <t>E L8 N3 E5</t>
  </si>
  <si>
    <t>E L9 N18 W2</t>
  </si>
  <si>
    <t>E N11 N6 W25</t>
  </si>
  <si>
    <t>W M10 N5 E15</t>
  </si>
  <si>
    <t>West L-T</t>
  </si>
  <si>
    <t>W M10 S15 W10</t>
  </si>
  <si>
    <t>W O10 N10 W30</t>
  </si>
  <si>
    <t>W O10 N25 E15</t>
  </si>
  <si>
    <t>W O13 N20 E5</t>
  </si>
  <si>
    <t>W O7 N15 E2</t>
  </si>
  <si>
    <t>W P2 N18 E18</t>
  </si>
  <si>
    <t>W P2 S8 W10</t>
  </si>
  <si>
    <t>haypileID</t>
  </si>
  <si>
    <t>polbis</t>
  </si>
  <si>
    <t>polviv</t>
  </si>
  <si>
    <t>salsp</t>
  </si>
  <si>
    <t>salret</t>
  </si>
  <si>
    <t>petfri</t>
  </si>
  <si>
    <t>oxydig</t>
  </si>
  <si>
    <t>vacvit</t>
  </si>
  <si>
    <t>vaculi</t>
  </si>
  <si>
    <t>polbis.dam</t>
  </si>
  <si>
    <t>polviv.dam</t>
  </si>
  <si>
    <t>salsp.dam</t>
  </si>
  <si>
    <t>salret.dam</t>
  </si>
  <si>
    <t>dryas.dam</t>
  </si>
  <si>
    <t>vaculi.dam</t>
  </si>
  <si>
    <t xml:space="preserve">point </t>
  </si>
  <si>
    <t>rock</t>
  </si>
  <si>
    <t>moss</t>
  </si>
  <si>
    <t>lich</t>
  </si>
  <si>
    <t>carex</t>
  </si>
  <si>
    <t>Luzula</t>
  </si>
  <si>
    <t>Gent prost</t>
  </si>
  <si>
    <t>Gent al</t>
  </si>
  <si>
    <t>Cas tet</t>
  </si>
  <si>
    <t>Poa sp.</t>
  </si>
  <si>
    <t>Fest sp.</t>
  </si>
  <si>
    <t>Mon sar</t>
  </si>
  <si>
    <t>Sax hie</t>
  </si>
  <si>
    <t>Stel lon</t>
  </si>
  <si>
    <t>pyrola</t>
  </si>
  <si>
    <t xml:space="preserve">oxy nig </t>
  </si>
  <si>
    <t>Arnica</t>
  </si>
  <si>
    <t>Grass sp.</t>
  </si>
  <si>
    <t>Astragalus</t>
  </si>
  <si>
    <t>Pedicul.</t>
  </si>
  <si>
    <t>Senecio</t>
  </si>
  <si>
    <t>MUSHROOM</t>
  </si>
  <si>
    <t>Dodec</t>
  </si>
  <si>
    <t>Arctagrostis</t>
  </si>
  <si>
    <t>Cerast</t>
  </si>
  <si>
    <t>Equisetum</t>
  </si>
  <si>
    <t>Aconitum</t>
  </si>
  <si>
    <t>Mertensia</t>
  </si>
  <si>
    <t>Castelleja</t>
  </si>
  <si>
    <t>Asteraceae sp.</t>
  </si>
  <si>
    <t>E BB17 W3 N25</t>
  </si>
  <si>
    <t>E CC14 S35 W1</t>
  </si>
  <si>
    <t xml:space="preserve">E FF11 S20 W10 </t>
  </si>
  <si>
    <t>carex.dam</t>
  </si>
  <si>
    <t>hiealp.dam</t>
  </si>
  <si>
    <t>hiealp</t>
  </si>
  <si>
    <t>kobmyo</t>
  </si>
  <si>
    <t>kobmyo.dam</t>
  </si>
  <si>
    <t>ranunculus</t>
  </si>
  <si>
    <t>ranunculus.dam</t>
  </si>
  <si>
    <t>antmon</t>
  </si>
  <si>
    <t>antmon.dam</t>
  </si>
  <si>
    <t>parrya.dam</t>
  </si>
  <si>
    <t>cardamine</t>
  </si>
  <si>
    <t>cardamine.dam</t>
  </si>
  <si>
    <t>aneparv</t>
  </si>
  <si>
    <t>aneparv.dam</t>
  </si>
  <si>
    <t>vacvit.dam</t>
  </si>
  <si>
    <t>trispi</t>
  </si>
  <si>
    <t>trispi.dam</t>
  </si>
  <si>
    <t>saxcer</t>
  </si>
  <si>
    <t>saxcer.dam</t>
  </si>
  <si>
    <t>saxlya</t>
  </si>
  <si>
    <t>saxlya.dam</t>
  </si>
  <si>
    <t>artarc</t>
  </si>
  <si>
    <t>artarc.dam</t>
  </si>
  <si>
    <t>sauvis</t>
  </si>
  <si>
    <t>sauvis.dam</t>
  </si>
  <si>
    <t>camplas</t>
  </si>
  <si>
    <t>camplas.dam</t>
  </si>
  <si>
    <t>silaca.dam</t>
  </si>
  <si>
    <t>silaca</t>
  </si>
  <si>
    <t>astragalus.dam</t>
  </si>
  <si>
    <t>senecio.dam</t>
  </si>
  <si>
    <t>potent</t>
  </si>
  <si>
    <t>potent.dam</t>
  </si>
  <si>
    <t>petfri.dam</t>
  </si>
  <si>
    <t>ocydig.dam</t>
  </si>
  <si>
    <t>dodec.dam</t>
  </si>
  <si>
    <t>mertensia.dam</t>
  </si>
  <si>
    <t>asteraceae.dam</t>
  </si>
  <si>
    <t>code for haypile (each pika has one main haypile; codes correspond to the long-term pika monitoring in the study area)</t>
  </si>
  <si>
    <t>[other columns]</t>
  </si>
  <si>
    <t>date</t>
  </si>
  <si>
    <t>dist_from_haypile</t>
  </si>
  <si>
    <t>angle_from_haypile</t>
  </si>
  <si>
    <t>distance_from_talus</t>
  </si>
  <si>
    <t>haypiles_ORIGINAL</t>
  </si>
  <si>
    <t>date when sampling took place</t>
  </si>
  <si>
    <t>whether the plant material was damaged by invertebrate herbivores or not</t>
  </si>
  <si>
    <t>weight (g) of the haypile sample (for species codes see R script)</t>
  </si>
  <si>
    <t>point_intercept_ORIGINAL</t>
  </si>
  <si>
    <t>presence of a particular species at a point intercept (for species codes see R script; species names ending .dam are damaged)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</si>
</sst>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/>
    <xf numFmtId="164" fontId="4" fillId="0" borderId="0" xfId="0" applyNumberFormat="1" applyFont="1"/>
    <xf numFmtId="0" fontId="4" fillId="2" borderId="0" xfId="0" applyFont="1" applyFill="1"/>
    <xf numFmtId="0" fontId="4" fillId="3" borderId="0" xfId="0" applyFont="1" applyFill="1"/>
    <xf numFmtId="164" fontId="4" fillId="3" borderId="0" xfId="0" applyNumberFormat="1" applyFont="1" applyFill="1"/>
    <xf numFmtId="0" fontId="5" fillId="0" borderId="0" xfId="0" applyFont="1"/>
    <xf numFmtId="15" fontId="4" fillId="0" borderId="0" xfId="0" applyNumberFormat="1" applyFont="1"/>
    <xf numFmtId="0" fontId="4" fillId="6" borderId="0" xfId="0" applyFont="1" applyFill="1"/>
    <xf numFmtId="0" fontId="4" fillId="7" borderId="0" xfId="0" applyFont="1" applyFill="1"/>
    <xf numFmtId="0" fontId="4" fillId="8" borderId="0" xfId="0" applyFont="1" applyFill="1"/>
    <xf numFmtId="0" fontId="8" fillId="0" borderId="0" xfId="0" applyFont="1"/>
    <xf numFmtId="0" fontId="4" fillId="4" borderId="0" xfId="0" applyFont="1" applyFill="1"/>
    <xf numFmtId="15" fontId="4" fillId="4" borderId="0" xfId="0" applyNumberFormat="1" applyFont="1" applyFill="1"/>
    <xf numFmtId="0" fontId="5" fillId="4" borderId="0" xfId="0" applyFont="1" applyFill="1"/>
    <xf numFmtId="0" fontId="8" fillId="4" borderId="0" xfId="0" applyFont="1" applyFill="1"/>
    <xf numFmtId="0" fontId="5" fillId="5" borderId="0" xfId="0" applyFont="1" applyFill="1"/>
    <xf numFmtId="0" fontId="1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-0.499984740745262"/>
  </sheetPr>
  <dimension ref="B8:C24"/>
  <sheetViews>
    <sheetView tabSelected="1" topLeftCell="A7" zoomScale="85" zoomScaleNormal="85" workbookViewId="0">
      <selection activeCell="C38" sqref="C37:C38"/>
    </sheetView>
  </sheetViews>
  <sheetFormatPr defaultRowHeight="14.4" x14ac:dyDescent="0.3"/>
  <cols>
    <col min="2" max="2" width="21.21875" customWidth="1"/>
    <col min="3" max="3" width="121.44140625" customWidth="1"/>
  </cols>
  <sheetData>
    <row r="8" spans="2:3" x14ac:dyDescent="0.3">
      <c r="B8" s="17" t="s">
        <v>164</v>
      </c>
      <c r="C8" s="17"/>
    </row>
    <row r="9" spans="2:3" x14ac:dyDescent="0.3">
      <c r="B9" t="s">
        <v>0</v>
      </c>
      <c r="C9" t="s">
        <v>158</v>
      </c>
    </row>
    <row r="10" spans="2:3" x14ac:dyDescent="0.3">
      <c r="B10" t="s">
        <v>1</v>
      </c>
    </row>
    <row r="11" spans="2:3" x14ac:dyDescent="0.3">
      <c r="B11" t="s">
        <v>2</v>
      </c>
    </row>
    <row r="12" spans="2:3" x14ac:dyDescent="0.3">
      <c r="B12" t="s">
        <v>3</v>
      </c>
      <c r="C12" t="s">
        <v>165</v>
      </c>
    </row>
    <row r="13" spans="2:3" x14ac:dyDescent="0.3">
      <c r="B13" t="s">
        <v>4</v>
      </c>
      <c r="C13" t="s">
        <v>166</v>
      </c>
    </row>
    <row r="14" spans="2:3" x14ac:dyDescent="0.3">
      <c r="B14" t="s">
        <v>159</v>
      </c>
      <c r="C14" t="s">
        <v>167</v>
      </c>
    </row>
    <row r="17" spans="2:3" x14ac:dyDescent="0.3">
      <c r="B17" s="17" t="s">
        <v>168</v>
      </c>
      <c r="C17" s="17"/>
    </row>
    <row r="18" spans="2:3" x14ac:dyDescent="0.3">
      <c r="B18" t="s">
        <v>72</v>
      </c>
      <c r="C18" t="s">
        <v>158</v>
      </c>
    </row>
    <row r="19" spans="2:3" x14ac:dyDescent="0.3">
      <c r="B19" t="s">
        <v>160</v>
      </c>
    </row>
    <row r="20" spans="2:3" x14ac:dyDescent="0.3">
      <c r="B20" t="s">
        <v>161</v>
      </c>
    </row>
    <row r="21" spans="2:3" x14ac:dyDescent="0.3">
      <c r="B21" t="s">
        <v>162</v>
      </c>
    </row>
    <row r="22" spans="2:3" x14ac:dyDescent="0.3">
      <c r="B22" t="s">
        <v>163</v>
      </c>
    </row>
    <row r="23" spans="2:3" x14ac:dyDescent="0.3">
      <c r="B23" t="s">
        <v>87</v>
      </c>
    </row>
    <row r="24" spans="2:3" x14ac:dyDescent="0.3">
      <c r="B24" t="s">
        <v>159</v>
      </c>
      <c r="C24" t="s">
        <v>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3"/>
  <sheetViews>
    <sheetView zoomScale="85" zoomScaleNormal="85" workbookViewId="0">
      <selection sqref="A1:AG1"/>
    </sheetView>
  </sheetViews>
  <sheetFormatPr defaultColWidth="8.33203125" defaultRowHeight="13.8" x14ac:dyDescent="0.3"/>
  <cols>
    <col min="1" max="1" width="20.109375" style="1" customWidth="1"/>
    <col min="2" max="2" width="12.77734375" style="1" customWidth="1"/>
    <col min="3" max="3" width="13.77734375" style="1" customWidth="1"/>
    <col min="4" max="4" width="11.5546875" style="1" customWidth="1"/>
    <col min="5" max="5" width="19.6640625" style="1" customWidth="1"/>
    <col min="6" max="6" width="9.6640625" style="1" bestFit="1" customWidth="1"/>
    <col min="7" max="7" width="6.5546875" style="1" bestFit="1" customWidth="1"/>
    <col min="8" max="8" width="6.109375" style="1" bestFit="1" customWidth="1"/>
    <col min="9" max="9" width="7" style="1" bestFit="1" customWidth="1"/>
    <col min="10" max="10" width="6" style="1" bestFit="1" customWidth="1"/>
    <col min="11" max="11" width="6.109375" style="1" bestFit="1" customWidth="1"/>
    <col min="12" max="12" width="8.5546875" style="1" bestFit="1" customWidth="1"/>
    <col min="13" max="13" width="6" style="1" bestFit="1" customWidth="1"/>
    <col min="14" max="14" width="8.77734375" style="1" bestFit="1" customWidth="1"/>
    <col min="15" max="15" width="6.6640625" style="1" bestFit="1" customWidth="1"/>
    <col min="16" max="16" width="6" style="1" bestFit="1" customWidth="1"/>
    <col min="17" max="17" width="11.77734375" style="1" bestFit="1" customWidth="1"/>
    <col min="18" max="18" width="6" style="1" bestFit="1" customWidth="1"/>
    <col min="19" max="19" width="10.88671875" style="1" bestFit="1" customWidth="1"/>
    <col min="20" max="20" width="6.109375" style="1" bestFit="1" customWidth="1"/>
    <col min="21" max="21" width="6.44140625" style="1" bestFit="1" customWidth="1"/>
    <col min="22" max="22" width="6.88671875" style="1" bestFit="1" customWidth="1"/>
    <col min="23" max="23" width="6.44140625" style="1" bestFit="1" customWidth="1"/>
    <col min="24" max="24" width="7.6640625" style="1" bestFit="1" customWidth="1"/>
    <col min="25" max="25" width="6" style="1" bestFit="1" customWidth="1"/>
    <col min="26" max="26" width="7.5546875" style="1" bestFit="1" customWidth="1"/>
    <col min="27" max="27" width="9" style="1" bestFit="1" customWidth="1"/>
    <col min="28" max="28" width="6" style="1" bestFit="1" customWidth="1"/>
    <col min="29" max="29" width="9.44140625" style="1" bestFit="1" customWidth="1"/>
    <col min="30" max="30" width="8.109375" style="1" bestFit="1" customWidth="1"/>
    <col min="31" max="31" width="11.21875" style="1" bestFit="1" customWidth="1"/>
    <col min="32" max="32" width="7.77734375" style="1" bestFit="1" customWidth="1"/>
    <col min="33" max="33" width="12.109375" style="1" bestFit="1" customWidth="1"/>
    <col min="34" max="16384" width="8.33203125" style="1"/>
  </cols>
  <sheetData>
    <row r="1" spans="1:33" s="6" customForma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</row>
    <row r="2" spans="1:33" x14ac:dyDescent="0.3">
      <c r="A2" s="1" t="s">
        <v>33</v>
      </c>
      <c r="B2" s="1" t="s">
        <v>34</v>
      </c>
      <c r="C2" s="1">
        <v>1</v>
      </c>
      <c r="D2" s="2">
        <v>40757</v>
      </c>
      <c r="E2" s="1" t="s">
        <v>35</v>
      </c>
      <c r="F2" s="1">
        <v>3.1070000000000002</v>
      </c>
      <c r="H2" s="1">
        <v>4.1000000000000002E-2</v>
      </c>
      <c r="I2" s="1">
        <v>2.5529999999999999</v>
      </c>
      <c r="J2" s="1">
        <v>0.32800000000000001</v>
      </c>
      <c r="L2" s="1">
        <v>0.50800000000000001</v>
      </c>
      <c r="P2" s="1">
        <v>1.365</v>
      </c>
      <c r="AG2" s="1">
        <v>0.81599999999999995</v>
      </c>
    </row>
    <row r="3" spans="1:33" x14ac:dyDescent="0.3">
      <c r="A3" s="1" t="s">
        <v>33</v>
      </c>
      <c r="B3" s="1" t="s">
        <v>34</v>
      </c>
      <c r="C3" s="1">
        <v>1</v>
      </c>
      <c r="D3" s="2">
        <v>40757</v>
      </c>
      <c r="E3" s="1" t="s">
        <v>36</v>
      </c>
      <c r="H3" s="1">
        <v>1E-3</v>
      </c>
      <c r="I3" s="1">
        <f>7.975+4.201</f>
        <v>12.175999999999998</v>
      </c>
      <c r="J3" s="1">
        <v>0.55100000000000005</v>
      </c>
      <c r="P3" s="1">
        <v>0.43</v>
      </c>
    </row>
    <row r="4" spans="1:33" x14ac:dyDescent="0.3">
      <c r="A4" s="1" t="s">
        <v>37</v>
      </c>
      <c r="B4" s="1" t="s">
        <v>34</v>
      </c>
      <c r="C4" s="1">
        <v>0</v>
      </c>
      <c r="D4" s="2">
        <v>40757</v>
      </c>
      <c r="E4" s="1" t="s">
        <v>35</v>
      </c>
      <c r="F4" s="1">
        <f>4.867+0.929</f>
        <v>5.7960000000000003</v>
      </c>
      <c r="I4" s="1">
        <v>2.1360000000000001</v>
      </c>
      <c r="J4" s="1">
        <v>0.31</v>
      </c>
      <c r="O4" s="1">
        <v>1.4419999999999999</v>
      </c>
      <c r="P4" s="1">
        <v>1.61</v>
      </c>
      <c r="AG4" s="1">
        <v>1.2230000000000001</v>
      </c>
    </row>
    <row r="5" spans="1:33" x14ac:dyDescent="0.3">
      <c r="A5" s="1" t="s">
        <v>37</v>
      </c>
      <c r="B5" s="1" t="s">
        <v>34</v>
      </c>
      <c r="C5" s="1">
        <v>0</v>
      </c>
      <c r="D5" s="2">
        <v>40757</v>
      </c>
      <c r="E5" s="1" t="s">
        <v>36</v>
      </c>
      <c r="F5" s="1">
        <v>0</v>
      </c>
      <c r="I5" s="1">
        <v>1.609</v>
      </c>
      <c r="J5" s="1">
        <v>1.9E-2</v>
      </c>
      <c r="O5" s="1">
        <v>0.108</v>
      </c>
      <c r="P5" s="1">
        <v>5.7000000000000002E-2</v>
      </c>
    </row>
    <row r="6" spans="1:33" x14ac:dyDescent="0.3">
      <c r="A6" s="1" t="s">
        <v>38</v>
      </c>
      <c r="B6" s="1" t="s">
        <v>34</v>
      </c>
      <c r="C6" s="1">
        <v>1</v>
      </c>
      <c r="D6" s="2">
        <v>40757</v>
      </c>
      <c r="E6" s="1" t="s">
        <v>35</v>
      </c>
      <c r="F6" s="1">
        <v>3.8650000000000002</v>
      </c>
      <c r="H6" s="1">
        <v>9.4E-2</v>
      </c>
      <c r="I6" s="1">
        <f>0.038+0.001</f>
        <v>3.9E-2</v>
      </c>
      <c r="L6" s="1">
        <v>0.05</v>
      </c>
      <c r="O6" s="1">
        <v>3.2650000000000001</v>
      </c>
      <c r="P6" s="1">
        <v>1.32</v>
      </c>
    </row>
    <row r="7" spans="1:33" x14ac:dyDescent="0.3">
      <c r="A7" s="1" t="s">
        <v>38</v>
      </c>
      <c r="B7" s="1" t="s">
        <v>34</v>
      </c>
      <c r="C7" s="1">
        <v>1</v>
      </c>
      <c r="D7" s="2">
        <v>40757</v>
      </c>
      <c r="E7" s="1" t="s">
        <v>36</v>
      </c>
      <c r="I7" s="1">
        <v>8.8999999999999996E-2</v>
      </c>
      <c r="O7" s="1">
        <v>1.1240000000000001</v>
      </c>
      <c r="P7" s="1">
        <v>0.155</v>
      </c>
    </row>
    <row r="8" spans="1:33" x14ac:dyDescent="0.3">
      <c r="A8" s="1" t="s">
        <v>40</v>
      </c>
      <c r="B8" s="1" t="s">
        <v>34</v>
      </c>
      <c r="C8" s="1">
        <v>1</v>
      </c>
      <c r="D8" s="2">
        <v>40758</v>
      </c>
      <c r="E8" s="1" t="s">
        <v>35</v>
      </c>
      <c r="F8" s="1">
        <f>2.761+1.288</f>
        <v>4.0490000000000004</v>
      </c>
      <c r="H8" s="1">
        <f>0.16+0.035</f>
        <v>0.19500000000000001</v>
      </c>
      <c r="I8" s="1">
        <f>1.664-0.29</f>
        <v>1.3739999999999999</v>
      </c>
      <c r="M8" s="1">
        <v>8.3000000000000004E-2</v>
      </c>
      <c r="P8" s="1">
        <v>2</v>
      </c>
      <c r="R8" s="1">
        <v>0.219</v>
      </c>
      <c r="X8" s="1">
        <v>0.16600000000000001</v>
      </c>
      <c r="Z8" s="1">
        <v>2.3279999999999998</v>
      </c>
      <c r="AA8" s="1">
        <v>0.19700000000000001</v>
      </c>
      <c r="AG8" s="1">
        <v>0.77800000000000002</v>
      </c>
    </row>
    <row r="9" spans="1:33" x14ac:dyDescent="0.3">
      <c r="A9" s="1" t="s">
        <v>40</v>
      </c>
      <c r="B9" s="1" t="s">
        <v>34</v>
      </c>
      <c r="C9" s="1">
        <v>1</v>
      </c>
      <c r="D9" s="2">
        <v>40758</v>
      </c>
      <c r="E9" s="1" t="s">
        <v>36</v>
      </c>
      <c r="F9" s="1">
        <v>0</v>
      </c>
      <c r="H9" s="1">
        <v>0.108</v>
      </c>
      <c r="I9" s="1">
        <v>0.626</v>
      </c>
      <c r="P9" s="1">
        <v>0.20599999999999999</v>
      </c>
    </row>
    <row r="10" spans="1:33" x14ac:dyDescent="0.3">
      <c r="A10" s="1" t="s">
        <v>41</v>
      </c>
      <c r="B10" s="1" t="s">
        <v>34</v>
      </c>
      <c r="C10" s="1">
        <v>1</v>
      </c>
      <c r="D10" s="2">
        <v>40758</v>
      </c>
      <c r="E10" s="1" t="s">
        <v>35</v>
      </c>
      <c r="F10" s="1">
        <f>5.198+1.54</f>
        <v>6.7380000000000004</v>
      </c>
      <c r="H10" s="1">
        <f>0.14+0.01</f>
        <v>0.15000000000000002</v>
      </c>
      <c r="I10" s="1">
        <v>1.012</v>
      </c>
      <c r="J10" s="1">
        <v>9.8000000000000004E-2</v>
      </c>
      <c r="O10" s="1">
        <v>0.96799999999999997</v>
      </c>
      <c r="P10" s="1">
        <v>3.77</v>
      </c>
      <c r="R10" s="1">
        <v>1.804</v>
      </c>
      <c r="U10" s="1">
        <v>0.47099999999999997</v>
      </c>
      <c r="X10" s="1">
        <v>0.39700000000000002</v>
      </c>
      <c r="Z10" s="1">
        <v>1.8740000000000001</v>
      </c>
      <c r="AG10" s="1">
        <f>1.058+0.015</f>
        <v>1.073</v>
      </c>
    </row>
    <row r="11" spans="1:33" x14ac:dyDescent="0.3">
      <c r="A11" s="1" t="s">
        <v>41</v>
      </c>
      <c r="B11" s="1" t="s">
        <v>34</v>
      </c>
      <c r="C11" s="1">
        <v>1</v>
      </c>
      <c r="D11" s="2">
        <v>40758</v>
      </c>
      <c r="E11" s="1" t="s">
        <v>36</v>
      </c>
      <c r="F11" s="1">
        <v>0</v>
      </c>
      <c r="H11" s="1">
        <v>5.3999999999999999E-2</v>
      </c>
      <c r="I11" s="1">
        <v>0.28899999999999998</v>
      </c>
      <c r="O11" s="1">
        <f>0.01+0.351</f>
        <v>0.36099999999999999</v>
      </c>
      <c r="P11" s="1">
        <v>0.48799999999999999</v>
      </c>
    </row>
    <row r="12" spans="1:33" s="4" customFormat="1" x14ac:dyDescent="0.3">
      <c r="A12" s="4" t="s">
        <v>42</v>
      </c>
      <c r="B12" s="4" t="s">
        <v>34</v>
      </c>
      <c r="C12" s="4">
        <v>1</v>
      </c>
      <c r="D12" s="5">
        <v>40757</v>
      </c>
      <c r="E12" s="4" t="s">
        <v>35</v>
      </c>
      <c r="F12" s="4">
        <f>8.153+2.024+2.815</f>
        <v>12.991999999999999</v>
      </c>
      <c r="H12" s="4">
        <v>3.0000000000000001E-3</v>
      </c>
      <c r="I12" s="4">
        <v>0.28699999999999998</v>
      </c>
      <c r="J12" s="4">
        <v>0.17499999999999999</v>
      </c>
      <c r="O12" s="4">
        <v>0.46300000000000002</v>
      </c>
      <c r="P12" s="4">
        <v>1.629</v>
      </c>
      <c r="AG12" s="4">
        <v>0.63400000000000001</v>
      </c>
    </row>
    <row r="13" spans="1:33" s="4" customFormat="1" x14ac:dyDescent="0.3">
      <c r="A13" s="4" t="s">
        <v>42</v>
      </c>
      <c r="B13" s="4" t="s">
        <v>34</v>
      </c>
      <c r="C13" s="4">
        <v>1</v>
      </c>
      <c r="D13" s="5">
        <v>40757</v>
      </c>
      <c r="E13" s="4" t="s">
        <v>36</v>
      </c>
      <c r="F13" s="4">
        <v>0</v>
      </c>
      <c r="I13" s="4">
        <v>0.157</v>
      </c>
      <c r="J13" s="4">
        <v>0.94299999999999995</v>
      </c>
      <c r="O13" s="4">
        <v>0.29599999999999999</v>
      </c>
      <c r="P13" s="4">
        <v>0.55000000000000004</v>
      </c>
    </row>
    <row r="14" spans="1:33" x14ac:dyDescent="0.3">
      <c r="A14" s="1" t="s">
        <v>43</v>
      </c>
      <c r="B14" s="1" t="s">
        <v>44</v>
      </c>
      <c r="C14" s="1">
        <v>1</v>
      </c>
      <c r="D14" s="2">
        <v>40750</v>
      </c>
      <c r="E14" s="1" t="s">
        <v>35</v>
      </c>
      <c r="F14" s="1">
        <v>4.4749999999999996</v>
      </c>
      <c r="H14" s="1">
        <v>8.0000000000000002E-3</v>
      </c>
      <c r="I14" s="1">
        <f>2.331+1.597</f>
        <v>3.9279999999999999</v>
      </c>
      <c r="J14" s="1">
        <f>0.008+0.23+0.047</f>
        <v>0.28500000000000003</v>
      </c>
      <c r="L14" s="1">
        <v>0.21099999999999999</v>
      </c>
      <c r="P14" s="1">
        <v>0.34200000000000003</v>
      </c>
      <c r="Q14" s="1">
        <v>0.02</v>
      </c>
      <c r="AG14" s="1">
        <v>1.5389999999999999</v>
      </c>
    </row>
    <row r="15" spans="1:33" x14ac:dyDescent="0.3">
      <c r="A15" s="1" t="s">
        <v>43</v>
      </c>
      <c r="B15" s="1" t="s">
        <v>44</v>
      </c>
      <c r="C15" s="1">
        <v>1</v>
      </c>
      <c r="D15" s="2">
        <v>40750</v>
      </c>
      <c r="E15" s="1" t="s">
        <v>36</v>
      </c>
      <c r="I15" s="1">
        <v>1.6919999999999999</v>
      </c>
      <c r="J15" s="1">
        <v>0.372</v>
      </c>
      <c r="P15" s="1">
        <v>6.0000000000000001E-3</v>
      </c>
    </row>
    <row r="16" spans="1:33" x14ac:dyDescent="0.3">
      <c r="A16" s="1" t="s">
        <v>45</v>
      </c>
      <c r="B16" s="1" t="s">
        <v>44</v>
      </c>
      <c r="C16" s="1">
        <v>0</v>
      </c>
      <c r="D16" s="2">
        <v>40750</v>
      </c>
      <c r="E16" s="1" t="s">
        <v>35</v>
      </c>
      <c r="F16" s="1">
        <f>2.414+3.188+0.265+0.088+0.465+0.259</f>
        <v>6.6790000000000003</v>
      </c>
      <c r="I16" s="1">
        <v>0.35199999999999998</v>
      </c>
      <c r="L16" s="1">
        <v>0.21199999999999999</v>
      </c>
      <c r="P16" s="1">
        <v>0.182</v>
      </c>
    </row>
    <row r="17" spans="1:33" x14ac:dyDescent="0.3">
      <c r="A17" s="1" t="s">
        <v>45</v>
      </c>
      <c r="B17" s="1" t="s">
        <v>44</v>
      </c>
      <c r="C17" s="1">
        <v>0</v>
      </c>
      <c r="D17" s="2">
        <v>40750</v>
      </c>
      <c r="E17" s="1" t="s">
        <v>36</v>
      </c>
      <c r="H17" s="1">
        <v>2.9000000000000001E-2</v>
      </c>
      <c r="I17" s="1">
        <v>0.108</v>
      </c>
      <c r="P17" s="1">
        <v>1.7999999999999999E-2</v>
      </c>
    </row>
    <row r="18" spans="1:33" x14ac:dyDescent="0.3">
      <c r="A18" s="1" t="s">
        <v>46</v>
      </c>
      <c r="B18" s="1" t="s">
        <v>47</v>
      </c>
      <c r="C18" s="1">
        <v>0</v>
      </c>
      <c r="D18" s="2">
        <v>40755</v>
      </c>
      <c r="E18" s="1" t="s">
        <v>35</v>
      </c>
      <c r="F18" s="1">
        <v>1.716</v>
      </c>
      <c r="G18" s="1">
        <v>1.744</v>
      </c>
      <c r="I18" s="1">
        <v>0.76100000000000001</v>
      </c>
      <c r="J18" s="1">
        <v>1.2270000000000001</v>
      </c>
      <c r="L18" s="1">
        <v>0.19</v>
      </c>
      <c r="N18" s="1">
        <v>1E-3</v>
      </c>
      <c r="P18" s="1">
        <v>1.0369999999999999</v>
      </c>
      <c r="AG18" s="1">
        <v>0.52400000000000002</v>
      </c>
    </row>
    <row r="19" spans="1:33" x14ac:dyDescent="0.3">
      <c r="A19" s="1" t="s">
        <v>46</v>
      </c>
      <c r="B19" s="1" t="s">
        <v>47</v>
      </c>
      <c r="C19" s="1">
        <v>0</v>
      </c>
      <c r="D19" s="2">
        <v>40755</v>
      </c>
      <c r="E19" s="1" t="s">
        <v>36</v>
      </c>
      <c r="G19" s="1">
        <v>1.865</v>
      </c>
      <c r="I19" s="1">
        <v>1.93</v>
      </c>
      <c r="J19" s="1">
        <v>1.452</v>
      </c>
      <c r="P19" s="1">
        <v>6.9000000000000006E-2</v>
      </c>
    </row>
    <row r="20" spans="1:33" x14ac:dyDescent="0.3">
      <c r="A20" s="1" t="s">
        <v>48</v>
      </c>
      <c r="B20" s="1" t="s">
        <v>47</v>
      </c>
      <c r="C20" s="1">
        <v>0</v>
      </c>
      <c r="D20" s="2">
        <v>40751</v>
      </c>
      <c r="E20" s="1" t="s">
        <v>35</v>
      </c>
      <c r="F20" s="1">
        <f>2.747+0.465+0.226+1.263+0.753</f>
        <v>5.4539999999999997</v>
      </c>
      <c r="G20" s="1">
        <v>0.107</v>
      </c>
      <c r="H20" s="1">
        <v>0.04</v>
      </c>
      <c r="I20" s="1">
        <v>1.708</v>
      </c>
      <c r="J20" s="1">
        <v>0.379</v>
      </c>
      <c r="L20" s="1">
        <v>0.184</v>
      </c>
      <c r="O20" s="1">
        <v>4.0000000000000001E-3</v>
      </c>
      <c r="P20" s="1">
        <f>1.157+3.082</f>
        <v>4.2389999999999999</v>
      </c>
      <c r="AG20" s="1">
        <f>0.719+0.004</f>
        <v>0.72299999999999998</v>
      </c>
    </row>
    <row r="21" spans="1:33" x14ac:dyDescent="0.3">
      <c r="A21" s="1" t="s">
        <v>48</v>
      </c>
      <c r="B21" s="1" t="s">
        <v>47</v>
      </c>
      <c r="C21" s="1">
        <v>0</v>
      </c>
      <c r="D21" s="2">
        <v>40751</v>
      </c>
      <c r="E21" s="1" t="s">
        <v>36</v>
      </c>
      <c r="G21" s="1">
        <v>8.5000000000000006E-2</v>
      </c>
      <c r="H21" s="1">
        <v>1.2E-2</v>
      </c>
      <c r="I21" s="1">
        <v>2.8180000000000001</v>
      </c>
      <c r="J21" s="1">
        <v>0.33300000000000002</v>
      </c>
      <c r="P21" s="1">
        <v>0.41899999999999998</v>
      </c>
    </row>
    <row r="22" spans="1:33" x14ac:dyDescent="0.3">
      <c r="A22" s="1" t="s">
        <v>49</v>
      </c>
      <c r="B22" s="1" t="s">
        <v>47</v>
      </c>
      <c r="C22" s="1">
        <v>1</v>
      </c>
      <c r="D22" s="2">
        <v>40754</v>
      </c>
      <c r="E22" s="1" t="s">
        <v>35</v>
      </c>
      <c r="F22" s="1">
        <f>4.465+0.562</f>
        <v>5.0270000000000001</v>
      </c>
      <c r="G22" s="1">
        <v>7.0000000000000007E-2</v>
      </c>
      <c r="H22" s="1">
        <v>7.9000000000000001E-2</v>
      </c>
      <c r="I22" s="1">
        <f>1.291+0.118</f>
        <v>1.4089999999999998</v>
      </c>
      <c r="J22" s="1">
        <v>3.0000000000000001E-3</v>
      </c>
      <c r="L22" s="1">
        <v>0.09</v>
      </c>
      <c r="P22" s="1">
        <v>3.15</v>
      </c>
      <c r="Q22" s="1">
        <v>3.1970000000000001</v>
      </c>
      <c r="R22" s="1">
        <v>1.075</v>
      </c>
      <c r="AG22" s="1">
        <f>0.408+0.016</f>
        <v>0.42399999999999999</v>
      </c>
    </row>
    <row r="23" spans="1:33" x14ac:dyDescent="0.3">
      <c r="A23" s="1" t="s">
        <v>49</v>
      </c>
      <c r="B23" s="1" t="s">
        <v>47</v>
      </c>
      <c r="C23" s="1">
        <v>1</v>
      </c>
      <c r="D23" s="2">
        <v>40754</v>
      </c>
      <c r="E23" s="1" t="s">
        <v>36</v>
      </c>
      <c r="H23" s="1">
        <v>1.4E-2</v>
      </c>
      <c r="I23" s="1">
        <v>2.2669999999999999</v>
      </c>
      <c r="J23" s="1">
        <v>1.4E-2</v>
      </c>
      <c r="P23" s="1">
        <v>0.99399999999999999</v>
      </c>
      <c r="AG23" s="1">
        <v>2.7E-2</v>
      </c>
    </row>
    <row r="24" spans="1:33" x14ac:dyDescent="0.3">
      <c r="A24" s="1" t="s">
        <v>50</v>
      </c>
      <c r="B24" s="1" t="s">
        <v>47</v>
      </c>
      <c r="C24" s="1">
        <v>1</v>
      </c>
      <c r="D24" s="2">
        <v>40751</v>
      </c>
      <c r="E24" s="1" t="s">
        <v>35</v>
      </c>
      <c r="F24" s="1">
        <f>1.472+0.138+0.417+0.083</f>
        <v>2.11</v>
      </c>
      <c r="G24" s="1">
        <v>0.33300000000000002</v>
      </c>
      <c r="H24" s="1">
        <v>3.6999999999999998E-2</v>
      </c>
      <c r="I24" s="1">
        <v>3.1779999999999999</v>
      </c>
      <c r="J24" s="1">
        <f>2.072+0.148</f>
        <v>2.2200000000000002</v>
      </c>
      <c r="L24" s="1">
        <v>0.20399999999999999</v>
      </c>
      <c r="P24" s="1">
        <v>1.2330000000000001</v>
      </c>
      <c r="R24" s="1">
        <v>0.28199999999999997</v>
      </c>
      <c r="AG24" s="1">
        <v>0.17299999999999999</v>
      </c>
    </row>
    <row r="25" spans="1:33" x14ac:dyDescent="0.3">
      <c r="A25" s="1" t="s">
        <v>50</v>
      </c>
      <c r="B25" s="1" t="s">
        <v>47</v>
      </c>
      <c r="C25" s="1">
        <v>1</v>
      </c>
      <c r="D25" s="2">
        <v>40751</v>
      </c>
      <c r="E25" s="1" t="s">
        <v>36</v>
      </c>
      <c r="G25" s="1">
        <v>0.27400000000000002</v>
      </c>
      <c r="H25" s="1">
        <v>0.01</v>
      </c>
      <c r="I25" s="1">
        <v>4.2919999999999998</v>
      </c>
      <c r="J25" s="1">
        <f>2.733+0.148</f>
        <v>2.8810000000000002</v>
      </c>
      <c r="P25" s="1">
        <v>1.129</v>
      </c>
    </row>
    <row r="26" spans="1:33" x14ac:dyDescent="0.3">
      <c r="A26" s="1" t="s">
        <v>51</v>
      </c>
      <c r="B26" s="1" t="s">
        <v>47</v>
      </c>
      <c r="C26" s="1">
        <v>1</v>
      </c>
      <c r="D26" s="2">
        <v>40756</v>
      </c>
      <c r="E26" s="1" t="s">
        <v>35</v>
      </c>
      <c r="F26" s="1">
        <v>2.117</v>
      </c>
      <c r="G26" s="1">
        <f>0.753+0.072</f>
        <v>0.82499999999999996</v>
      </c>
      <c r="H26" s="1">
        <f>0.048+0.073</f>
        <v>0.121</v>
      </c>
      <c r="I26" s="1">
        <v>1.6830000000000001</v>
      </c>
      <c r="J26" s="1">
        <v>5.1999999999999998E-2</v>
      </c>
      <c r="L26" s="1">
        <v>0.42799999999999999</v>
      </c>
      <c r="P26" s="1">
        <f>5.464+0.018</f>
        <v>5.4820000000000002</v>
      </c>
      <c r="Q26" s="1">
        <v>0.65500000000000003</v>
      </c>
      <c r="AG26" s="1">
        <v>0.63900000000000001</v>
      </c>
    </row>
    <row r="27" spans="1:33" x14ac:dyDescent="0.3">
      <c r="A27" s="1" t="s">
        <v>51</v>
      </c>
      <c r="B27" s="1" t="s">
        <v>47</v>
      </c>
      <c r="C27" s="1">
        <v>1</v>
      </c>
      <c r="D27" s="2">
        <v>40756</v>
      </c>
      <c r="E27" s="1" t="s">
        <v>36</v>
      </c>
      <c r="G27" s="1">
        <v>0.59199999999999997</v>
      </c>
      <c r="I27" s="1">
        <v>4.4939999999999998</v>
      </c>
      <c r="J27" s="1">
        <v>5.6000000000000001E-2</v>
      </c>
      <c r="P27" s="1">
        <v>1.865</v>
      </c>
    </row>
    <row r="28" spans="1:33" x14ac:dyDescent="0.3">
      <c r="A28" s="1" t="s">
        <v>52</v>
      </c>
      <c r="B28" s="1" t="s">
        <v>53</v>
      </c>
      <c r="C28" s="1">
        <v>1</v>
      </c>
      <c r="D28" s="2">
        <v>40759</v>
      </c>
      <c r="E28" s="1" t="s">
        <v>35</v>
      </c>
      <c r="F28" s="1">
        <f>5.282+1.979</f>
        <v>7.2610000000000001</v>
      </c>
      <c r="H28" s="1">
        <v>2.1000000000000001E-2</v>
      </c>
      <c r="I28" s="1">
        <v>0.24099999999999999</v>
      </c>
      <c r="K28" s="1">
        <v>3.1120000000000001</v>
      </c>
      <c r="L28" s="1">
        <v>0.26900000000000002</v>
      </c>
      <c r="P28" s="1">
        <v>0.151</v>
      </c>
      <c r="Q28" s="1">
        <v>0.89</v>
      </c>
      <c r="AC28" s="1">
        <v>3.7759999999999998</v>
      </c>
      <c r="AG28" s="1">
        <v>0.88800000000000001</v>
      </c>
    </row>
    <row r="29" spans="1:33" x14ac:dyDescent="0.3">
      <c r="A29" s="1" t="s">
        <v>52</v>
      </c>
      <c r="B29" s="1" t="s">
        <v>53</v>
      </c>
      <c r="C29" s="1">
        <v>1</v>
      </c>
      <c r="D29" s="2">
        <v>40759</v>
      </c>
      <c r="E29" s="1" t="s">
        <v>36</v>
      </c>
      <c r="F29" s="1">
        <v>0</v>
      </c>
      <c r="H29" s="1">
        <v>1.2E-2</v>
      </c>
      <c r="I29" s="1">
        <v>0.34699999999999998</v>
      </c>
      <c r="P29" s="1">
        <v>8.0000000000000002E-3</v>
      </c>
    </row>
    <row r="30" spans="1:33" x14ac:dyDescent="0.3">
      <c r="A30" s="1" t="s">
        <v>54</v>
      </c>
      <c r="B30" s="1" t="s">
        <v>53</v>
      </c>
      <c r="C30" s="1">
        <v>1</v>
      </c>
      <c r="D30" s="2">
        <v>40764</v>
      </c>
      <c r="E30" s="1" t="s">
        <v>35</v>
      </c>
      <c r="F30" s="1">
        <f>3.22+1.364</f>
        <v>4.5840000000000005</v>
      </c>
      <c r="G30" s="1">
        <v>0.746</v>
      </c>
      <c r="H30" s="1">
        <v>8.0000000000000002E-3</v>
      </c>
      <c r="I30" s="1">
        <f>0.444+0.006</f>
        <v>0.45</v>
      </c>
      <c r="J30" s="1">
        <v>0.26</v>
      </c>
      <c r="K30" s="1">
        <v>6.3029999999999999</v>
      </c>
      <c r="L30" s="1">
        <v>0.86199999999999999</v>
      </c>
      <c r="N30" s="1">
        <v>9.4E-2</v>
      </c>
      <c r="O30" s="1">
        <v>1.7000000000000001E-2</v>
      </c>
      <c r="P30" s="1">
        <v>1.53</v>
      </c>
      <c r="S30" s="1">
        <v>0.48199999999999998</v>
      </c>
      <c r="T30" s="1">
        <v>7.4999999999999997E-2</v>
      </c>
      <c r="W30" s="1">
        <v>6.6000000000000003E-2</v>
      </c>
      <c r="AG30" s="1">
        <v>0.14699999999999999</v>
      </c>
    </row>
    <row r="31" spans="1:33" x14ac:dyDescent="0.3">
      <c r="A31" s="1" t="s">
        <v>54</v>
      </c>
      <c r="B31" s="1" t="s">
        <v>53</v>
      </c>
      <c r="C31" s="1">
        <v>1</v>
      </c>
      <c r="D31" s="2">
        <v>40764</v>
      </c>
      <c r="E31" s="1" t="s">
        <v>36</v>
      </c>
      <c r="F31" s="1">
        <v>0</v>
      </c>
      <c r="G31" s="1">
        <v>0.57299999999999995</v>
      </c>
      <c r="H31" s="1">
        <v>2.8000000000000001E-2</v>
      </c>
      <c r="I31" s="1">
        <v>0.89900000000000002</v>
      </c>
      <c r="J31" s="1">
        <v>0.54200000000000004</v>
      </c>
      <c r="N31" s="1">
        <v>1E-3</v>
      </c>
      <c r="P31" s="1">
        <v>2.1000000000000001E-2</v>
      </c>
    </row>
    <row r="32" spans="1:33" x14ac:dyDescent="0.3">
      <c r="A32" s="1" t="s">
        <v>55</v>
      </c>
      <c r="B32" s="1" t="s">
        <v>53</v>
      </c>
      <c r="C32" s="1">
        <v>1</v>
      </c>
      <c r="D32" s="2">
        <v>40764</v>
      </c>
      <c r="E32" s="1" t="s">
        <v>35</v>
      </c>
      <c r="F32" s="1">
        <v>2.0750000000000002</v>
      </c>
      <c r="G32" s="1">
        <f>0.654+0.013</f>
        <v>0.66700000000000004</v>
      </c>
      <c r="H32" s="1">
        <v>1.2E-2</v>
      </c>
      <c r="I32" s="1">
        <v>1.2609999999999999</v>
      </c>
      <c r="J32" s="1">
        <v>0.41899999999999998</v>
      </c>
      <c r="K32" s="1">
        <v>1.7529999999999999</v>
      </c>
      <c r="L32" s="1">
        <v>0.45500000000000002</v>
      </c>
      <c r="M32" s="1">
        <v>0.1</v>
      </c>
      <c r="N32" s="1">
        <f>0.039+0.011</f>
        <v>0.05</v>
      </c>
      <c r="O32" s="1">
        <v>0.21199999999999999</v>
      </c>
      <c r="P32" s="1">
        <v>1.1220000000000001</v>
      </c>
      <c r="R32" s="1">
        <v>0.186</v>
      </c>
      <c r="S32" s="1">
        <v>0.11600000000000001</v>
      </c>
      <c r="AG32" s="1">
        <v>0.16900000000000001</v>
      </c>
    </row>
    <row r="33" spans="1:33" x14ac:dyDescent="0.3">
      <c r="A33" s="1" t="s">
        <v>55</v>
      </c>
      <c r="B33" s="1" t="s">
        <v>53</v>
      </c>
      <c r="C33" s="1">
        <v>1</v>
      </c>
      <c r="D33" s="2">
        <v>40764</v>
      </c>
      <c r="E33" s="1" t="s">
        <v>36</v>
      </c>
      <c r="F33" s="1">
        <v>0</v>
      </c>
      <c r="G33" s="1">
        <v>0.128</v>
      </c>
      <c r="H33" s="1">
        <v>6.0000000000000001E-3</v>
      </c>
      <c r="I33" s="1">
        <v>0.19600000000000001</v>
      </c>
      <c r="J33" s="1">
        <v>0.755</v>
      </c>
      <c r="O33" s="1">
        <v>2.7E-2</v>
      </c>
      <c r="P33" s="1">
        <v>0.26800000000000002</v>
      </c>
    </row>
    <row r="34" spans="1:33" x14ac:dyDescent="0.3">
      <c r="A34" s="1" t="s">
        <v>56</v>
      </c>
      <c r="B34" s="1" t="s">
        <v>53</v>
      </c>
      <c r="C34" s="1">
        <v>1</v>
      </c>
      <c r="D34" s="2">
        <v>40764</v>
      </c>
      <c r="E34" s="1" t="s">
        <v>35</v>
      </c>
      <c r="F34" s="1">
        <f>3.706+1.063+4.711</f>
        <v>9.48</v>
      </c>
      <c r="G34" s="1">
        <v>0.67</v>
      </c>
      <c r="H34" s="1">
        <v>2.7E-2</v>
      </c>
      <c r="I34" s="1">
        <v>0.44500000000000001</v>
      </c>
      <c r="J34" s="1">
        <v>0.30399999999999999</v>
      </c>
      <c r="K34" s="1">
        <v>0.52200000000000002</v>
      </c>
      <c r="L34" s="1">
        <v>0.36</v>
      </c>
      <c r="M34" s="1">
        <v>0.153</v>
      </c>
      <c r="O34" s="1">
        <v>0.80900000000000005</v>
      </c>
      <c r="P34" s="1">
        <v>2.2360000000000002</v>
      </c>
      <c r="Q34" s="1">
        <v>0.19800000000000001</v>
      </c>
      <c r="R34" s="1">
        <v>4.9000000000000002E-2</v>
      </c>
      <c r="X34" s="1">
        <v>6.7000000000000004E-2</v>
      </c>
      <c r="AB34" s="1">
        <v>0.441</v>
      </c>
      <c r="AC34" s="1">
        <v>0.77400000000000002</v>
      </c>
      <c r="AD34" s="1">
        <v>2.8000000000000001E-2</v>
      </c>
      <c r="AG34" s="1">
        <v>0.372</v>
      </c>
    </row>
    <row r="35" spans="1:33" x14ac:dyDescent="0.3">
      <c r="A35" s="1" t="s">
        <v>56</v>
      </c>
      <c r="B35" s="1" t="s">
        <v>53</v>
      </c>
      <c r="C35" s="1">
        <v>1</v>
      </c>
      <c r="D35" s="2">
        <v>40764</v>
      </c>
      <c r="E35" s="1" t="s">
        <v>36</v>
      </c>
      <c r="G35" s="1">
        <v>8.7999999999999995E-2</v>
      </c>
      <c r="H35" s="1">
        <v>1.9E-2</v>
      </c>
      <c r="I35" s="1">
        <v>0.11700000000000001</v>
      </c>
      <c r="J35" s="1">
        <v>0.246</v>
      </c>
      <c r="O35" s="1">
        <v>0.112</v>
      </c>
      <c r="P35" s="1">
        <v>8.9999999999999993E-3</v>
      </c>
    </row>
    <row r="36" spans="1:33" x14ac:dyDescent="0.3">
      <c r="A36" s="1" t="s">
        <v>57</v>
      </c>
      <c r="B36" s="1" t="s">
        <v>53</v>
      </c>
      <c r="C36" s="1">
        <v>1</v>
      </c>
      <c r="D36" s="2">
        <v>40764</v>
      </c>
      <c r="E36" s="1" t="s">
        <v>35</v>
      </c>
      <c r="F36" s="1">
        <f>0.342+4.524</f>
        <v>4.8659999999999997</v>
      </c>
      <c r="I36" s="1">
        <v>0.127</v>
      </c>
      <c r="K36" s="1">
        <v>4.6840000000000002</v>
      </c>
      <c r="L36" s="1">
        <v>1.2E-2</v>
      </c>
      <c r="R36" s="1">
        <v>1.4E-2</v>
      </c>
      <c r="X36" s="1">
        <v>0.629</v>
      </c>
      <c r="AD36" s="1">
        <v>3.5999999999999997E-2</v>
      </c>
      <c r="AG36" s="1">
        <v>0.16900000000000001</v>
      </c>
    </row>
    <row r="37" spans="1:33" x14ac:dyDescent="0.3">
      <c r="A37" s="1" t="s">
        <v>57</v>
      </c>
      <c r="B37" s="1" t="s">
        <v>53</v>
      </c>
      <c r="C37" s="1">
        <v>1</v>
      </c>
      <c r="D37" s="2">
        <v>40764</v>
      </c>
      <c r="E37" s="1" t="s">
        <v>36</v>
      </c>
      <c r="I37" s="1">
        <v>0.307</v>
      </c>
      <c r="J37" s="1">
        <v>1.9E-2</v>
      </c>
      <c r="K37" s="1">
        <v>1.165</v>
      </c>
    </row>
    <row r="38" spans="1:33" x14ac:dyDescent="0.3">
      <c r="A38" s="1" t="s">
        <v>58</v>
      </c>
      <c r="B38" s="1" t="s">
        <v>53</v>
      </c>
      <c r="C38" s="1">
        <v>1</v>
      </c>
      <c r="D38" s="2">
        <v>40764</v>
      </c>
      <c r="E38" s="1" t="s">
        <v>35</v>
      </c>
      <c r="F38" s="1">
        <v>4.96</v>
      </c>
      <c r="G38" s="1">
        <v>0.13600000000000001</v>
      </c>
      <c r="H38" s="1">
        <v>4.5999999999999999E-2</v>
      </c>
      <c r="I38" s="1">
        <v>0.92300000000000004</v>
      </c>
      <c r="J38" s="1">
        <v>0.28799999999999998</v>
      </c>
      <c r="K38" s="1">
        <v>1.6240000000000001</v>
      </c>
      <c r="L38" s="1">
        <v>3.52</v>
      </c>
      <c r="N38" s="1">
        <f>0.035+0.022</f>
        <v>5.7000000000000002E-2</v>
      </c>
      <c r="P38" s="1">
        <v>0.27700000000000002</v>
      </c>
      <c r="X38" s="1">
        <v>0.11899999999999999</v>
      </c>
      <c r="AG38" s="1">
        <v>0.313</v>
      </c>
    </row>
    <row r="39" spans="1:33" x14ac:dyDescent="0.3">
      <c r="A39" s="1" t="s">
        <v>58</v>
      </c>
      <c r="B39" s="1" t="s">
        <v>53</v>
      </c>
      <c r="C39" s="1">
        <v>1</v>
      </c>
      <c r="D39" s="2">
        <v>40764</v>
      </c>
      <c r="E39" s="1" t="s">
        <v>36</v>
      </c>
      <c r="G39" s="1">
        <v>0.23100000000000001</v>
      </c>
      <c r="I39" s="1">
        <v>0.753</v>
      </c>
      <c r="J39" s="1">
        <v>0.62</v>
      </c>
      <c r="K39" s="1">
        <v>0.67300000000000004</v>
      </c>
      <c r="P39" s="1">
        <v>6.0999999999999999E-2</v>
      </c>
    </row>
    <row r="40" spans="1:33" x14ac:dyDescent="0.3">
      <c r="A40" s="1" t="s">
        <v>59</v>
      </c>
      <c r="B40" s="1" t="s">
        <v>53</v>
      </c>
      <c r="C40" s="1">
        <v>1</v>
      </c>
      <c r="D40" s="2">
        <v>40750</v>
      </c>
      <c r="E40" s="1" t="s">
        <v>35</v>
      </c>
      <c r="F40" s="1">
        <f>5.549+0.118+1.274+0.406+0.145+0.339+0.616</f>
        <v>8.447000000000001</v>
      </c>
      <c r="G40" s="1">
        <v>1.4E-2</v>
      </c>
      <c r="H40" s="1">
        <v>3.7999999999999999E-2</v>
      </c>
      <c r="I40" s="1">
        <f>0.316+0.091</f>
        <v>0.40700000000000003</v>
      </c>
      <c r="J40" s="1">
        <v>1E-3</v>
      </c>
      <c r="L40" s="1">
        <v>0.21099999999999999</v>
      </c>
      <c r="N40" s="1">
        <v>8.3000000000000004E-2</v>
      </c>
      <c r="P40" s="1">
        <v>0.91800000000000004</v>
      </c>
      <c r="X40" s="1">
        <v>0.38400000000000001</v>
      </c>
      <c r="AB40" s="1">
        <v>0.435</v>
      </c>
      <c r="AG40" s="1">
        <v>0.747</v>
      </c>
    </row>
    <row r="41" spans="1:33" x14ac:dyDescent="0.3">
      <c r="A41" s="1" t="s">
        <v>59</v>
      </c>
      <c r="B41" s="1" t="s">
        <v>53</v>
      </c>
      <c r="C41" s="1">
        <v>1</v>
      </c>
      <c r="D41" s="2">
        <v>40750</v>
      </c>
      <c r="E41" s="1" t="s">
        <v>36</v>
      </c>
      <c r="H41" s="1">
        <v>6.0000000000000001E-3</v>
      </c>
      <c r="I41" s="1">
        <v>0.58399999999999996</v>
      </c>
      <c r="J41" s="1">
        <v>7.0000000000000007E-2</v>
      </c>
      <c r="P41" s="1">
        <v>1.0349999999999999</v>
      </c>
    </row>
    <row r="42" spans="1:33" x14ac:dyDescent="0.3">
      <c r="A42" s="1" t="s">
        <v>60</v>
      </c>
      <c r="B42" s="1" t="s">
        <v>53</v>
      </c>
      <c r="C42" s="1">
        <v>1</v>
      </c>
      <c r="D42" s="2">
        <v>40763</v>
      </c>
      <c r="E42" s="1" t="s">
        <v>35</v>
      </c>
      <c r="F42" s="1">
        <f>5.236+3.086+1.074</f>
        <v>9.395999999999999</v>
      </c>
      <c r="H42" s="1">
        <v>7.8E-2</v>
      </c>
      <c r="I42" s="1">
        <f>1.101+0.035</f>
        <v>1.1359999999999999</v>
      </c>
      <c r="J42" s="1">
        <v>0.46100000000000002</v>
      </c>
      <c r="L42" s="1">
        <v>1.26</v>
      </c>
      <c r="N42" s="1">
        <v>3.5999999999999997E-2</v>
      </c>
      <c r="O42" s="1">
        <v>8.3000000000000004E-2</v>
      </c>
      <c r="P42" s="1">
        <v>6.2119999999999997</v>
      </c>
      <c r="AG42" s="1">
        <v>1.5089999999999999</v>
      </c>
    </row>
    <row r="43" spans="1:33" x14ac:dyDescent="0.3">
      <c r="A43" s="1" t="s">
        <v>60</v>
      </c>
      <c r="B43" s="1" t="s">
        <v>53</v>
      </c>
      <c r="C43" s="1">
        <v>1</v>
      </c>
      <c r="D43" s="2">
        <v>40763</v>
      </c>
      <c r="E43" s="1" t="s">
        <v>36</v>
      </c>
      <c r="G43" s="1">
        <v>0.24099999999999999</v>
      </c>
      <c r="H43" s="1">
        <v>2E-3</v>
      </c>
      <c r="I43" s="1">
        <f>0.5+0.055</f>
        <v>0.55500000000000005</v>
      </c>
      <c r="J43" s="1">
        <v>0.77500000000000002</v>
      </c>
      <c r="N43" s="1">
        <v>4.7E-2</v>
      </c>
      <c r="O43" s="1">
        <v>0.05</v>
      </c>
      <c r="P43" s="1">
        <v>0.26800000000000002</v>
      </c>
      <c r="R43" s="1">
        <v>9.6000000000000002E-2</v>
      </c>
    </row>
    <row r="44" spans="1:33" x14ac:dyDescent="0.3">
      <c r="A44" s="1" t="s">
        <v>61</v>
      </c>
      <c r="B44" s="1" t="s">
        <v>53</v>
      </c>
      <c r="C44" s="1">
        <v>1</v>
      </c>
      <c r="D44" s="2">
        <v>40763</v>
      </c>
      <c r="E44" s="1" t="s">
        <v>35</v>
      </c>
      <c r="F44" s="1">
        <v>6.1760000000000002</v>
      </c>
      <c r="H44" s="1">
        <v>0.18</v>
      </c>
      <c r="I44" s="1">
        <v>0.89400000000000002</v>
      </c>
      <c r="J44" s="1">
        <v>0.106</v>
      </c>
      <c r="L44" s="1">
        <v>0.371</v>
      </c>
      <c r="O44" s="1">
        <v>4.3999999999999997E-2</v>
      </c>
      <c r="P44" s="1">
        <v>4.2229999999999999</v>
      </c>
      <c r="Q44" s="1">
        <v>0.121</v>
      </c>
      <c r="R44" s="1">
        <v>0.114</v>
      </c>
      <c r="X44" s="1">
        <v>0.108</v>
      </c>
      <c r="AG44" s="1">
        <v>1.0780000000000001</v>
      </c>
    </row>
    <row r="45" spans="1:33" x14ac:dyDescent="0.3">
      <c r="A45" s="1" t="s">
        <v>61</v>
      </c>
      <c r="B45" s="1" t="s">
        <v>53</v>
      </c>
      <c r="C45" s="1">
        <v>1</v>
      </c>
      <c r="D45" s="2">
        <v>40763</v>
      </c>
      <c r="E45" s="1" t="s">
        <v>36</v>
      </c>
      <c r="H45" s="1">
        <v>5.2999999999999999E-2</v>
      </c>
      <c r="I45" s="1">
        <v>0.63200000000000001</v>
      </c>
      <c r="J45" s="1">
        <v>0.112</v>
      </c>
      <c r="P45" s="1">
        <v>1.1479999999999999</v>
      </c>
    </row>
    <row r="46" spans="1:33" x14ac:dyDescent="0.3">
      <c r="A46" s="1" t="s">
        <v>62</v>
      </c>
      <c r="B46" s="1" t="s">
        <v>53</v>
      </c>
      <c r="C46" s="1">
        <v>1</v>
      </c>
      <c r="D46" s="2">
        <v>40763</v>
      </c>
      <c r="E46" s="1" t="s">
        <v>35</v>
      </c>
      <c r="F46" s="1">
        <f>4.238+3.645+3.894+2.376</f>
        <v>14.153</v>
      </c>
      <c r="H46" s="1">
        <f>0.002+0.021</f>
        <v>2.3E-2</v>
      </c>
      <c r="I46" s="1">
        <v>0.10299999999999999</v>
      </c>
      <c r="L46" s="1">
        <v>7.9000000000000001E-2</v>
      </c>
      <c r="O46" s="1">
        <v>2.1000000000000001E-2</v>
      </c>
      <c r="P46" s="1">
        <v>7.5999999999999998E-2</v>
      </c>
      <c r="R46" s="1">
        <v>0.13</v>
      </c>
      <c r="V46" s="1">
        <v>3.1E-2</v>
      </c>
      <c r="W46" s="1">
        <v>5.2999999999999999E-2</v>
      </c>
      <c r="Y46" s="1">
        <v>3.5000000000000003E-2</v>
      </c>
      <c r="AG46" s="1">
        <v>0.125</v>
      </c>
    </row>
    <row r="47" spans="1:33" x14ac:dyDescent="0.3">
      <c r="A47" s="1" t="s">
        <v>62</v>
      </c>
      <c r="B47" s="1" t="s">
        <v>53</v>
      </c>
      <c r="C47" s="1">
        <v>1</v>
      </c>
      <c r="D47" s="2">
        <v>40763</v>
      </c>
      <c r="E47" s="1" t="s">
        <v>36</v>
      </c>
      <c r="F47" s="1">
        <v>0</v>
      </c>
      <c r="H47" s="1">
        <v>0.05</v>
      </c>
      <c r="I47" s="1">
        <v>0.33600000000000002</v>
      </c>
    </row>
    <row r="48" spans="1:33" x14ac:dyDescent="0.3">
      <c r="A48" s="1" t="s">
        <v>63</v>
      </c>
      <c r="B48" s="1" t="s">
        <v>64</v>
      </c>
      <c r="C48" s="1">
        <v>1</v>
      </c>
      <c r="D48" s="2">
        <v>40766</v>
      </c>
      <c r="E48" s="1" t="s">
        <v>35</v>
      </c>
      <c r="F48" s="1">
        <v>3.1920000000000002</v>
      </c>
      <c r="H48" s="1">
        <v>8.0000000000000002E-3</v>
      </c>
      <c r="I48" s="1">
        <v>3.3319999999999999</v>
      </c>
      <c r="J48" s="1">
        <v>5.7000000000000002E-2</v>
      </c>
      <c r="L48" s="1">
        <v>0.71099999999999997</v>
      </c>
      <c r="N48" s="1">
        <v>0.1</v>
      </c>
      <c r="P48" s="1">
        <v>2.823</v>
      </c>
      <c r="AC48" s="1">
        <v>0.70899999999999996</v>
      </c>
      <c r="AD48" s="1">
        <v>4.2000000000000003E-2</v>
      </c>
      <c r="AG48" s="1">
        <v>1.323</v>
      </c>
    </row>
    <row r="49" spans="1:33" x14ac:dyDescent="0.3">
      <c r="A49" s="1" t="s">
        <v>63</v>
      </c>
      <c r="B49" s="1" t="s">
        <v>64</v>
      </c>
      <c r="C49" s="1">
        <v>1</v>
      </c>
      <c r="D49" s="2">
        <v>40766</v>
      </c>
      <c r="E49" s="1" t="s">
        <v>36</v>
      </c>
      <c r="I49" s="1">
        <v>1.8859999999999999</v>
      </c>
      <c r="J49" s="1">
        <v>2.9000000000000001E-2</v>
      </c>
      <c r="P49" s="1">
        <v>0.379</v>
      </c>
    </row>
    <row r="50" spans="1:33" x14ac:dyDescent="0.3">
      <c r="A50" s="1" t="s">
        <v>65</v>
      </c>
      <c r="B50" s="1" t="s">
        <v>64</v>
      </c>
      <c r="C50" s="1">
        <v>1</v>
      </c>
      <c r="D50" s="2">
        <v>40766</v>
      </c>
      <c r="E50" s="1" t="s">
        <v>35</v>
      </c>
      <c r="F50" s="1">
        <v>1.256</v>
      </c>
      <c r="H50" s="1">
        <v>1.7000000000000001E-2</v>
      </c>
      <c r="I50" s="1">
        <f>1.647+0.012+2.157+0.175</f>
        <v>3.9909999999999997</v>
      </c>
      <c r="J50" s="1">
        <v>0.34799999999999998</v>
      </c>
      <c r="L50" s="1">
        <v>0.28299999999999997</v>
      </c>
      <c r="P50" s="1">
        <v>6.3E-2</v>
      </c>
      <c r="AC50" s="1">
        <v>0.98099999999999998</v>
      </c>
      <c r="AG50" s="1">
        <v>0.22500000000000001</v>
      </c>
    </row>
    <row r="51" spans="1:33" x14ac:dyDescent="0.3">
      <c r="A51" s="1" t="s">
        <v>65</v>
      </c>
      <c r="B51" s="1" t="s">
        <v>64</v>
      </c>
      <c r="C51" s="1">
        <v>1</v>
      </c>
      <c r="D51" s="2">
        <v>40766</v>
      </c>
      <c r="E51" s="1" t="s">
        <v>36</v>
      </c>
      <c r="H51" s="1">
        <v>1E-3</v>
      </c>
      <c r="I51" s="1">
        <f>5.873+5.693+0.914</f>
        <v>12.479999999999999</v>
      </c>
      <c r="J51" s="1">
        <v>0.55400000000000005</v>
      </c>
      <c r="P51" s="1">
        <v>8.9999999999999993E-3</v>
      </c>
    </row>
    <row r="52" spans="1:33" x14ac:dyDescent="0.3">
      <c r="A52" s="1" t="s">
        <v>66</v>
      </c>
      <c r="B52" s="1" t="s">
        <v>64</v>
      </c>
      <c r="C52" s="1">
        <v>1</v>
      </c>
      <c r="D52" s="2">
        <v>40766</v>
      </c>
      <c r="E52" s="1" t="s">
        <v>35</v>
      </c>
      <c r="F52" s="1">
        <f>4.047+2.827</f>
        <v>6.8739999999999997</v>
      </c>
      <c r="I52" s="1">
        <v>3.2730000000000001</v>
      </c>
      <c r="J52" s="1">
        <v>0.56000000000000005</v>
      </c>
      <c r="K52" s="1">
        <f>2.9+2.627</f>
        <v>5.5269999999999992</v>
      </c>
      <c r="L52" s="1">
        <v>0.75</v>
      </c>
      <c r="P52" s="1">
        <v>1.147</v>
      </c>
      <c r="Q52" s="1">
        <v>0.16400000000000001</v>
      </c>
      <c r="R52" s="1">
        <v>0.16800000000000001</v>
      </c>
      <c r="T52" s="1">
        <v>0.27700000000000002</v>
      </c>
      <c r="X52" s="1">
        <v>7.6999999999999999E-2</v>
      </c>
      <c r="AA52" s="1">
        <v>7.0999999999999994E-2</v>
      </c>
      <c r="AC52" s="1">
        <v>0.311</v>
      </c>
      <c r="AD52" s="1">
        <v>0.14199999999999999</v>
      </c>
      <c r="AF52" s="1">
        <v>2.4E-2</v>
      </c>
      <c r="AG52" s="1">
        <v>0.45100000000000001</v>
      </c>
    </row>
    <row r="53" spans="1:33" x14ac:dyDescent="0.3">
      <c r="A53" s="1" t="s">
        <v>66</v>
      </c>
      <c r="B53" s="1" t="s">
        <v>64</v>
      </c>
      <c r="C53" s="1">
        <v>1</v>
      </c>
      <c r="D53" s="2">
        <v>40766</v>
      </c>
      <c r="E53" s="1" t="s">
        <v>36</v>
      </c>
      <c r="I53" s="1">
        <v>0.41599999999999998</v>
      </c>
      <c r="J53" s="1">
        <v>0.13400000000000001</v>
      </c>
      <c r="K53" s="1">
        <v>0.115</v>
      </c>
      <c r="P53" s="1">
        <v>0.121</v>
      </c>
    </row>
    <row r="54" spans="1:33" x14ac:dyDescent="0.3">
      <c r="A54" s="1" t="s">
        <v>67</v>
      </c>
      <c r="B54" s="1" t="s">
        <v>64</v>
      </c>
      <c r="C54" s="1">
        <v>1</v>
      </c>
      <c r="D54" s="2">
        <v>40766</v>
      </c>
      <c r="E54" s="1" t="s">
        <v>35</v>
      </c>
      <c r="F54" s="1">
        <f>3.071+3.247</f>
        <v>6.3179999999999996</v>
      </c>
      <c r="I54" s="1">
        <v>0.71899999999999997</v>
      </c>
      <c r="J54" s="1">
        <v>0.29899999999999999</v>
      </c>
      <c r="K54" s="1">
        <v>0.34899999999999998</v>
      </c>
      <c r="L54" s="1">
        <v>0.32700000000000001</v>
      </c>
      <c r="P54" s="1">
        <v>0</v>
      </c>
      <c r="R54" s="1">
        <v>0.152</v>
      </c>
      <c r="AD54" s="1">
        <v>2.5999999999999999E-2</v>
      </c>
      <c r="AG54" s="1">
        <v>0.28599999999999998</v>
      </c>
    </row>
    <row r="55" spans="1:33" x14ac:dyDescent="0.3">
      <c r="A55" s="1" t="s">
        <v>67</v>
      </c>
      <c r="B55" s="1" t="s">
        <v>64</v>
      </c>
      <c r="C55" s="1">
        <v>1</v>
      </c>
      <c r="D55" s="2">
        <v>40766</v>
      </c>
      <c r="E55" s="1" t="s">
        <v>36</v>
      </c>
      <c r="I55" s="1">
        <v>0.33800000000000002</v>
      </c>
      <c r="J55" s="1">
        <v>6.3E-2</v>
      </c>
      <c r="P55" s="1">
        <v>5.0000000000000001E-3</v>
      </c>
    </row>
    <row r="56" spans="1:33" x14ac:dyDescent="0.3">
      <c r="A56" s="1" t="s">
        <v>68</v>
      </c>
      <c r="B56" s="1" t="s">
        <v>64</v>
      </c>
      <c r="C56" s="1">
        <v>1</v>
      </c>
      <c r="D56" s="2">
        <v>40766</v>
      </c>
      <c r="E56" s="1" t="s">
        <v>35</v>
      </c>
      <c r="F56" s="1">
        <v>3.0640000000000001</v>
      </c>
      <c r="I56" s="1">
        <v>2.4889999999999999</v>
      </c>
      <c r="J56" s="1">
        <v>0.315</v>
      </c>
      <c r="K56" s="1">
        <v>0.20599999999999999</v>
      </c>
      <c r="L56" s="1">
        <v>2.3250000000000002</v>
      </c>
      <c r="P56" s="1">
        <v>5.33</v>
      </c>
      <c r="Q56" s="1">
        <v>6.8000000000000005E-2</v>
      </c>
      <c r="X56" s="1">
        <v>0.42299999999999999</v>
      </c>
      <c r="AC56" s="1">
        <v>0.17599999999999999</v>
      </c>
      <c r="AD56" s="1">
        <v>4.3999999999999997E-2</v>
      </c>
      <c r="AG56" s="1">
        <v>0.71199999999999997</v>
      </c>
    </row>
    <row r="57" spans="1:33" x14ac:dyDescent="0.3">
      <c r="A57" s="1" t="s">
        <v>68</v>
      </c>
      <c r="B57" s="1" t="s">
        <v>64</v>
      </c>
      <c r="C57" s="1">
        <v>1</v>
      </c>
      <c r="D57" s="2">
        <v>40766</v>
      </c>
      <c r="E57" s="1" t="s">
        <v>36</v>
      </c>
      <c r="I57" s="1">
        <v>0.59199999999999997</v>
      </c>
      <c r="J57" s="1">
        <v>6.9000000000000006E-2</v>
      </c>
      <c r="P57" s="1">
        <v>0.32</v>
      </c>
    </row>
    <row r="58" spans="1:33" x14ac:dyDescent="0.3">
      <c r="A58" s="1" t="s">
        <v>69</v>
      </c>
      <c r="B58" s="1" t="s">
        <v>64</v>
      </c>
      <c r="C58" s="1">
        <v>1</v>
      </c>
      <c r="D58" s="2">
        <v>40766</v>
      </c>
      <c r="E58" s="1" t="s">
        <v>35</v>
      </c>
      <c r="F58" s="1">
        <v>4.6150000000000002</v>
      </c>
      <c r="H58" s="1">
        <v>6.5000000000000002E-2</v>
      </c>
      <c r="I58" s="1">
        <v>1.6539999999999999</v>
      </c>
      <c r="J58" s="1">
        <v>1.2669999999999999</v>
      </c>
      <c r="K58" s="1">
        <v>0.71799999999999997</v>
      </c>
      <c r="L58" s="1">
        <v>1.008</v>
      </c>
      <c r="P58" s="1">
        <v>3.181</v>
      </c>
      <c r="Q58" s="1">
        <v>0.215</v>
      </c>
      <c r="R58" s="1">
        <v>0.157</v>
      </c>
      <c r="X58" s="1">
        <v>0.36199999999999999</v>
      </c>
      <c r="AD58" s="1">
        <v>8.9999999999999993E-3</v>
      </c>
      <c r="AE58" s="1">
        <v>0.26600000000000001</v>
      </c>
      <c r="AG58" s="1">
        <v>0.46899999999999997</v>
      </c>
    </row>
    <row r="59" spans="1:33" x14ac:dyDescent="0.3">
      <c r="A59" s="1" t="s">
        <v>69</v>
      </c>
      <c r="B59" s="1" t="s">
        <v>64</v>
      </c>
      <c r="C59" s="1">
        <v>1</v>
      </c>
      <c r="D59" s="2">
        <v>40766</v>
      </c>
      <c r="E59" s="1" t="s">
        <v>36</v>
      </c>
      <c r="H59" s="1">
        <v>4.3999999999999997E-2</v>
      </c>
      <c r="I59" s="1">
        <v>2.6949999999999998</v>
      </c>
      <c r="J59" s="1">
        <v>0.78100000000000003</v>
      </c>
      <c r="P59" s="1">
        <v>0.17499999999999999</v>
      </c>
    </row>
    <row r="60" spans="1:33" x14ac:dyDescent="0.3">
      <c r="A60" s="1" t="s">
        <v>70</v>
      </c>
      <c r="B60" s="1" t="s">
        <v>64</v>
      </c>
      <c r="C60" s="1">
        <v>1</v>
      </c>
      <c r="D60" s="2">
        <v>40766</v>
      </c>
      <c r="E60" s="1" t="s">
        <v>35</v>
      </c>
      <c r="F60" s="1">
        <f>3.836+0.666</f>
        <v>4.5019999999999998</v>
      </c>
      <c r="H60" s="1">
        <v>7.1999999999999995E-2</v>
      </c>
      <c r="I60" s="1">
        <v>1.7929999999999999</v>
      </c>
      <c r="J60" s="1">
        <v>6.2E-2</v>
      </c>
      <c r="K60" s="1">
        <v>0.36899999999999999</v>
      </c>
      <c r="L60" s="1">
        <v>0.86</v>
      </c>
      <c r="M60" s="1">
        <v>8.6999999999999994E-2</v>
      </c>
      <c r="P60" s="1">
        <v>0.68300000000000005</v>
      </c>
      <c r="Q60" s="1">
        <v>0.04</v>
      </c>
      <c r="R60" s="1">
        <v>0.40799999999999997</v>
      </c>
      <c r="V60" s="1">
        <v>0.248</v>
      </c>
      <c r="AG60" s="1">
        <v>0.32400000000000001</v>
      </c>
    </row>
    <row r="61" spans="1:33" x14ac:dyDescent="0.3">
      <c r="A61" s="1" t="s">
        <v>70</v>
      </c>
      <c r="B61" s="1" t="s">
        <v>64</v>
      </c>
      <c r="C61" s="1">
        <v>1</v>
      </c>
      <c r="D61" s="2">
        <v>40766</v>
      </c>
      <c r="E61" s="1" t="s">
        <v>36</v>
      </c>
      <c r="H61" s="1">
        <v>3.6999999999999998E-2</v>
      </c>
      <c r="I61" s="1">
        <v>4.6970000000000001</v>
      </c>
      <c r="J61" s="1">
        <v>0.28100000000000003</v>
      </c>
      <c r="P61" s="1">
        <v>3.9E-2</v>
      </c>
    </row>
    <row r="62" spans="1:33" x14ac:dyDescent="0.3">
      <c r="A62" s="1" t="s">
        <v>71</v>
      </c>
      <c r="B62" s="1" t="s">
        <v>64</v>
      </c>
      <c r="C62" s="1">
        <v>1</v>
      </c>
      <c r="D62" s="2">
        <v>40766</v>
      </c>
      <c r="E62" s="1" t="s">
        <v>35</v>
      </c>
      <c r="F62" s="1">
        <v>3.532</v>
      </c>
      <c r="H62" s="1">
        <v>5.8999999999999997E-2</v>
      </c>
      <c r="I62" s="1">
        <v>3.395</v>
      </c>
      <c r="J62" s="1">
        <v>0.70299999999999996</v>
      </c>
      <c r="K62" s="1">
        <v>2.2370000000000001</v>
      </c>
      <c r="L62" s="1">
        <v>0.68400000000000005</v>
      </c>
      <c r="N62" s="1">
        <v>9.0999999999999998E-2</v>
      </c>
      <c r="P62" s="1">
        <v>0.60699999999999998</v>
      </c>
      <c r="R62" s="1">
        <v>0.27800000000000002</v>
      </c>
      <c r="X62" s="1">
        <v>2.4E-2</v>
      </c>
      <c r="AC62" s="1">
        <v>7.3999999999999996E-2</v>
      </c>
      <c r="AD62" s="1">
        <v>2.4E-2</v>
      </c>
      <c r="AG62" s="1">
        <v>0.496</v>
      </c>
    </row>
    <row r="63" spans="1:33" x14ac:dyDescent="0.3">
      <c r="A63" s="1" t="s">
        <v>71</v>
      </c>
      <c r="B63" s="1" t="s">
        <v>64</v>
      </c>
      <c r="C63" s="1">
        <v>1</v>
      </c>
      <c r="D63" s="2">
        <v>40766</v>
      </c>
      <c r="E63" s="1" t="s">
        <v>36</v>
      </c>
      <c r="H63" s="1">
        <v>3.0000000000000001E-3</v>
      </c>
      <c r="I63" s="1">
        <v>2.1379999999999999</v>
      </c>
      <c r="J63" s="1">
        <v>0.39600000000000002</v>
      </c>
      <c r="N63" s="1">
        <v>2.4E-2</v>
      </c>
      <c r="P63" s="1">
        <v>0.04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M5731"/>
  <sheetViews>
    <sheetView zoomScale="85" zoomScaleNormal="85" workbookViewId="0">
      <selection activeCell="E25" sqref="E25"/>
    </sheetView>
  </sheetViews>
  <sheetFormatPr defaultColWidth="8.33203125" defaultRowHeight="13.8" x14ac:dyDescent="0.3"/>
  <cols>
    <col min="1" max="1" width="14.33203125" style="1" bestFit="1" customWidth="1"/>
    <col min="2" max="2" width="8.6640625" style="1" bestFit="1" customWidth="1"/>
    <col min="3" max="3" width="13.33203125" style="1" bestFit="1" customWidth="1"/>
    <col min="4" max="4" width="19.109375" style="1" bestFit="1" customWidth="1"/>
    <col min="5" max="5" width="17.5546875" style="1" bestFit="1" customWidth="1"/>
    <col min="6" max="6" width="7.77734375" style="1" bestFit="1" customWidth="1"/>
    <col min="7" max="7" width="4.33203125" style="1" bestFit="1" customWidth="1"/>
    <col min="8" max="8" width="5.109375" style="1" bestFit="1" customWidth="1"/>
    <col min="9" max="9" width="3.6640625" style="1" bestFit="1" customWidth="1"/>
    <col min="10" max="10" width="5.21875" style="1" bestFit="1" customWidth="1"/>
    <col min="11" max="11" width="9.109375" style="1" bestFit="1" customWidth="1"/>
    <col min="12" max="12" width="5" style="1" bestFit="1" customWidth="1"/>
    <col min="13" max="13" width="8.88671875" style="1" bestFit="1" customWidth="1"/>
    <col min="14" max="14" width="5.6640625" style="1" bestFit="1" customWidth="1"/>
    <col min="15" max="15" width="9.5546875" style="1" bestFit="1" customWidth="1"/>
    <col min="16" max="16" width="5.33203125" style="1" bestFit="1" customWidth="1"/>
    <col min="17" max="17" width="9.21875" style="1" bestFit="1" customWidth="1"/>
    <col min="18" max="18" width="4.88671875" style="1" bestFit="1" customWidth="1"/>
    <col min="19" max="19" width="8.77734375" style="1" bestFit="1" customWidth="1"/>
    <col min="20" max="20" width="7.33203125" style="1" bestFit="1" customWidth="1"/>
    <col min="21" max="21" width="11.21875" style="1" bestFit="1" customWidth="1"/>
    <col min="22" max="22" width="5.88671875" style="1" bestFit="1" customWidth="1"/>
    <col min="23" max="23" width="9.33203125" style="1" bestFit="1" customWidth="1"/>
    <col min="24" max="24" width="6.5546875" style="1" bestFit="1" customWidth="1"/>
    <col min="25" max="25" width="9.5546875" style="1" bestFit="1" customWidth="1"/>
    <col min="26" max="26" width="13.5546875" style="1" bestFit="1" customWidth="1"/>
    <col min="27" max="27" width="6.33203125" style="1" bestFit="1" customWidth="1"/>
    <col min="28" max="28" width="7.109375" style="1" bestFit="1" customWidth="1"/>
    <col min="29" max="29" width="11" style="1" bestFit="1" customWidth="1"/>
    <col min="30" max="30" width="6" style="1" bestFit="1" customWidth="1"/>
    <col min="31" max="31" width="9.88671875" style="1" bestFit="1" customWidth="1"/>
    <col min="32" max="32" width="6.5546875" style="1" bestFit="1" customWidth="1"/>
    <col min="33" max="33" width="5.6640625" style="1" bestFit="1" customWidth="1"/>
    <col min="34" max="34" width="9.5546875" style="1" bestFit="1" customWidth="1"/>
    <col min="35" max="35" width="5.6640625" style="1" bestFit="1" customWidth="1"/>
    <col min="36" max="36" width="9.5546875" style="1" bestFit="1" customWidth="1"/>
    <col min="37" max="37" width="9.109375" style="1" bestFit="1" customWidth="1"/>
    <col min="38" max="38" width="13.109375" style="1" bestFit="1" customWidth="1"/>
    <col min="39" max="39" width="7.21875" style="1" bestFit="1" customWidth="1"/>
    <col min="40" max="40" width="11.109375" style="1" bestFit="1" customWidth="1"/>
    <col min="41" max="41" width="5.5546875" style="1" bestFit="1" customWidth="1"/>
    <col min="42" max="42" width="9.44140625" style="1" bestFit="1" customWidth="1"/>
    <col min="43" max="43" width="5.44140625" style="1" bestFit="1" customWidth="1"/>
    <col min="44" max="44" width="9.33203125" style="1" bestFit="1" customWidth="1"/>
    <col min="45" max="45" width="6.88671875" style="1" bestFit="1" customWidth="1"/>
    <col min="46" max="46" width="7.44140625" style="1" bestFit="1" customWidth="1"/>
    <col min="47" max="47" width="5" style="1" bestFit="1" customWidth="1"/>
    <col min="48" max="48" width="8.88671875" style="1" bestFit="1" customWidth="1"/>
    <col min="49" max="49" width="5.77734375" style="1" bestFit="1" customWidth="1"/>
    <col min="50" max="50" width="9.6640625" style="1" bestFit="1" customWidth="1"/>
    <col min="51" max="51" width="5.6640625" style="1" bestFit="1" customWidth="1"/>
    <col min="52" max="52" width="9.5546875" style="1" bestFit="1" customWidth="1"/>
    <col min="53" max="53" width="9.44140625" style="1" bestFit="1" customWidth="1"/>
    <col min="54" max="54" width="6.33203125" style="1" bestFit="1" customWidth="1"/>
    <col min="55" max="55" width="6.77734375" style="1" bestFit="1" customWidth="1"/>
    <col min="56" max="56" width="5.88671875" style="1" bestFit="1" customWidth="1"/>
    <col min="57" max="57" width="5.5546875" style="1" bestFit="1" customWidth="1"/>
    <col min="58" max="58" width="9.44140625" style="1" bestFit="1" customWidth="1"/>
    <col min="59" max="59" width="5.77734375" style="1" bestFit="1" customWidth="1"/>
    <col min="60" max="60" width="9.6640625" style="1" bestFit="1" customWidth="1"/>
    <col min="61" max="61" width="7.33203125" style="1" bestFit="1" customWidth="1"/>
    <col min="62" max="62" width="11.21875" style="1" bestFit="1" customWidth="1"/>
    <col min="63" max="63" width="6.88671875" style="1" bestFit="1" customWidth="1"/>
    <col min="64" max="64" width="5.88671875" style="1" bestFit="1" customWidth="1"/>
    <col min="65" max="65" width="5.21875" style="1" bestFit="1" customWidth="1"/>
    <col min="66" max="66" width="9.109375" style="1" bestFit="1" customWidth="1"/>
    <col min="67" max="67" width="8" style="1" bestFit="1" customWidth="1"/>
    <col min="68" max="68" width="9.109375" style="1" bestFit="1" customWidth="1"/>
    <col min="69" max="69" width="12.77734375" style="1" bestFit="1" customWidth="1"/>
    <col min="70" max="70" width="7" style="1" bestFit="1" customWidth="1"/>
    <col min="71" max="71" width="6.88671875" style="1" bestFit="1" customWidth="1"/>
    <col min="72" max="72" width="10.6640625" style="1" bestFit="1" customWidth="1"/>
    <col min="73" max="73" width="6.21875" style="1" bestFit="1" customWidth="1"/>
    <col min="74" max="74" width="10.109375" style="1" bestFit="1" customWidth="1"/>
    <col min="75" max="75" width="5.21875" style="1" bestFit="1" customWidth="1"/>
    <col min="76" max="76" width="9.109375" style="1" bestFit="1" customWidth="1"/>
    <col min="77" max="77" width="11.109375" style="1" bestFit="1" customWidth="1"/>
    <col min="78" max="78" width="6" style="1" bestFit="1" customWidth="1"/>
    <col min="79" max="79" width="9.88671875" style="1" bestFit="1" customWidth="1"/>
    <col min="80" max="80" width="5.77734375" style="1" bestFit="1" customWidth="1"/>
    <col min="81" max="81" width="9.5546875" style="1" bestFit="1" customWidth="1"/>
    <col min="82" max="82" width="10.33203125" style="1" bestFit="1" customWidth="1"/>
    <col min="83" max="83" width="5.88671875" style="1" bestFit="1" customWidth="1"/>
    <col min="84" max="84" width="9.21875" style="1" bestFit="1" customWidth="1"/>
    <col min="85" max="85" width="8.5546875" style="1" bestFit="1" customWidth="1"/>
    <col min="86" max="86" width="8.88671875" style="1" bestFit="1" customWidth="1"/>
    <col min="87" max="87" width="12.6640625" style="1" bestFit="1" customWidth="1"/>
    <col min="88" max="88" width="8.33203125" style="1" bestFit="1" customWidth="1"/>
    <col min="89" max="89" width="12.109375" style="1" bestFit="1" customWidth="1"/>
    <col min="90" max="90" width="13.21875" style="1" bestFit="1" customWidth="1"/>
    <col min="91" max="91" width="8.33203125" style="12"/>
    <col min="92" max="16384" width="8.33203125" style="1"/>
  </cols>
  <sheetData>
    <row r="1" spans="1:91" s="6" customFormat="1" x14ac:dyDescent="0.3">
      <c r="A1" s="6" t="s">
        <v>72</v>
      </c>
      <c r="B1" s="6" t="s">
        <v>160</v>
      </c>
      <c r="C1" s="6" t="s">
        <v>161</v>
      </c>
      <c r="D1" s="6" t="s">
        <v>162</v>
      </c>
      <c r="E1" s="6" t="s">
        <v>163</v>
      </c>
      <c r="F1" s="6" t="s">
        <v>87</v>
      </c>
      <c r="G1" s="6" t="s">
        <v>88</v>
      </c>
      <c r="H1" s="6" t="s">
        <v>89</v>
      </c>
      <c r="I1" s="6" t="s">
        <v>90</v>
      </c>
      <c r="J1" s="6" t="s">
        <v>15</v>
      </c>
      <c r="K1" s="6" t="s">
        <v>85</v>
      </c>
      <c r="L1" s="6" t="s">
        <v>91</v>
      </c>
      <c r="M1" s="6" t="s">
        <v>120</v>
      </c>
      <c r="N1" s="6" t="s">
        <v>122</v>
      </c>
      <c r="O1" s="6" t="s">
        <v>121</v>
      </c>
      <c r="P1" s="6" t="s">
        <v>76</v>
      </c>
      <c r="Q1" s="6" t="s">
        <v>84</v>
      </c>
      <c r="R1" s="6" t="s">
        <v>75</v>
      </c>
      <c r="S1" s="6" t="s">
        <v>83</v>
      </c>
      <c r="T1" s="6" t="s">
        <v>123</v>
      </c>
      <c r="U1" s="6" t="s">
        <v>124</v>
      </c>
      <c r="V1" s="6" t="s">
        <v>92</v>
      </c>
      <c r="W1" s="6" t="s">
        <v>93</v>
      </c>
      <c r="X1" s="6" t="s">
        <v>94</v>
      </c>
      <c r="Y1" s="6" t="s">
        <v>125</v>
      </c>
      <c r="Z1" s="6" t="s">
        <v>126</v>
      </c>
      <c r="AA1" s="6" t="s">
        <v>95</v>
      </c>
      <c r="AB1" s="6" t="s">
        <v>127</v>
      </c>
      <c r="AC1" s="6" t="s">
        <v>128</v>
      </c>
      <c r="AD1" s="6" t="s">
        <v>27</v>
      </c>
      <c r="AE1" s="6" t="s">
        <v>129</v>
      </c>
      <c r="AF1" s="6" t="s">
        <v>96</v>
      </c>
      <c r="AG1" s="6" t="s">
        <v>73</v>
      </c>
      <c r="AH1" s="6" t="s">
        <v>81</v>
      </c>
      <c r="AI1" s="6" t="s">
        <v>74</v>
      </c>
      <c r="AJ1" s="6" t="s">
        <v>82</v>
      </c>
      <c r="AK1" s="6" t="s">
        <v>130</v>
      </c>
      <c r="AL1" s="6" t="s">
        <v>131</v>
      </c>
      <c r="AM1" s="6" t="s">
        <v>132</v>
      </c>
      <c r="AN1" s="6" t="s">
        <v>133</v>
      </c>
      <c r="AO1" s="6" t="s">
        <v>79</v>
      </c>
      <c r="AP1" s="6" t="s">
        <v>134</v>
      </c>
      <c r="AQ1" s="6" t="s">
        <v>80</v>
      </c>
      <c r="AR1" s="6" t="s">
        <v>86</v>
      </c>
      <c r="AS1" s="6" t="s">
        <v>97</v>
      </c>
      <c r="AT1" s="6" t="s">
        <v>98</v>
      </c>
      <c r="AU1" s="6" t="s">
        <v>135</v>
      </c>
      <c r="AV1" s="6" t="s">
        <v>136</v>
      </c>
      <c r="AW1" s="6" t="s">
        <v>137</v>
      </c>
      <c r="AX1" s="6" t="s">
        <v>138</v>
      </c>
      <c r="AY1" s="6" t="s">
        <v>139</v>
      </c>
      <c r="AZ1" s="6" t="s">
        <v>140</v>
      </c>
      <c r="BA1" s="6" t="s">
        <v>28</v>
      </c>
      <c r="BB1" s="6" t="s">
        <v>99</v>
      </c>
      <c r="BC1" s="6" t="s">
        <v>100</v>
      </c>
      <c r="BD1" s="6" t="s">
        <v>101</v>
      </c>
      <c r="BE1" s="6" t="s">
        <v>141</v>
      </c>
      <c r="BF1" s="6" t="s">
        <v>142</v>
      </c>
      <c r="BG1" s="6" t="s">
        <v>143</v>
      </c>
      <c r="BH1" s="6" t="s">
        <v>144</v>
      </c>
      <c r="BI1" s="6" t="s">
        <v>145</v>
      </c>
      <c r="BJ1" s="6" t="s">
        <v>146</v>
      </c>
      <c r="BK1" s="6" t="s">
        <v>102</v>
      </c>
      <c r="BL1" s="6" t="s">
        <v>103</v>
      </c>
      <c r="BM1" s="6" t="s">
        <v>148</v>
      </c>
      <c r="BN1" s="6" t="s">
        <v>147</v>
      </c>
      <c r="BO1" s="6" t="s">
        <v>104</v>
      </c>
      <c r="BP1" s="6" t="s">
        <v>105</v>
      </c>
      <c r="BQ1" s="6" t="s">
        <v>149</v>
      </c>
      <c r="BR1" s="6" t="s">
        <v>106</v>
      </c>
      <c r="BS1" s="6" t="s">
        <v>107</v>
      </c>
      <c r="BT1" s="6" t="s">
        <v>150</v>
      </c>
      <c r="BU1" s="6" t="s">
        <v>151</v>
      </c>
      <c r="BV1" s="6" t="s">
        <v>152</v>
      </c>
      <c r="BW1" s="6" t="s">
        <v>77</v>
      </c>
      <c r="BX1" s="6" t="s">
        <v>153</v>
      </c>
      <c r="BY1" s="6" t="s">
        <v>108</v>
      </c>
      <c r="BZ1" s="6" t="s">
        <v>78</v>
      </c>
      <c r="CA1" s="6" t="s">
        <v>154</v>
      </c>
      <c r="CB1" s="6" t="s">
        <v>109</v>
      </c>
      <c r="CC1" s="6" t="s">
        <v>155</v>
      </c>
      <c r="CD1" s="6" t="s">
        <v>110</v>
      </c>
      <c r="CE1" s="6" t="s">
        <v>111</v>
      </c>
      <c r="CF1" s="6" t="s">
        <v>112</v>
      </c>
      <c r="CG1" s="6" t="s">
        <v>113</v>
      </c>
      <c r="CH1" s="6" t="s">
        <v>114</v>
      </c>
      <c r="CI1" s="6" t="s">
        <v>156</v>
      </c>
      <c r="CJ1" s="6" t="s">
        <v>115</v>
      </c>
      <c r="CK1" s="6" t="s">
        <v>116</v>
      </c>
      <c r="CL1" s="6" t="s">
        <v>157</v>
      </c>
      <c r="CM1" s="14"/>
    </row>
    <row r="2" spans="1:91" x14ac:dyDescent="0.3">
      <c r="A2" s="1" t="s">
        <v>117</v>
      </c>
      <c r="B2" s="7">
        <v>40758</v>
      </c>
      <c r="C2" s="1">
        <v>20</v>
      </c>
      <c r="D2" s="1">
        <v>158</v>
      </c>
      <c r="E2" s="1">
        <v>9</v>
      </c>
      <c r="F2" s="1">
        <v>1</v>
      </c>
      <c r="L2" s="1">
        <v>1</v>
      </c>
    </row>
    <row r="3" spans="1:91" x14ac:dyDescent="0.3">
      <c r="A3" s="1" t="s">
        <v>117</v>
      </c>
      <c r="B3" s="7">
        <v>40758</v>
      </c>
      <c r="C3" s="1">
        <v>20</v>
      </c>
      <c r="D3" s="1">
        <v>158</v>
      </c>
      <c r="E3" s="1">
        <v>9</v>
      </c>
      <c r="F3" s="1">
        <v>2</v>
      </c>
      <c r="P3" s="1">
        <v>1</v>
      </c>
    </row>
    <row r="4" spans="1:91" x14ac:dyDescent="0.3">
      <c r="A4" s="1" t="s">
        <v>117</v>
      </c>
      <c r="B4" s="7">
        <v>40758</v>
      </c>
      <c r="C4" s="1">
        <v>20</v>
      </c>
      <c r="D4" s="1">
        <v>158</v>
      </c>
      <c r="E4" s="1">
        <v>9</v>
      </c>
      <c r="F4" s="1">
        <v>3</v>
      </c>
      <c r="L4" s="1">
        <v>1</v>
      </c>
      <c r="R4" s="1">
        <v>1</v>
      </c>
    </row>
    <row r="5" spans="1:91" x14ac:dyDescent="0.3">
      <c r="A5" s="1" t="s">
        <v>117</v>
      </c>
      <c r="B5" s="7">
        <v>40758</v>
      </c>
      <c r="C5" s="1">
        <v>20</v>
      </c>
      <c r="D5" s="1">
        <v>158</v>
      </c>
      <c r="E5" s="1">
        <v>9</v>
      </c>
      <c r="F5" s="1">
        <v>4</v>
      </c>
      <c r="L5" s="1">
        <v>1</v>
      </c>
      <c r="P5" s="1">
        <v>1</v>
      </c>
    </row>
    <row r="6" spans="1:91" x14ac:dyDescent="0.3">
      <c r="A6" s="1" t="s">
        <v>117</v>
      </c>
      <c r="B6" s="7">
        <v>40758</v>
      </c>
      <c r="C6" s="1">
        <v>20</v>
      </c>
      <c r="D6" s="1">
        <v>158</v>
      </c>
      <c r="E6" s="1">
        <v>9</v>
      </c>
      <c r="F6" s="1">
        <v>5</v>
      </c>
      <c r="L6" s="1">
        <v>1</v>
      </c>
      <c r="R6" s="8">
        <v>1</v>
      </c>
      <c r="S6" s="8"/>
    </row>
    <row r="7" spans="1:91" x14ac:dyDescent="0.3">
      <c r="A7" s="1" t="s">
        <v>117</v>
      </c>
      <c r="B7" s="7">
        <v>40758</v>
      </c>
      <c r="C7" s="1">
        <v>20</v>
      </c>
      <c r="D7" s="1">
        <v>158</v>
      </c>
      <c r="E7" s="1">
        <v>9</v>
      </c>
      <c r="F7" s="1">
        <v>6</v>
      </c>
      <c r="L7" s="1">
        <v>1</v>
      </c>
      <c r="R7" s="3">
        <v>0</v>
      </c>
      <c r="S7" s="3">
        <v>1</v>
      </c>
    </row>
    <row r="8" spans="1:91" x14ac:dyDescent="0.3">
      <c r="A8" s="1" t="s">
        <v>117</v>
      </c>
      <c r="B8" s="7">
        <v>40758</v>
      </c>
      <c r="C8" s="1">
        <v>20</v>
      </c>
      <c r="D8" s="1">
        <v>158</v>
      </c>
      <c r="E8" s="1">
        <v>9</v>
      </c>
      <c r="F8" s="1">
        <v>7</v>
      </c>
      <c r="L8" s="1">
        <v>1</v>
      </c>
      <c r="R8" s="1">
        <v>1</v>
      </c>
    </row>
    <row r="9" spans="1:91" x14ac:dyDescent="0.3">
      <c r="A9" s="1" t="s">
        <v>117</v>
      </c>
      <c r="B9" s="7">
        <v>40758</v>
      </c>
      <c r="C9" s="1">
        <v>20</v>
      </c>
      <c r="D9" s="1">
        <v>158</v>
      </c>
      <c r="E9" s="1">
        <v>9</v>
      </c>
      <c r="F9" s="1">
        <v>8</v>
      </c>
      <c r="H9" s="1">
        <v>1</v>
      </c>
      <c r="R9" s="3">
        <v>0</v>
      </c>
      <c r="S9" s="3">
        <v>1</v>
      </c>
    </row>
    <row r="10" spans="1:91" x14ac:dyDescent="0.3">
      <c r="A10" s="1" t="s">
        <v>117</v>
      </c>
      <c r="B10" s="7">
        <v>40758</v>
      </c>
      <c r="C10" s="1">
        <v>20</v>
      </c>
      <c r="D10" s="1">
        <v>158</v>
      </c>
      <c r="E10" s="1">
        <v>9</v>
      </c>
      <c r="F10" s="1">
        <v>9</v>
      </c>
      <c r="H10" s="1">
        <v>1</v>
      </c>
      <c r="P10" s="1">
        <v>1</v>
      </c>
      <c r="R10" s="3">
        <v>0</v>
      </c>
      <c r="S10" s="3">
        <v>1</v>
      </c>
    </row>
    <row r="11" spans="1:91" x14ac:dyDescent="0.3">
      <c r="A11" s="1" t="s">
        <v>117</v>
      </c>
      <c r="B11" s="7">
        <v>40758</v>
      </c>
      <c r="C11" s="1">
        <v>20</v>
      </c>
      <c r="D11" s="1">
        <v>158</v>
      </c>
      <c r="E11" s="1">
        <v>9</v>
      </c>
      <c r="F11" s="1">
        <v>10</v>
      </c>
      <c r="H11" s="1">
        <v>1</v>
      </c>
      <c r="R11" s="3">
        <v>0</v>
      </c>
      <c r="S11" s="3">
        <v>1</v>
      </c>
      <c r="BS11" s="1">
        <v>1</v>
      </c>
    </row>
    <row r="12" spans="1:91" x14ac:dyDescent="0.3">
      <c r="A12" s="1" t="s">
        <v>117</v>
      </c>
      <c r="B12" s="7">
        <v>40758</v>
      </c>
      <c r="C12" s="1">
        <v>20</v>
      </c>
      <c r="D12" s="1">
        <v>158</v>
      </c>
      <c r="E12" s="1">
        <v>9</v>
      </c>
      <c r="F12" s="1">
        <v>11</v>
      </c>
      <c r="L12" s="1">
        <v>1</v>
      </c>
    </row>
    <row r="13" spans="1:91" x14ac:dyDescent="0.3">
      <c r="A13" s="1" t="s">
        <v>117</v>
      </c>
      <c r="B13" s="7">
        <v>40758</v>
      </c>
      <c r="C13" s="1">
        <v>20</v>
      </c>
      <c r="D13" s="1">
        <v>158</v>
      </c>
      <c r="E13" s="1">
        <v>9</v>
      </c>
      <c r="F13" s="1">
        <v>12</v>
      </c>
      <c r="H13" s="1">
        <v>1</v>
      </c>
      <c r="L13" s="1">
        <v>1</v>
      </c>
    </row>
    <row r="14" spans="1:91" x14ac:dyDescent="0.3">
      <c r="A14" s="1" t="s">
        <v>117</v>
      </c>
      <c r="B14" s="7">
        <v>40758</v>
      </c>
      <c r="C14" s="1">
        <v>20</v>
      </c>
      <c r="D14" s="1">
        <v>158</v>
      </c>
      <c r="E14" s="1">
        <v>9</v>
      </c>
      <c r="F14" s="1">
        <v>13</v>
      </c>
      <c r="L14" s="1">
        <v>1</v>
      </c>
    </row>
    <row r="15" spans="1:91" x14ac:dyDescent="0.3">
      <c r="A15" s="1" t="s">
        <v>117</v>
      </c>
      <c r="B15" s="7">
        <v>40758</v>
      </c>
      <c r="C15" s="1">
        <v>20</v>
      </c>
      <c r="D15" s="1">
        <v>158</v>
      </c>
      <c r="E15" s="1">
        <v>9</v>
      </c>
      <c r="F15" s="1">
        <v>14</v>
      </c>
      <c r="L15" s="1">
        <v>1</v>
      </c>
    </row>
    <row r="16" spans="1:91" x14ac:dyDescent="0.3">
      <c r="A16" s="1" t="s">
        <v>117</v>
      </c>
      <c r="B16" s="7">
        <v>40758</v>
      </c>
      <c r="C16" s="1">
        <v>20</v>
      </c>
      <c r="D16" s="1">
        <v>158</v>
      </c>
      <c r="E16" s="1">
        <v>9</v>
      </c>
      <c r="F16" s="1">
        <v>15</v>
      </c>
      <c r="L16" s="1">
        <v>1</v>
      </c>
      <c r="R16" s="3">
        <v>0</v>
      </c>
      <c r="S16" s="3">
        <v>1</v>
      </c>
    </row>
    <row r="17" spans="1:70" x14ac:dyDescent="0.3">
      <c r="A17" s="1" t="s">
        <v>117</v>
      </c>
      <c r="B17" s="7">
        <v>40758</v>
      </c>
      <c r="C17" s="1">
        <v>20</v>
      </c>
      <c r="D17" s="1">
        <v>158</v>
      </c>
      <c r="E17" s="1">
        <v>9</v>
      </c>
      <c r="F17" s="1">
        <v>16</v>
      </c>
      <c r="H17" s="1">
        <v>1</v>
      </c>
      <c r="R17" s="3">
        <v>0</v>
      </c>
      <c r="S17" s="3">
        <v>1</v>
      </c>
    </row>
    <row r="18" spans="1:70" x14ac:dyDescent="0.3">
      <c r="A18" s="1" t="s">
        <v>117</v>
      </c>
      <c r="B18" s="7">
        <v>40758</v>
      </c>
      <c r="C18" s="1">
        <v>20</v>
      </c>
      <c r="D18" s="1">
        <v>158</v>
      </c>
      <c r="E18" s="1">
        <v>9</v>
      </c>
      <c r="F18" s="1">
        <v>17</v>
      </c>
      <c r="H18" s="1">
        <v>1</v>
      </c>
      <c r="L18" s="1">
        <v>1</v>
      </c>
      <c r="R18" s="8">
        <v>1</v>
      </c>
      <c r="S18" s="8"/>
    </row>
    <row r="19" spans="1:70" x14ac:dyDescent="0.3">
      <c r="A19" s="1" t="s">
        <v>117</v>
      </c>
      <c r="B19" s="7">
        <v>40758</v>
      </c>
      <c r="C19" s="1">
        <v>20</v>
      </c>
      <c r="D19" s="1">
        <v>158</v>
      </c>
      <c r="E19" s="1">
        <v>9</v>
      </c>
      <c r="F19" s="1">
        <v>18</v>
      </c>
      <c r="H19" s="1">
        <v>1</v>
      </c>
      <c r="L19" s="1">
        <v>1</v>
      </c>
      <c r="R19" s="3">
        <v>0</v>
      </c>
      <c r="S19" s="3">
        <v>1</v>
      </c>
    </row>
    <row r="20" spans="1:70" x14ac:dyDescent="0.3">
      <c r="A20" s="1" t="s">
        <v>117</v>
      </c>
      <c r="B20" s="7">
        <v>40758</v>
      </c>
      <c r="C20" s="1">
        <v>20</v>
      </c>
      <c r="D20" s="1">
        <v>158</v>
      </c>
      <c r="E20" s="1">
        <v>9</v>
      </c>
      <c r="F20" s="1">
        <v>19</v>
      </c>
      <c r="P20" s="1">
        <v>1</v>
      </c>
      <c r="R20" s="3">
        <v>0</v>
      </c>
      <c r="S20" s="3">
        <v>1</v>
      </c>
    </row>
    <row r="21" spans="1:70" x14ac:dyDescent="0.3">
      <c r="A21" s="1" t="s">
        <v>117</v>
      </c>
      <c r="B21" s="7">
        <v>40758</v>
      </c>
      <c r="C21" s="1">
        <v>20</v>
      </c>
      <c r="D21" s="1">
        <v>158</v>
      </c>
      <c r="E21" s="1">
        <v>9</v>
      </c>
      <c r="F21" s="1">
        <v>20</v>
      </c>
      <c r="L21" s="1">
        <v>1</v>
      </c>
    </row>
    <row r="22" spans="1:70" x14ac:dyDescent="0.3">
      <c r="A22" s="1" t="s">
        <v>117</v>
      </c>
      <c r="B22" s="7">
        <v>40758</v>
      </c>
      <c r="C22" s="1">
        <v>20</v>
      </c>
      <c r="D22" s="1">
        <v>158</v>
      </c>
      <c r="E22" s="1">
        <v>9</v>
      </c>
      <c r="F22" s="1">
        <v>21</v>
      </c>
      <c r="L22" s="1">
        <v>1</v>
      </c>
      <c r="P22" s="1">
        <v>1</v>
      </c>
    </row>
    <row r="23" spans="1:70" x14ac:dyDescent="0.3">
      <c r="A23" s="1" t="s">
        <v>117</v>
      </c>
      <c r="B23" s="7">
        <v>40758</v>
      </c>
      <c r="C23" s="1">
        <v>20</v>
      </c>
      <c r="D23" s="1">
        <v>158</v>
      </c>
      <c r="E23" s="1">
        <v>9</v>
      </c>
      <c r="F23" s="1">
        <v>22</v>
      </c>
      <c r="L23" s="1">
        <v>1</v>
      </c>
      <c r="P23" s="1">
        <v>1</v>
      </c>
    </row>
    <row r="24" spans="1:70" x14ac:dyDescent="0.3">
      <c r="A24" s="1" t="s">
        <v>117</v>
      </c>
      <c r="B24" s="7">
        <v>40758</v>
      </c>
      <c r="C24" s="1">
        <v>20</v>
      </c>
      <c r="D24" s="1">
        <v>158</v>
      </c>
      <c r="E24" s="1">
        <v>9</v>
      </c>
      <c r="F24" s="1">
        <v>23</v>
      </c>
      <c r="L24" s="1">
        <v>1</v>
      </c>
    </row>
    <row r="25" spans="1:70" x14ac:dyDescent="0.3">
      <c r="A25" s="1" t="s">
        <v>117</v>
      </c>
      <c r="B25" s="7">
        <v>40758</v>
      </c>
      <c r="C25" s="1">
        <v>20</v>
      </c>
      <c r="D25" s="1">
        <v>158</v>
      </c>
      <c r="E25" s="1">
        <v>9</v>
      </c>
      <c r="F25" s="1">
        <v>24</v>
      </c>
      <c r="L25" s="1">
        <v>1</v>
      </c>
    </row>
    <row r="26" spans="1:70" x14ac:dyDescent="0.3">
      <c r="A26" s="1" t="s">
        <v>117</v>
      </c>
      <c r="B26" s="7">
        <v>40758</v>
      </c>
      <c r="C26" s="1">
        <v>20</v>
      </c>
      <c r="D26" s="1">
        <v>158</v>
      </c>
      <c r="E26" s="1">
        <v>9</v>
      </c>
      <c r="F26" s="1">
        <v>25</v>
      </c>
      <c r="L26" s="1">
        <v>1</v>
      </c>
      <c r="R26" s="1">
        <v>1</v>
      </c>
    </row>
    <row r="27" spans="1:70" x14ac:dyDescent="0.3">
      <c r="A27" s="1" t="s">
        <v>117</v>
      </c>
      <c r="B27" s="7">
        <v>40758</v>
      </c>
      <c r="C27" s="1">
        <v>20</v>
      </c>
      <c r="D27" s="1">
        <v>158</v>
      </c>
      <c r="E27" s="1">
        <v>9</v>
      </c>
      <c r="F27" s="1">
        <v>26</v>
      </c>
      <c r="L27" s="1">
        <v>1</v>
      </c>
      <c r="P27" s="1">
        <v>1</v>
      </c>
      <c r="R27" s="1">
        <v>1</v>
      </c>
    </row>
    <row r="28" spans="1:70" x14ac:dyDescent="0.3">
      <c r="A28" s="1" t="s">
        <v>117</v>
      </c>
      <c r="B28" s="7">
        <v>40758</v>
      </c>
      <c r="C28" s="1">
        <v>20</v>
      </c>
      <c r="D28" s="1">
        <v>158</v>
      </c>
      <c r="E28" s="1">
        <v>9</v>
      </c>
      <c r="F28" s="1">
        <v>27</v>
      </c>
      <c r="L28" s="1">
        <v>1</v>
      </c>
      <c r="R28" s="3">
        <v>0</v>
      </c>
      <c r="S28" s="3">
        <v>1</v>
      </c>
    </row>
    <row r="29" spans="1:70" x14ac:dyDescent="0.3">
      <c r="A29" s="1" t="s">
        <v>117</v>
      </c>
      <c r="B29" s="7">
        <v>40758</v>
      </c>
      <c r="C29" s="1">
        <v>20</v>
      </c>
      <c r="D29" s="1">
        <v>158</v>
      </c>
      <c r="E29" s="1">
        <v>9</v>
      </c>
      <c r="F29" s="1">
        <v>28</v>
      </c>
      <c r="R29" s="3">
        <v>0</v>
      </c>
      <c r="S29" s="3">
        <v>1</v>
      </c>
    </row>
    <row r="30" spans="1:70" x14ac:dyDescent="0.3">
      <c r="A30" s="1" t="s">
        <v>117</v>
      </c>
      <c r="B30" s="7">
        <v>40758</v>
      </c>
      <c r="C30" s="1">
        <v>20</v>
      </c>
      <c r="D30" s="1">
        <v>158</v>
      </c>
      <c r="E30" s="1">
        <v>9</v>
      </c>
      <c r="F30" s="1">
        <v>29</v>
      </c>
      <c r="P30" s="3">
        <v>0</v>
      </c>
      <c r="Q30" s="3">
        <v>1</v>
      </c>
      <c r="BR30" s="1">
        <v>1</v>
      </c>
    </row>
    <row r="31" spans="1:70" x14ac:dyDescent="0.3">
      <c r="A31" s="1" t="s">
        <v>117</v>
      </c>
      <c r="B31" s="7">
        <v>40758</v>
      </c>
      <c r="C31" s="1">
        <v>20</v>
      </c>
      <c r="D31" s="1">
        <v>158</v>
      </c>
      <c r="E31" s="1">
        <v>9</v>
      </c>
      <c r="F31" s="1">
        <v>30</v>
      </c>
      <c r="H31" s="1">
        <v>1</v>
      </c>
    </row>
    <row r="32" spans="1:70" x14ac:dyDescent="0.3">
      <c r="A32" s="1" t="s">
        <v>117</v>
      </c>
      <c r="B32" s="7">
        <v>40758</v>
      </c>
      <c r="C32" s="1">
        <v>20</v>
      </c>
      <c r="D32" s="1">
        <v>158</v>
      </c>
      <c r="E32" s="1">
        <v>9</v>
      </c>
      <c r="F32" s="1">
        <v>31</v>
      </c>
      <c r="L32" s="1">
        <v>1</v>
      </c>
      <c r="P32" s="1">
        <v>1</v>
      </c>
    </row>
    <row r="33" spans="1:59" x14ac:dyDescent="0.3">
      <c r="A33" s="1" t="s">
        <v>117</v>
      </c>
      <c r="B33" s="7">
        <v>40758</v>
      </c>
      <c r="C33" s="1">
        <v>20</v>
      </c>
      <c r="D33" s="1">
        <v>158</v>
      </c>
      <c r="E33" s="1">
        <v>9</v>
      </c>
      <c r="F33" s="1">
        <v>32</v>
      </c>
      <c r="L33" s="1">
        <v>1</v>
      </c>
      <c r="AF33" s="1">
        <v>1</v>
      </c>
    </row>
    <row r="34" spans="1:59" x14ac:dyDescent="0.3">
      <c r="A34" s="1" t="s">
        <v>117</v>
      </c>
      <c r="B34" s="7">
        <v>40758</v>
      </c>
      <c r="C34" s="1">
        <v>20</v>
      </c>
      <c r="D34" s="1">
        <v>158</v>
      </c>
      <c r="E34" s="1">
        <v>9</v>
      </c>
      <c r="F34" s="1">
        <v>33</v>
      </c>
      <c r="L34" s="1">
        <v>1</v>
      </c>
    </row>
    <row r="35" spans="1:59" x14ac:dyDescent="0.3">
      <c r="A35" s="1" t="s">
        <v>117</v>
      </c>
      <c r="B35" s="7">
        <v>40758</v>
      </c>
      <c r="C35" s="1">
        <v>20</v>
      </c>
      <c r="D35" s="1">
        <v>158</v>
      </c>
      <c r="E35" s="1">
        <v>9</v>
      </c>
      <c r="F35" s="1">
        <v>34</v>
      </c>
      <c r="H35" s="1">
        <v>1</v>
      </c>
      <c r="R35" s="3">
        <v>0</v>
      </c>
      <c r="S35" s="3">
        <v>1</v>
      </c>
    </row>
    <row r="36" spans="1:59" x14ac:dyDescent="0.3">
      <c r="A36" s="1" t="s">
        <v>117</v>
      </c>
      <c r="B36" s="7">
        <v>40758</v>
      </c>
      <c r="C36" s="1">
        <v>20</v>
      </c>
      <c r="D36" s="1">
        <v>158</v>
      </c>
      <c r="E36" s="1">
        <v>9</v>
      </c>
      <c r="F36" s="1">
        <v>35</v>
      </c>
      <c r="P36" s="1">
        <v>1</v>
      </c>
    </row>
    <row r="37" spans="1:59" x14ac:dyDescent="0.3">
      <c r="A37" s="1" t="s">
        <v>117</v>
      </c>
      <c r="B37" s="7">
        <v>40758</v>
      </c>
      <c r="C37" s="1">
        <v>20</v>
      </c>
      <c r="D37" s="1">
        <v>158</v>
      </c>
      <c r="E37" s="1">
        <v>9</v>
      </c>
      <c r="F37" s="1">
        <v>36</v>
      </c>
      <c r="L37" s="1">
        <v>1</v>
      </c>
      <c r="BG37" s="1">
        <v>1</v>
      </c>
    </row>
    <row r="38" spans="1:59" x14ac:dyDescent="0.3">
      <c r="A38" s="1" t="s">
        <v>117</v>
      </c>
      <c r="B38" s="7">
        <v>40758</v>
      </c>
      <c r="C38" s="1">
        <v>20</v>
      </c>
      <c r="D38" s="1">
        <v>158</v>
      </c>
      <c r="E38" s="1">
        <v>9</v>
      </c>
      <c r="F38" s="1">
        <v>37</v>
      </c>
      <c r="R38" s="1">
        <v>1</v>
      </c>
    </row>
    <row r="39" spans="1:59" x14ac:dyDescent="0.3">
      <c r="A39" s="1" t="s">
        <v>117</v>
      </c>
      <c r="B39" s="7">
        <v>40758</v>
      </c>
      <c r="C39" s="1">
        <v>20</v>
      </c>
      <c r="D39" s="1">
        <v>158</v>
      </c>
      <c r="E39" s="1">
        <v>9</v>
      </c>
      <c r="F39" s="1">
        <v>38</v>
      </c>
      <c r="P39" s="1">
        <v>1</v>
      </c>
      <c r="R39" s="3">
        <v>0</v>
      </c>
      <c r="S39" s="3">
        <v>1</v>
      </c>
    </row>
    <row r="40" spans="1:59" x14ac:dyDescent="0.3">
      <c r="A40" s="1" t="s">
        <v>117</v>
      </c>
      <c r="B40" s="7">
        <v>40758</v>
      </c>
      <c r="C40" s="1">
        <v>20</v>
      </c>
      <c r="D40" s="1">
        <v>158</v>
      </c>
      <c r="E40" s="1">
        <v>9</v>
      </c>
      <c r="F40" s="1">
        <v>39</v>
      </c>
      <c r="L40" s="1">
        <v>1</v>
      </c>
      <c r="R40" s="1">
        <v>1</v>
      </c>
      <c r="BG40" s="1">
        <v>1</v>
      </c>
    </row>
    <row r="41" spans="1:59" x14ac:dyDescent="0.3">
      <c r="A41" s="1" t="s">
        <v>117</v>
      </c>
      <c r="B41" s="7">
        <v>40758</v>
      </c>
      <c r="C41" s="1">
        <v>20</v>
      </c>
      <c r="D41" s="1">
        <v>158</v>
      </c>
      <c r="E41" s="1">
        <v>9</v>
      </c>
      <c r="F41" s="1">
        <v>40</v>
      </c>
      <c r="P41" s="3">
        <v>0</v>
      </c>
      <c r="Q41" s="3">
        <v>1</v>
      </c>
    </row>
    <row r="42" spans="1:59" x14ac:dyDescent="0.3">
      <c r="A42" s="1" t="s">
        <v>117</v>
      </c>
      <c r="B42" s="7">
        <v>40758</v>
      </c>
      <c r="C42" s="1">
        <v>20</v>
      </c>
      <c r="D42" s="1">
        <v>158</v>
      </c>
      <c r="E42" s="1">
        <v>9</v>
      </c>
      <c r="F42" s="1">
        <v>41</v>
      </c>
      <c r="L42" s="1">
        <v>1</v>
      </c>
      <c r="P42" s="1">
        <v>1</v>
      </c>
    </row>
    <row r="43" spans="1:59" x14ac:dyDescent="0.3">
      <c r="A43" s="1" t="s">
        <v>117</v>
      </c>
      <c r="B43" s="7">
        <v>40758</v>
      </c>
      <c r="C43" s="1">
        <v>20</v>
      </c>
      <c r="D43" s="1">
        <v>158</v>
      </c>
      <c r="E43" s="1">
        <v>9</v>
      </c>
      <c r="F43" s="1">
        <v>42</v>
      </c>
      <c r="L43" s="1">
        <v>1</v>
      </c>
      <c r="P43" s="1">
        <v>1</v>
      </c>
    </row>
    <row r="44" spans="1:59" x14ac:dyDescent="0.3">
      <c r="A44" s="1" t="s">
        <v>117</v>
      </c>
      <c r="B44" s="7">
        <v>40758</v>
      </c>
      <c r="C44" s="1">
        <v>20</v>
      </c>
      <c r="D44" s="1">
        <v>158</v>
      </c>
      <c r="E44" s="1">
        <v>9</v>
      </c>
      <c r="F44" s="1">
        <v>43</v>
      </c>
      <c r="L44" s="1">
        <v>1</v>
      </c>
    </row>
    <row r="45" spans="1:59" x14ac:dyDescent="0.3">
      <c r="A45" s="1" t="s">
        <v>117</v>
      </c>
      <c r="B45" s="7">
        <v>40758</v>
      </c>
      <c r="C45" s="1">
        <v>20</v>
      </c>
      <c r="D45" s="1">
        <v>158</v>
      </c>
      <c r="E45" s="1">
        <v>9</v>
      </c>
      <c r="F45" s="1">
        <v>44</v>
      </c>
      <c r="H45" s="1">
        <v>1</v>
      </c>
      <c r="R45" s="3">
        <v>0</v>
      </c>
      <c r="S45" s="3">
        <v>1</v>
      </c>
    </row>
    <row r="46" spans="1:59" x14ac:dyDescent="0.3">
      <c r="A46" s="1" t="s">
        <v>117</v>
      </c>
      <c r="B46" s="7">
        <v>40758</v>
      </c>
      <c r="C46" s="1">
        <v>20</v>
      </c>
      <c r="D46" s="1">
        <v>158</v>
      </c>
      <c r="E46" s="1">
        <v>9</v>
      </c>
      <c r="F46" s="1">
        <v>45</v>
      </c>
      <c r="R46" s="3">
        <v>0</v>
      </c>
      <c r="S46" s="3">
        <v>1</v>
      </c>
    </row>
    <row r="47" spans="1:59" x14ac:dyDescent="0.3">
      <c r="A47" s="1" t="s">
        <v>117</v>
      </c>
      <c r="B47" s="7">
        <v>40758</v>
      </c>
      <c r="C47" s="1">
        <v>20</v>
      </c>
      <c r="D47" s="1">
        <v>158</v>
      </c>
      <c r="E47" s="1">
        <v>9</v>
      </c>
      <c r="F47" s="1">
        <v>46</v>
      </c>
      <c r="L47" s="1">
        <v>1</v>
      </c>
      <c r="R47" s="3">
        <v>0</v>
      </c>
      <c r="S47" s="3">
        <v>1</v>
      </c>
    </row>
    <row r="48" spans="1:59" x14ac:dyDescent="0.3">
      <c r="A48" s="1" t="s">
        <v>117</v>
      </c>
      <c r="B48" s="7">
        <v>40758</v>
      </c>
      <c r="C48" s="1">
        <v>20</v>
      </c>
      <c r="D48" s="1">
        <v>158</v>
      </c>
      <c r="E48" s="1">
        <v>9</v>
      </c>
      <c r="F48" s="1">
        <v>47</v>
      </c>
      <c r="L48" s="1">
        <v>1</v>
      </c>
    </row>
    <row r="49" spans="1:59" x14ac:dyDescent="0.3">
      <c r="A49" s="1" t="s">
        <v>117</v>
      </c>
      <c r="B49" s="7">
        <v>40758</v>
      </c>
      <c r="C49" s="1">
        <v>20</v>
      </c>
      <c r="D49" s="1">
        <v>158</v>
      </c>
      <c r="E49" s="1">
        <v>9</v>
      </c>
      <c r="F49" s="1">
        <v>48</v>
      </c>
      <c r="L49" s="1">
        <v>1</v>
      </c>
      <c r="R49" s="3">
        <v>0</v>
      </c>
      <c r="S49" s="3">
        <v>1</v>
      </c>
    </row>
    <row r="50" spans="1:59" x14ac:dyDescent="0.3">
      <c r="A50" s="1" t="s">
        <v>117</v>
      </c>
      <c r="B50" s="7">
        <v>40758</v>
      </c>
      <c r="C50" s="1">
        <v>20</v>
      </c>
      <c r="D50" s="1">
        <v>158</v>
      </c>
      <c r="E50" s="1">
        <v>9</v>
      </c>
      <c r="F50" s="1">
        <v>49</v>
      </c>
      <c r="H50" s="1">
        <v>1</v>
      </c>
      <c r="L50" s="1">
        <v>1</v>
      </c>
      <c r="R50" s="3">
        <v>0</v>
      </c>
      <c r="S50" s="3">
        <v>1</v>
      </c>
    </row>
    <row r="51" spans="1:59" x14ac:dyDescent="0.3">
      <c r="A51" s="1" t="s">
        <v>117</v>
      </c>
      <c r="B51" s="7">
        <v>40758</v>
      </c>
      <c r="C51" s="1">
        <v>20</v>
      </c>
      <c r="D51" s="1">
        <v>158</v>
      </c>
      <c r="E51" s="1">
        <v>9</v>
      </c>
      <c r="F51" s="1">
        <v>50</v>
      </c>
      <c r="L51" s="1">
        <v>1</v>
      </c>
      <c r="R51" s="3">
        <v>0</v>
      </c>
      <c r="S51" s="3">
        <v>1</v>
      </c>
    </row>
    <row r="52" spans="1:59" x14ac:dyDescent="0.3">
      <c r="A52" s="1" t="s">
        <v>117</v>
      </c>
      <c r="B52" s="7">
        <v>40758</v>
      </c>
      <c r="C52" s="1">
        <v>20</v>
      </c>
      <c r="D52" s="1">
        <v>158</v>
      </c>
      <c r="E52" s="1">
        <v>9</v>
      </c>
      <c r="F52" s="1">
        <v>51</v>
      </c>
      <c r="L52" s="1">
        <v>1</v>
      </c>
      <c r="P52" s="1">
        <v>1</v>
      </c>
    </row>
    <row r="53" spans="1:59" x14ac:dyDescent="0.3">
      <c r="A53" s="1" t="s">
        <v>117</v>
      </c>
      <c r="B53" s="7">
        <v>40758</v>
      </c>
      <c r="C53" s="1">
        <v>20</v>
      </c>
      <c r="D53" s="1">
        <v>158</v>
      </c>
      <c r="E53" s="1">
        <v>9</v>
      </c>
      <c r="F53" s="1">
        <v>52</v>
      </c>
      <c r="L53" s="1">
        <v>1</v>
      </c>
      <c r="P53" s="1">
        <v>1</v>
      </c>
      <c r="AI53" s="1">
        <v>1</v>
      </c>
    </row>
    <row r="54" spans="1:59" x14ac:dyDescent="0.3">
      <c r="A54" s="1" t="s">
        <v>117</v>
      </c>
      <c r="B54" s="7">
        <v>40758</v>
      </c>
      <c r="C54" s="1">
        <v>20</v>
      </c>
      <c r="D54" s="1">
        <v>158</v>
      </c>
      <c r="E54" s="1">
        <v>9</v>
      </c>
      <c r="F54" s="1">
        <v>53</v>
      </c>
      <c r="L54" s="1">
        <v>1</v>
      </c>
      <c r="P54" s="3">
        <v>0</v>
      </c>
      <c r="Q54" s="3">
        <v>1</v>
      </c>
      <c r="R54" s="3">
        <v>0</v>
      </c>
      <c r="S54" s="3">
        <v>1</v>
      </c>
    </row>
    <row r="55" spans="1:59" x14ac:dyDescent="0.3">
      <c r="A55" s="1" t="s">
        <v>117</v>
      </c>
      <c r="B55" s="7">
        <v>40758</v>
      </c>
      <c r="C55" s="1">
        <v>20</v>
      </c>
      <c r="D55" s="1">
        <v>158</v>
      </c>
      <c r="E55" s="1">
        <v>9</v>
      </c>
      <c r="F55" s="1">
        <v>54</v>
      </c>
      <c r="I55" s="1">
        <v>1</v>
      </c>
      <c r="L55" s="1">
        <v>1</v>
      </c>
      <c r="R55" s="3">
        <v>0</v>
      </c>
      <c r="S55" s="3">
        <v>1</v>
      </c>
    </row>
    <row r="56" spans="1:59" x14ac:dyDescent="0.3">
      <c r="A56" s="1" t="s">
        <v>117</v>
      </c>
      <c r="B56" s="7">
        <v>40758</v>
      </c>
      <c r="C56" s="1">
        <v>20</v>
      </c>
      <c r="D56" s="1">
        <v>158</v>
      </c>
      <c r="E56" s="1">
        <v>9</v>
      </c>
      <c r="F56" s="1">
        <v>55</v>
      </c>
      <c r="H56" s="1">
        <v>1</v>
      </c>
      <c r="L56" s="1">
        <v>1</v>
      </c>
    </row>
    <row r="57" spans="1:59" x14ac:dyDescent="0.3">
      <c r="A57" s="1" t="s">
        <v>117</v>
      </c>
      <c r="B57" s="7">
        <v>40758</v>
      </c>
      <c r="C57" s="1">
        <v>20</v>
      </c>
      <c r="D57" s="1">
        <v>158</v>
      </c>
      <c r="E57" s="1">
        <v>9</v>
      </c>
      <c r="F57" s="1">
        <v>56</v>
      </c>
      <c r="P57" s="1">
        <v>1</v>
      </c>
    </row>
    <row r="58" spans="1:59" x14ac:dyDescent="0.3">
      <c r="A58" s="1" t="s">
        <v>117</v>
      </c>
      <c r="B58" s="7">
        <v>40758</v>
      </c>
      <c r="C58" s="1">
        <v>20</v>
      </c>
      <c r="D58" s="1">
        <v>158</v>
      </c>
      <c r="E58" s="1">
        <v>9</v>
      </c>
      <c r="F58" s="1">
        <v>57</v>
      </c>
      <c r="L58" s="1">
        <v>1</v>
      </c>
      <c r="AI58" s="1">
        <v>1</v>
      </c>
    </row>
    <row r="59" spans="1:59" x14ac:dyDescent="0.3">
      <c r="A59" s="1" t="s">
        <v>117</v>
      </c>
      <c r="B59" s="7">
        <v>40758</v>
      </c>
      <c r="C59" s="1">
        <v>20</v>
      </c>
      <c r="D59" s="1">
        <v>158</v>
      </c>
      <c r="E59" s="1">
        <v>9</v>
      </c>
      <c r="F59" s="1">
        <v>58</v>
      </c>
      <c r="L59" s="1">
        <v>1</v>
      </c>
      <c r="R59" s="3">
        <v>0</v>
      </c>
      <c r="S59" s="3">
        <v>1</v>
      </c>
      <c r="BG59" s="1">
        <v>1</v>
      </c>
    </row>
    <row r="60" spans="1:59" x14ac:dyDescent="0.3">
      <c r="A60" s="1" t="s">
        <v>117</v>
      </c>
      <c r="B60" s="7">
        <v>40758</v>
      </c>
      <c r="C60" s="1">
        <v>20</v>
      </c>
      <c r="D60" s="1">
        <v>158</v>
      </c>
      <c r="E60" s="1">
        <v>9</v>
      </c>
      <c r="F60" s="1">
        <v>59</v>
      </c>
      <c r="H60" s="1">
        <v>1</v>
      </c>
      <c r="R60" s="3">
        <v>0</v>
      </c>
      <c r="S60" s="3">
        <v>1</v>
      </c>
    </row>
    <row r="61" spans="1:59" x14ac:dyDescent="0.3">
      <c r="A61" s="1" t="s">
        <v>117</v>
      </c>
      <c r="B61" s="7">
        <v>40758</v>
      </c>
      <c r="C61" s="1">
        <v>20</v>
      </c>
      <c r="D61" s="1">
        <v>158</v>
      </c>
      <c r="E61" s="1">
        <v>9</v>
      </c>
      <c r="F61" s="1">
        <v>60</v>
      </c>
      <c r="H61" s="1">
        <v>1</v>
      </c>
      <c r="L61" s="1">
        <v>1</v>
      </c>
    </row>
    <row r="62" spans="1:59" x14ac:dyDescent="0.3">
      <c r="A62" s="1" t="s">
        <v>117</v>
      </c>
      <c r="B62" s="7">
        <v>40758</v>
      </c>
      <c r="C62" s="1">
        <v>20</v>
      </c>
      <c r="D62" s="1">
        <v>158</v>
      </c>
      <c r="E62" s="1">
        <v>9</v>
      </c>
      <c r="F62" s="1">
        <v>61</v>
      </c>
      <c r="L62" s="1">
        <v>1</v>
      </c>
    </row>
    <row r="63" spans="1:59" x14ac:dyDescent="0.3">
      <c r="A63" s="1" t="s">
        <v>117</v>
      </c>
      <c r="B63" s="7">
        <v>40758</v>
      </c>
      <c r="C63" s="1">
        <v>20</v>
      </c>
      <c r="D63" s="1">
        <v>158</v>
      </c>
      <c r="E63" s="1">
        <v>9</v>
      </c>
      <c r="F63" s="1">
        <v>62</v>
      </c>
      <c r="L63" s="1">
        <v>1</v>
      </c>
      <c r="R63" s="8">
        <v>1</v>
      </c>
      <c r="S63" s="8"/>
    </row>
    <row r="64" spans="1:59" x14ac:dyDescent="0.3">
      <c r="A64" s="1" t="s">
        <v>117</v>
      </c>
      <c r="B64" s="7">
        <v>40758</v>
      </c>
      <c r="C64" s="1">
        <v>20</v>
      </c>
      <c r="D64" s="1">
        <v>158</v>
      </c>
      <c r="E64" s="1">
        <v>9</v>
      </c>
      <c r="F64" s="1">
        <v>63</v>
      </c>
      <c r="L64" s="1">
        <v>1</v>
      </c>
      <c r="R64" s="3">
        <v>0</v>
      </c>
      <c r="S64" s="3">
        <v>1</v>
      </c>
    </row>
    <row r="65" spans="1:57" x14ac:dyDescent="0.3">
      <c r="A65" s="1" t="s">
        <v>117</v>
      </c>
      <c r="B65" s="7">
        <v>40758</v>
      </c>
      <c r="C65" s="1">
        <v>20</v>
      </c>
      <c r="D65" s="1">
        <v>158</v>
      </c>
      <c r="E65" s="1">
        <v>9</v>
      </c>
      <c r="F65" s="1">
        <v>64</v>
      </c>
      <c r="L65" s="1">
        <v>1</v>
      </c>
      <c r="R65" s="3">
        <v>0</v>
      </c>
      <c r="S65" s="3">
        <v>1</v>
      </c>
    </row>
    <row r="66" spans="1:57" x14ac:dyDescent="0.3">
      <c r="A66" s="1" t="s">
        <v>117</v>
      </c>
      <c r="B66" s="7">
        <v>40758</v>
      </c>
      <c r="C66" s="1">
        <v>20</v>
      </c>
      <c r="D66" s="1">
        <v>158</v>
      </c>
      <c r="E66" s="1">
        <v>9</v>
      </c>
      <c r="F66" s="1">
        <v>65</v>
      </c>
      <c r="L66" s="1">
        <v>1</v>
      </c>
      <c r="P66" s="3">
        <v>0</v>
      </c>
      <c r="Q66" s="3">
        <v>1</v>
      </c>
    </row>
    <row r="67" spans="1:57" x14ac:dyDescent="0.3">
      <c r="A67" s="1" t="s">
        <v>117</v>
      </c>
      <c r="B67" s="7">
        <v>40758</v>
      </c>
      <c r="C67" s="1">
        <v>20</v>
      </c>
      <c r="D67" s="1">
        <v>158</v>
      </c>
      <c r="E67" s="1">
        <v>9</v>
      </c>
      <c r="F67" s="1">
        <v>66</v>
      </c>
      <c r="L67" s="1">
        <v>1</v>
      </c>
      <c r="P67" s="1">
        <v>1</v>
      </c>
      <c r="R67" s="1">
        <v>1</v>
      </c>
    </row>
    <row r="68" spans="1:57" x14ac:dyDescent="0.3">
      <c r="A68" s="1" t="s">
        <v>117</v>
      </c>
      <c r="B68" s="7">
        <v>40758</v>
      </c>
      <c r="C68" s="1">
        <v>20</v>
      </c>
      <c r="D68" s="1">
        <v>158</v>
      </c>
      <c r="E68" s="1">
        <v>9</v>
      </c>
      <c r="F68" s="1">
        <v>67</v>
      </c>
      <c r="H68" s="1">
        <v>1</v>
      </c>
      <c r="R68" s="1">
        <v>1</v>
      </c>
    </row>
    <row r="69" spans="1:57" x14ac:dyDescent="0.3">
      <c r="A69" s="1" t="s">
        <v>117</v>
      </c>
      <c r="B69" s="7">
        <v>40758</v>
      </c>
      <c r="C69" s="1">
        <v>20</v>
      </c>
      <c r="D69" s="1">
        <v>158</v>
      </c>
      <c r="E69" s="1">
        <v>9</v>
      </c>
      <c r="F69" s="1">
        <v>68</v>
      </c>
      <c r="H69" s="1">
        <v>1</v>
      </c>
      <c r="L69" s="1">
        <v>1</v>
      </c>
      <c r="R69" s="3">
        <v>0</v>
      </c>
      <c r="S69" s="3">
        <v>1</v>
      </c>
    </row>
    <row r="70" spans="1:57" x14ac:dyDescent="0.3">
      <c r="A70" s="1" t="s">
        <v>117</v>
      </c>
      <c r="B70" s="7">
        <v>40758</v>
      </c>
      <c r="C70" s="1">
        <v>20</v>
      </c>
      <c r="D70" s="1">
        <v>158</v>
      </c>
      <c r="E70" s="1">
        <v>9</v>
      </c>
      <c r="F70" s="1">
        <v>69</v>
      </c>
      <c r="L70" s="1">
        <v>1</v>
      </c>
      <c r="R70" s="3">
        <v>0</v>
      </c>
      <c r="S70" s="3">
        <v>1</v>
      </c>
    </row>
    <row r="71" spans="1:57" x14ac:dyDescent="0.3">
      <c r="A71" s="1" t="s">
        <v>117</v>
      </c>
      <c r="B71" s="7">
        <v>40758</v>
      </c>
      <c r="C71" s="1">
        <v>20</v>
      </c>
      <c r="D71" s="1">
        <v>158</v>
      </c>
      <c r="E71" s="1">
        <v>9</v>
      </c>
      <c r="F71" s="1">
        <v>70</v>
      </c>
      <c r="L71" s="1">
        <v>1</v>
      </c>
    </row>
    <row r="72" spans="1:57" x14ac:dyDescent="0.3">
      <c r="A72" s="1" t="s">
        <v>117</v>
      </c>
      <c r="B72" s="7">
        <v>40758</v>
      </c>
      <c r="C72" s="1">
        <v>20</v>
      </c>
      <c r="D72" s="1">
        <v>158</v>
      </c>
      <c r="E72" s="1">
        <v>9</v>
      </c>
      <c r="F72" s="1">
        <v>71</v>
      </c>
      <c r="L72" s="1">
        <v>1</v>
      </c>
    </row>
    <row r="73" spans="1:57" x14ac:dyDescent="0.3">
      <c r="A73" s="1" t="s">
        <v>117</v>
      </c>
      <c r="B73" s="7">
        <v>40758</v>
      </c>
      <c r="C73" s="1">
        <v>20</v>
      </c>
      <c r="D73" s="1">
        <v>158</v>
      </c>
      <c r="E73" s="1">
        <v>9</v>
      </c>
      <c r="F73" s="1">
        <v>72</v>
      </c>
      <c r="R73" s="1">
        <v>1</v>
      </c>
    </row>
    <row r="74" spans="1:57" x14ac:dyDescent="0.3">
      <c r="A74" s="1" t="s">
        <v>117</v>
      </c>
      <c r="B74" s="7">
        <v>40758</v>
      </c>
      <c r="C74" s="1">
        <v>20</v>
      </c>
      <c r="D74" s="1">
        <v>158</v>
      </c>
      <c r="E74" s="1">
        <v>9</v>
      </c>
      <c r="F74" s="1">
        <v>73</v>
      </c>
      <c r="L74" s="1">
        <v>1</v>
      </c>
      <c r="R74" s="3">
        <v>0</v>
      </c>
      <c r="S74" s="3">
        <v>1</v>
      </c>
    </row>
    <row r="75" spans="1:57" x14ac:dyDescent="0.3">
      <c r="A75" s="1" t="s">
        <v>117</v>
      </c>
      <c r="B75" s="7">
        <v>40758</v>
      </c>
      <c r="C75" s="1">
        <v>20</v>
      </c>
      <c r="D75" s="1">
        <v>158</v>
      </c>
      <c r="E75" s="1">
        <v>9</v>
      </c>
      <c r="F75" s="1">
        <v>74</v>
      </c>
      <c r="L75" s="1">
        <v>1</v>
      </c>
      <c r="P75" s="1">
        <v>1</v>
      </c>
      <c r="R75" s="3">
        <v>0</v>
      </c>
      <c r="S75" s="3">
        <v>1</v>
      </c>
    </row>
    <row r="76" spans="1:57" x14ac:dyDescent="0.3">
      <c r="A76" s="1" t="s">
        <v>117</v>
      </c>
      <c r="B76" s="7">
        <v>40758</v>
      </c>
      <c r="C76" s="1">
        <v>20</v>
      </c>
      <c r="D76" s="1">
        <v>158</v>
      </c>
      <c r="E76" s="1">
        <v>9</v>
      </c>
      <c r="F76" s="1">
        <v>75</v>
      </c>
      <c r="H76" s="1">
        <v>1</v>
      </c>
      <c r="R76" s="1">
        <v>1</v>
      </c>
    </row>
    <row r="77" spans="1:57" x14ac:dyDescent="0.3">
      <c r="A77" s="1" t="s">
        <v>117</v>
      </c>
      <c r="B77" s="7">
        <v>40758</v>
      </c>
      <c r="C77" s="1">
        <v>20</v>
      </c>
      <c r="D77" s="1">
        <v>158</v>
      </c>
      <c r="E77" s="1">
        <v>9</v>
      </c>
      <c r="F77" s="1">
        <v>76</v>
      </c>
      <c r="R77" s="3">
        <v>0</v>
      </c>
      <c r="S77" s="3">
        <v>1</v>
      </c>
    </row>
    <row r="78" spans="1:57" x14ac:dyDescent="0.3">
      <c r="A78" s="1" t="s">
        <v>117</v>
      </c>
      <c r="B78" s="7">
        <v>40758</v>
      </c>
      <c r="C78" s="1">
        <v>20</v>
      </c>
      <c r="D78" s="1">
        <v>158</v>
      </c>
      <c r="E78" s="1">
        <v>9</v>
      </c>
      <c r="F78" s="1">
        <v>77</v>
      </c>
      <c r="P78" s="3">
        <v>0</v>
      </c>
      <c r="Q78" s="3">
        <v>1</v>
      </c>
      <c r="R78" s="3">
        <v>0</v>
      </c>
      <c r="S78" s="3">
        <v>1</v>
      </c>
    </row>
    <row r="79" spans="1:57" x14ac:dyDescent="0.3">
      <c r="A79" s="1" t="s">
        <v>117</v>
      </c>
      <c r="B79" s="7">
        <v>40758</v>
      </c>
      <c r="C79" s="1">
        <v>20</v>
      </c>
      <c r="D79" s="1">
        <v>158</v>
      </c>
      <c r="E79" s="1">
        <v>9</v>
      </c>
      <c r="F79" s="1">
        <v>78</v>
      </c>
      <c r="P79" s="3">
        <v>0</v>
      </c>
      <c r="Q79" s="3">
        <v>1</v>
      </c>
      <c r="R79" s="3">
        <v>0</v>
      </c>
      <c r="S79" s="3">
        <v>1</v>
      </c>
      <c r="BE79" s="1">
        <v>1</v>
      </c>
    </row>
    <row r="80" spans="1:57" x14ac:dyDescent="0.3">
      <c r="A80" s="1" t="s">
        <v>117</v>
      </c>
      <c r="B80" s="7">
        <v>40758</v>
      </c>
      <c r="C80" s="1">
        <v>20</v>
      </c>
      <c r="D80" s="1">
        <v>158</v>
      </c>
      <c r="E80" s="1">
        <v>9</v>
      </c>
      <c r="F80" s="1">
        <v>79</v>
      </c>
      <c r="L80" s="1">
        <v>1</v>
      </c>
    </row>
    <row r="81" spans="1:70" x14ac:dyDescent="0.3">
      <c r="A81" s="1" t="s">
        <v>117</v>
      </c>
      <c r="B81" s="7">
        <v>40758</v>
      </c>
      <c r="C81" s="1">
        <v>20</v>
      </c>
      <c r="D81" s="1">
        <v>158</v>
      </c>
      <c r="E81" s="1">
        <v>9</v>
      </c>
      <c r="F81" s="1">
        <v>80</v>
      </c>
      <c r="L81" s="1">
        <v>1</v>
      </c>
      <c r="BE81" s="1">
        <v>1</v>
      </c>
    </row>
    <row r="82" spans="1:70" x14ac:dyDescent="0.3">
      <c r="A82" s="1" t="s">
        <v>117</v>
      </c>
      <c r="B82" s="7">
        <v>40758</v>
      </c>
      <c r="C82" s="1">
        <v>20</v>
      </c>
      <c r="D82" s="1">
        <v>158</v>
      </c>
      <c r="E82" s="1">
        <v>9</v>
      </c>
      <c r="F82" s="1">
        <v>81</v>
      </c>
      <c r="L82" s="1">
        <v>1</v>
      </c>
      <c r="P82" s="1">
        <v>1</v>
      </c>
    </row>
    <row r="83" spans="1:70" x14ac:dyDescent="0.3">
      <c r="A83" s="1" t="s">
        <v>117</v>
      </c>
      <c r="B83" s="7">
        <v>40758</v>
      </c>
      <c r="C83" s="1">
        <v>20</v>
      </c>
      <c r="D83" s="1">
        <v>158</v>
      </c>
      <c r="E83" s="1">
        <v>9</v>
      </c>
      <c r="F83" s="1">
        <v>82</v>
      </c>
      <c r="L83" s="1">
        <v>1</v>
      </c>
    </row>
    <row r="84" spans="1:70" x14ac:dyDescent="0.3">
      <c r="A84" s="1" t="s">
        <v>117</v>
      </c>
      <c r="B84" s="7">
        <v>40758</v>
      </c>
      <c r="C84" s="1">
        <v>20</v>
      </c>
      <c r="D84" s="1">
        <v>158</v>
      </c>
      <c r="E84" s="1">
        <v>9</v>
      </c>
      <c r="F84" s="1">
        <v>83</v>
      </c>
      <c r="L84" s="1">
        <v>1</v>
      </c>
    </row>
    <row r="85" spans="1:70" x14ac:dyDescent="0.3">
      <c r="A85" s="1" t="s">
        <v>117</v>
      </c>
      <c r="B85" s="7">
        <v>40758</v>
      </c>
      <c r="C85" s="1">
        <v>20</v>
      </c>
      <c r="D85" s="1">
        <v>158</v>
      </c>
      <c r="E85" s="1">
        <v>9</v>
      </c>
      <c r="F85" s="1">
        <v>84</v>
      </c>
      <c r="L85" s="1">
        <v>1</v>
      </c>
      <c r="BR85" s="1">
        <v>1</v>
      </c>
    </row>
    <row r="86" spans="1:70" x14ac:dyDescent="0.3">
      <c r="A86" s="1" t="s">
        <v>117</v>
      </c>
      <c r="B86" s="7">
        <v>40758</v>
      </c>
      <c r="C86" s="1">
        <v>20</v>
      </c>
      <c r="D86" s="1">
        <v>158</v>
      </c>
      <c r="E86" s="1">
        <v>9</v>
      </c>
      <c r="F86" s="1">
        <v>85</v>
      </c>
      <c r="L86" s="1">
        <v>1</v>
      </c>
      <c r="P86" s="1">
        <v>1</v>
      </c>
    </row>
    <row r="87" spans="1:70" x14ac:dyDescent="0.3">
      <c r="A87" s="1" t="s">
        <v>117</v>
      </c>
      <c r="B87" s="7">
        <v>40758</v>
      </c>
      <c r="C87" s="1">
        <v>20</v>
      </c>
      <c r="D87" s="1">
        <v>158</v>
      </c>
      <c r="E87" s="1">
        <v>9</v>
      </c>
      <c r="F87" s="1">
        <v>86</v>
      </c>
      <c r="L87" s="1">
        <v>1</v>
      </c>
    </row>
    <row r="88" spans="1:70" x14ac:dyDescent="0.3">
      <c r="A88" s="1" t="s">
        <v>117</v>
      </c>
      <c r="B88" s="7">
        <v>40758</v>
      </c>
      <c r="C88" s="1">
        <v>20</v>
      </c>
      <c r="D88" s="1">
        <v>158</v>
      </c>
      <c r="E88" s="1">
        <v>9</v>
      </c>
      <c r="F88" s="1">
        <v>87</v>
      </c>
      <c r="L88" s="1">
        <v>1</v>
      </c>
    </row>
    <row r="89" spans="1:70" x14ac:dyDescent="0.3">
      <c r="A89" s="1" t="s">
        <v>117</v>
      </c>
      <c r="B89" s="7">
        <v>40758</v>
      </c>
      <c r="C89" s="1">
        <v>20</v>
      </c>
      <c r="D89" s="1">
        <v>158</v>
      </c>
      <c r="E89" s="1">
        <v>9</v>
      </c>
      <c r="F89" s="1">
        <v>88</v>
      </c>
      <c r="L89" s="1">
        <v>1</v>
      </c>
      <c r="AI89" s="3">
        <v>0</v>
      </c>
      <c r="AJ89" s="3">
        <v>1</v>
      </c>
    </row>
    <row r="90" spans="1:70" x14ac:dyDescent="0.3">
      <c r="A90" s="1" t="s">
        <v>117</v>
      </c>
      <c r="B90" s="7">
        <v>40758</v>
      </c>
      <c r="C90" s="1">
        <v>20</v>
      </c>
      <c r="D90" s="1">
        <v>158</v>
      </c>
      <c r="E90" s="1">
        <v>9</v>
      </c>
      <c r="F90" s="1">
        <v>89</v>
      </c>
      <c r="L90" s="1">
        <v>1</v>
      </c>
    </row>
    <row r="91" spans="1:70" x14ac:dyDescent="0.3">
      <c r="A91" s="1" t="s">
        <v>117</v>
      </c>
      <c r="B91" s="7">
        <v>40758</v>
      </c>
      <c r="C91" s="1">
        <v>20</v>
      </c>
      <c r="D91" s="1">
        <v>158</v>
      </c>
      <c r="E91" s="1">
        <v>9</v>
      </c>
      <c r="F91" s="1">
        <v>90</v>
      </c>
      <c r="L91" s="1">
        <v>1</v>
      </c>
      <c r="BE91" s="1">
        <v>1</v>
      </c>
    </row>
    <row r="92" spans="1:70" x14ac:dyDescent="0.3">
      <c r="A92" s="1" t="s">
        <v>117</v>
      </c>
      <c r="B92" s="7">
        <v>40758</v>
      </c>
      <c r="C92" s="1">
        <v>20</v>
      </c>
      <c r="D92" s="1">
        <v>158</v>
      </c>
      <c r="E92" s="1">
        <v>9</v>
      </c>
      <c r="F92" s="1">
        <v>91</v>
      </c>
      <c r="L92" s="3">
        <v>0</v>
      </c>
      <c r="M92" s="3">
        <v>1</v>
      </c>
    </row>
    <row r="93" spans="1:70" x14ac:dyDescent="0.3">
      <c r="A93" s="1" t="s">
        <v>117</v>
      </c>
      <c r="B93" s="7">
        <v>40758</v>
      </c>
      <c r="C93" s="1">
        <v>20</v>
      </c>
      <c r="D93" s="1">
        <v>158</v>
      </c>
      <c r="E93" s="1">
        <v>9</v>
      </c>
      <c r="F93" s="1">
        <v>92</v>
      </c>
      <c r="L93" s="1">
        <v>1</v>
      </c>
      <c r="P93" s="1">
        <v>1</v>
      </c>
    </row>
    <row r="94" spans="1:70" x14ac:dyDescent="0.3">
      <c r="A94" s="1" t="s">
        <v>117</v>
      </c>
      <c r="B94" s="7">
        <v>40758</v>
      </c>
      <c r="C94" s="1">
        <v>20</v>
      </c>
      <c r="D94" s="1">
        <v>158</v>
      </c>
      <c r="E94" s="1">
        <v>9</v>
      </c>
      <c r="F94" s="1">
        <v>93</v>
      </c>
      <c r="L94" s="1">
        <v>1</v>
      </c>
    </row>
    <row r="95" spans="1:70" x14ac:dyDescent="0.3">
      <c r="A95" s="1" t="s">
        <v>117</v>
      </c>
      <c r="B95" s="7">
        <v>40758</v>
      </c>
      <c r="C95" s="1">
        <v>20</v>
      </c>
      <c r="D95" s="1">
        <v>158</v>
      </c>
      <c r="E95" s="1">
        <v>9</v>
      </c>
      <c r="F95" s="1">
        <v>94</v>
      </c>
      <c r="L95" s="1">
        <v>1</v>
      </c>
      <c r="BC95" s="1">
        <v>1</v>
      </c>
    </row>
    <row r="96" spans="1:70" x14ac:dyDescent="0.3">
      <c r="A96" s="1" t="s">
        <v>117</v>
      </c>
      <c r="B96" s="7">
        <v>40758</v>
      </c>
      <c r="C96" s="1">
        <v>20</v>
      </c>
      <c r="D96" s="1">
        <v>158</v>
      </c>
      <c r="E96" s="1">
        <v>9</v>
      </c>
      <c r="F96" s="1">
        <v>95</v>
      </c>
    </row>
    <row r="97" spans="1:70" x14ac:dyDescent="0.3">
      <c r="A97" s="1" t="s">
        <v>117</v>
      </c>
      <c r="B97" s="7">
        <v>40758</v>
      </c>
      <c r="C97" s="1">
        <v>20</v>
      </c>
      <c r="D97" s="1">
        <v>158</v>
      </c>
      <c r="E97" s="1">
        <v>9</v>
      </c>
      <c r="F97" s="1">
        <v>96</v>
      </c>
      <c r="P97" s="1">
        <v>1</v>
      </c>
    </row>
    <row r="98" spans="1:70" x14ac:dyDescent="0.3">
      <c r="A98" s="1" t="s">
        <v>117</v>
      </c>
      <c r="B98" s="7">
        <v>40758</v>
      </c>
      <c r="C98" s="1">
        <v>20</v>
      </c>
      <c r="D98" s="1">
        <v>158</v>
      </c>
      <c r="E98" s="1">
        <v>9</v>
      </c>
      <c r="F98" s="1">
        <v>97</v>
      </c>
      <c r="L98" s="1">
        <v>1</v>
      </c>
      <c r="R98" s="3">
        <v>0</v>
      </c>
      <c r="S98" s="3">
        <v>1</v>
      </c>
    </row>
    <row r="99" spans="1:70" x14ac:dyDescent="0.3">
      <c r="A99" s="1" t="s">
        <v>117</v>
      </c>
      <c r="B99" s="7">
        <v>40758</v>
      </c>
      <c r="C99" s="1">
        <v>20</v>
      </c>
      <c r="D99" s="1">
        <v>158</v>
      </c>
      <c r="E99" s="1">
        <v>9</v>
      </c>
      <c r="F99" s="1">
        <v>98</v>
      </c>
      <c r="L99" s="1">
        <v>1</v>
      </c>
    </row>
    <row r="100" spans="1:70" x14ac:dyDescent="0.3">
      <c r="A100" s="1" t="s">
        <v>117</v>
      </c>
      <c r="B100" s="7">
        <v>40758</v>
      </c>
      <c r="C100" s="1">
        <v>20</v>
      </c>
      <c r="D100" s="1">
        <v>158</v>
      </c>
      <c r="E100" s="1">
        <v>9</v>
      </c>
      <c r="F100" s="1">
        <v>99</v>
      </c>
      <c r="L100" s="1">
        <v>1</v>
      </c>
      <c r="BR100" s="1">
        <v>1</v>
      </c>
    </row>
    <row r="101" spans="1:70" x14ac:dyDescent="0.3">
      <c r="A101" s="1" t="s">
        <v>117</v>
      </c>
      <c r="B101" s="7">
        <v>40758</v>
      </c>
      <c r="C101" s="1">
        <v>20</v>
      </c>
      <c r="D101" s="1">
        <v>158</v>
      </c>
      <c r="E101" s="1">
        <v>9</v>
      </c>
      <c r="F101" s="1">
        <v>100</v>
      </c>
      <c r="L101" s="1">
        <v>1</v>
      </c>
    </row>
    <row r="102" spans="1:70" x14ac:dyDescent="0.3">
      <c r="A102" s="1" t="s">
        <v>117</v>
      </c>
      <c r="B102" s="7">
        <v>40757</v>
      </c>
      <c r="C102" s="1">
        <v>20</v>
      </c>
      <c r="D102" s="1">
        <v>82</v>
      </c>
      <c r="E102" s="1">
        <v>6</v>
      </c>
      <c r="F102" s="1">
        <v>1</v>
      </c>
      <c r="L102" s="1">
        <v>1</v>
      </c>
    </row>
    <row r="103" spans="1:70" x14ac:dyDescent="0.3">
      <c r="A103" s="1" t="s">
        <v>117</v>
      </c>
      <c r="B103" s="7">
        <v>40757</v>
      </c>
      <c r="C103" s="1">
        <v>20</v>
      </c>
      <c r="D103" s="1">
        <v>82</v>
      </c>
      <c r="E103" s="1">
        <v>6</v>
      </c>
      <c r="F103" s="1">
        <v>2</v>
      </c>
      <c r="L103" s="1">
        <v>1</v>
      </c>
    </row>
    <row r="104" spans="1:70" x14ac:dyDescent="0.3">
      <c r="A104" s="1" t="s">
        <v>117</v>
      </c>
      <c r="B104" s="7">
        <v>40757</v>
      </c>
      <c r="C104" s="1">
        <v>20</v>
      </c>
      <c r="D104" s="1">
        <v>82</v>
      </c>
      <c r="E104" s="1">
        <v>6</v>
      </c>
      <c r="F104" s="1">
        <v>3</v>
      </c>
      <c r="I104" s="1">
        <v>1</v>
      </c>
      <c r="L104" s="1">
        <v>1</v>
      </c>
    </row>
    <row r="105" spans="1:70" x14ac:dyDescent="0.3">
      <c r="A105" s="1" t="s">
        <v>117</v>
      </c>
      <c r="B105" s="7">
        <v>40757</v>
      </c>
      <c r="C105" s="1">
        <v>20</v>
      </c>
      <c r="D105" s="1">
        <v>82</v>
      </c>
      <c r="E105" s="1">
        <v>6</v>
      </c>
      <c r="F105" s="1">
        <v>4</v>
      </c>
      <c r="H105" s="1">
        <v>1</v>
      </c>
    </row>
    <row r="106" spans="1:70" x14ac:dyDescent="0.3">
      <c r="A106" s="1" t="s">
        <v>117</v>
      </c>
      <c r="B106" s="7">
        <v>40757</v>
      </c>
      <c r="C106" s="1">
        <v>20</v>
      </c>
      <c r="D106" s="1">
        <v>82</v>
      </c>
      <c r="E106" s="1">
        <v>6</v>
      </c>
      <c r="F106" s="1">
        <v>5</v>
      </c>
      <c r="H106" s="1">
        <v>1</v>
      </c>
      <c r="R106" s="1">
        <v>1</v>
      </c>
    </row>
    <row r="107" spans="1:70" x14ac:dyDescent="0.3">
      <c r="A107" s="1" t="s">
        <v>117</v>
      </c>
      <c r="B107" s="7">
        <v>40757</v>
      </c>
      <c r="C107" s="1">
        <v>20</v>
      </c>
      <c r="D107" s="1">
        <v>82</v>
      </c>
      <c r="E107" s="1">
        <v>6</v>
      </c>
      <c r="F107" s="1">
        <v>6</v>
      </c>
      <c r="H107" s="1">
        <v>1</v>
      </c>
      <c r="L107" s="1">
        <v>1</v>
      </c>
      <c r="R107" s="1">
        <v>1</v>
      </c>
    </row>
    <row r="108" spans="1:70" x14ac:dyDescent="0.3">
      <c r="A108" s="1" t="s">
        <v>117</v>
      </c>
      <c r="B108" s="7">
        <v>40757</v>
      </c>
      <c r="C108" s="1">
        <v>20</v>
      </c>
      <c r="D108" s="1">
        <v>82</v>
      </c>
      <c r="E108" s="1">
        <v>6</v>
      </c>
      <c r="F108" s="1">
        <v>7</v>
      </c>
      <c r="L108" s="1">
        <v>1</v>
      </c>
      <c r="P108" s="3">
        <v>0</v>
      </c>
      <c r="Q108" s="3">
        <v>1</v>
      </c>
    </row>
    <row r="109" spans="1:70" x14ac:dyDescent="0.3">
      <c r="A109" s="1" t="s">
        <v>117</v>
      </c>
      <c r="B109" s="7">
        <v>40757</v>
      </c>
      <c r="C109" s="1">
        <v>20</v>
      </c>
      <c r="D109" s="1">
        <v>82</v>
      </c>
      <c r="E109" s="1">
        <v>6</v>
      </c>
      <c r="F109" s="1">
        <v>8</v>
      </c>
      <c r="L109" s="1">
        <v>1</v>
      </c>
      <c r="P109" s="1">
        <v>1</v>
      </c>
    </row>
    <row r="110" spans="1:70" x14ac:dyDescent="0.3">
      <c r="A110" s="1" t="s">
        <v>117</v>
      </c>
      <c r="B110" s="7">
        <v>40757</v>
      </c>
      <c r="C110" s="1">
        <v>20</v>
      </c>
      <c r="D110" s="1">
        <v>82</v>
      </c>
      <c r="E110" s="1">
        <v>6</v>
      </c>
      <c r="F110" s="1">
        <v>9</v>
      </c>
      <c r="L110" s="1">
        <v>1</v>
      </c>
      <c r="P110" s="1">
        <v>1</v>
      </c>
    </row>
    <row r="111" spans="1:70" x14ac:dyDescent="0.3">
      <c r="A111" s="1" t="s">
        <v>117</v>
      </c>
      <c r="B111" s="7">
        <v>40757</v>
      </c>
      <c r="C111" s="1">
        <v>20</v>
      </c>
      <c r="D111" s="1">
        <v>82</v>
      </c>
      <c r="E111" s="1">
        <v>6</v>
      </c>
      <c r="F111" s="1">
        <v>10</v>
      </c>
      <c r="L111" s="1">
        <v>1</v>
      </c>
      <c r="P111" s="1">
        <v>1</v>
      </c>
      <c r="AM111" s="1">
        <v>1</v>
      </c>
    </row>
    <row r="112" spans="1:70" x14ac:dyDescent="0.3">
      <c r="A112" s="1" t="s">
        <v>117</v>
      </c>
      <c r="B112" s="7">
        <v>40757</v>
      </c>
      <c r="C112" s="1">
        <v>20</v>
      </c>
      <c r="D112" s="1">
        <v>82</v>
      </c>
      <c r="E112" s="1">
        <v>6</v>
      </c>
      <c r="F112" s="1">
        <v>11</v>
      </c>
      <c r="I112" s="1">
        <v>1</v>
      </c>
    </row>
    <row r="113" spans="1:61" x14ac:dyDescent="0.3">
      <c r="A113" s="1" t="s">
        <v>117</v>
      </c>
      <c r="B113" s="7">
        <v>40757</v>
      </c>
      <c r="C113" s="1">
        <v>20</v>
      </c>
      <c r="D113" s="1">
        <v>82</v>
      </c>
      <c r="E113" s="1">
        <v>6</v>
      </c>
      <c r="F113" s="1">
        <v>12</v>
      </c>
      <c r="P113" s="3">
        <v>0</v>
      </c>
      <c r="Q113" s="3">
        <v>1</v>
      </c>
      <c r="T113" s="1">
        <v>1</v>
      </c>
      <c r="AI113" s="1">
        <v>1</v>
      </c>
    </row>
    <row r="114" spans="1:61" x14ac:dyDescent="0.3">
      <c r="A114" s="1" t="s">
        <v>117</v>
      </c>
      <c r="B114" s="7">
        <v>40757</v>
      </c>
      <c r="C114" s="1">
        <v>20</v>
      </c>
      <c r="D114" s="1">
        <v>82</v>
      </c>
      <c r="E114" s="1">
        <v>6</v>
      </c>
      <c r="F114" s="1">
        <v>13</v>
      </c>
      <c r="H114" s="1">
        <v>1</v>
      </c>
      <c r="BE114" s="1">
        <v>1</v>
      </c>
    </row>
    <row r="115" spans="1:61" x14ac:dyDescent="0.3">
      <c r="A115" s="1" t="s">
        <v>117</v>
      </c>
      <c r="B115" s="7">
        <v>40757</v>
      </c>
      <c r="C115" s="1">
        <v>20</v>
      </c>
      <c r="D115" s="1">
        <v>82</v>
      </c>
      <c r="E115" s="1">
        <v>6</v>
      </c>
      <c r="F115" s="1">
        <v>14</v>
      </c>
      <c r="L115" s="1">
        <v>1</v>
      </c>
      <c r="P115" s="1">
        <v>1</v>
      </c>
    </row>
    <row r="116" spans="1:61" x14ac:dyDescent="0.3">
      <c r="A116" s="1" t="s">
        <v>117</v>
      </c>
      <c r="B116" s="7">
        <v>40757</v>
      </c>
      <c r="C116" s="1">
        <v>20</v>
      </c>
      <c r="D116" s="1">
        <v>82</v>
      </c>
      <c r="E116" s="1">
        <v>6</v>
      </c>
      <c r="F116" s="1">
        <v>15</v>
      </c>
      <c r="P116" s="1">
        <v>1</v>
      </c>
      <c r="AS116" s="1">
        <v>1</v>
      </c>
    </row>
    <row r="117" spans="1:61" x14ac:dyDescent="0.3">
      <c r="A117" s="1" t="s">
        <v>117</v>
      </c>
      <c r="B117" s="7">
        <v>40757</v>
      </c>
      <c r="C117" s="1">
        <v>20</v>
      </c>
      <c r="D117" s="1">
        <v>82</v>
      </c>
      <c r="E117" s="1">
        <v>6</v>
      </c>
      <c r="F117" s="1">
        <v>16</v>
      </c>
      <c r="P117" s="1">
        <v>1</v>
      </c>
      <c r="BI117" s="1">
        <v>1</v>
      </c>
    </row>
    <row r="118" spans="1:61" x14ac:dyDescent="0.3">
      <c r="A118" s="1" t="s">
        <v>117</v>
      </c>
      <c r="B118" s="7">
        <v>40757</v>
      </c>
      <c r="C118" s="1">
        <v>20</v>
      </c>
      <c r="D118" s="1">
        <v>82</v>
      </c>
      <c r="E118" s="1">
        <v>6</v>
      </c>
      <c r="F118" s="1">
        <v>17</v>
      </c>
      <c r="L118" s="1">
        <v>1</v>
      </c>
      <c r="P118" s="3">
        <v>0</v>
      </c>
      <c r="Q118" s="3">
        <v>1</v>
      </c>
    </row>
    <row r="119" spans="1:61" x14ac:dyDescent="0.3">
      <c r="A119" s="1" t="s">
        <v>117</v>
      </c>
      <c r="B119" s="7">
        <v>40757</v>
      </c>
      <c r="C119" s="1">
        <v>20</v>
      </c>
      <c r="D119" s="1">
        <v>82</v>
      </c>
      <c r="E119" s="1">
        <v>6</v>
      </c>
      <c r="F119" s="1">
        <v>18</v>
      </c>
      <c r="AI119" s="3">
        <v>0</v>
      </c>
      <c r="AJ119" s="3">
        <v>1</v>
      </c>
    </row>
    <row r="120" spans="1:61" x14ac:dyDescent="0.3">
      <c r="A120" s="1" t="s">
        <v>117</v>
      </c>
      <c r="B120" s="7">
        <v>40757</v>
      </c>
      <c r="C120" s="1">
        <v>20</v>
      </c>
      <c r="D120" s="1">
        <v>82</v>
      </c>
      <c r="E120" s="1">
        <v>6</v>
      </c>
      <c r="F120" s="1">
        <v>19</v>
      </c>
      <c r="P120" s="1">
        <v>1</v>
      </c>
      <c r="AS120" s="1">
        <v>1</v>
      </c>
    </row>
    <row r="121" spans="1:61" x14ac:dyDescent="0.3">
      <c r="A121" s="1" t="s">
        <v>117</v>
      </c>
      <c r="B121" s="7">
        <v>40757</v>
      </c>
      <c r="C121" s="1">
        <v>20</v>
      </c>
      <c r="D121" s="1">
        <v>82</v>
      </c>
      <c r="E121" s="1">
        <v>6</v>
      </c>
      <c r="F121" s="1">
        <v>20</v>
      </c>
      <c r="L121" s="1">
        <v>1</v>
      </c>
      <c r="BE121" s="1">
        <v>1</v>
      </c>
    </row>
    <row r="122" spans="1:61" x14ac:dyDescent="0.3">
      <c r="A122" s="1" t="s">
        <v>117</v>
      </c>
      <c r="B122" s="7">
        <v>40757</v>
      </c>
      <c r="C122" s="1">
        <v>20</v>
      </c>
      <c r="D122" s="1">
        <v>82</v>
      </c>
      <c r="E122" s="1">
        <v>6</v>
      </c>
      <c r="F122" s="1">
        <v>21</v>
      </c>
      <c r="H122" s="1">
        <v>1</v>
      </c>
      <c r="P122" s="1">
        <v>1</v>
      </c>
    </row>
    <row r="123" spans="1:61" x14ac:dyDescent="0.3">
      <c r="A123" s="1" t="s">
        <v>117</v>
      </c>
      <c r="B123" s="7">
        <v>40757</v>
      </c>
      <c r="C123" s="1">
        <v>20</v>
      </c>
      <c r="D123" s="1">
        <v>82</v>
      </c>
      <c r="E123" s="1">
        <v>6</v>
      </c>
      <c r="F123" s="1">
        <v>22</v>
      </c>
      <c r="P123" s="3">
        <v>0</v>
      </c>
      <c r="Q123" s="3">
        <v>1</v>
      </c>
      <c r="R123" s="1">
        <v>1</v>
      </c>
    </row>
    <row r="124" spans="1:61" x14ac:dyDescent="0.3">
      <c r="A124" s="1" t="s">
        <v>117</v>
      </c>
      <c r="B124" s="7">
        <v>40757</v>
      </c>
      <c r="C124" s="1">
        <v>20</v>
      </c>
      <c r="D124" s="1">
        <v>82</v>
      </c>
      <c r="E124" s="1">
        <v>6</v>
      </c>
      <c r="F124" s="1">
        <v>23</v>
      </c>
      <c r="L124" s="1">
        <v>1</v>
      </c>
      <c r="P124" s="1">
        <v>1</v>
      </c>
    </row>
    <row r="125" spans="1:61" x14ac:dyDescent="0.3">
      <c r="A125" s="1" t="s">
        <v>117</v>
      </c>
      <c r="B125" s="7">
        <v>40757</v>
      </c>
      <c r="C125" s="1">
        <v>20</v>
      </c>
      <c r="D125" s="1">
        <v>82</v>
      </c>
      <c r="E125" s="1">
        <v>6</v>
      </c>
      <c r="F125" s="1">
        <v>24</v>
      </c>
      <c r="L125" s="1">
        <v>1</v>
      </c>
      <c r="P125" s="1">
        <v>1</v>
      </c>
    </row>
    <row r="126" spans="1:61" x14ac:dyDescent="0.3">
      <c r="A126" s="1" t="s">
        <v>117</v>
      </c>
      <c r="B126" s="7">
        <v>40757</v>
      </c>
      <c r="C126" s="1">
        <v>20</v>
      </c>
      <c r="D126" s="1">
        <v>82</v>
      </c>
      <c r="E126" s="1">
        <v>6</v>
      </c>
      <c r="F126" s="1">
        <v>25</v>
      </c>
      <c r="L126" s="1">
        <v>1</v>
      </c>
      <c r="P126" s="1">
        <v>1</v>
      </c>
    </row>
    <row r="127" spans="1:61" x14ac:dyDescent="0.3">
      <c r="A127" s="1" t="s">
        <v>117</v>
      </c>
      <c r="B127" s="7">
        <v>40757</v>
      </c>
      <c r="C127" s="1">
        <v>20</v>
      </c>
      <c r="D127" s="1">
        <v>82</v>
      </c>
      <c r="E127" s="1">
        <v>6</v>
      </c>
      <c r="F127" s="1">
        <v>26</v>
      </c>
      <c r="R127" s="3">
        <v>0</v>
      </c>
      <c r="S127" s="3">
        <v>1</v>
      </c>
    </row>
    <row r="128" spans="1:61" x14ac:dyDescent="0.3">
      <c r="A128" s="1" t="s">
        <v>117</v>
      </c>
      <c r="B128" s="7">
        <v>40757</v>
      </c>
      <c r="C128" s="1">
        <v>20</v>
      </c>
      <c r="D128" s="1">
        <v>82</v>
      </c>
      <c r="E128" s="1">
        <v>6</v>
      </c>
      <c r="F128" s="1">
        <v>27</v>
      </c>
      <c r="P128" s="1">
        <v>1</v>
      </c>
    </row>
    <row r="129" spans="1:76" x14ac:dyDescent="0.3">
      <c r="A129" s="1" t="s">
        <v>117</v>
      </c>
      <c r="B129" s="7">
        <v>40757</v>
      </c>
      <c r="C129" s="1">
        <v>20</v>
      </c>
      <c r="D129" s="1">
        <v>82</v>
      </c>
      <c r="E129" s="1">
        <v>6</v>
      </c>
      <c r="F129" s="1">
        <v>28</v>
      </c>
      <c r="L129" s="1">
        <v>1</v>
      </c>
      <c r="P129" s="1">
        <v>1</v>
      </c>
      <c r="AS129" s="1">
        <v>1</v>
      </c>
    </row>
    <row r="130" spans="1:76" x14ac:dyDescent="0.3">
      <c r="A130" s="1" t="s">
        <v>117</v>
      </c>
      <c r="B130" s="7">
        <v>40757</v>
      </c>
      <c r="C130" s="1">
        <v>20</v>
      </c>
      <c r="D130" s="1">
        <v>82</v>
      </c>
      <c r="E130" s="1">
        <v>6</v>
      </c>
      <c r="F130" s="1">
        <v>29</v>
      </c>
      <c r="L130" s="1">
        <v>1</v>
      </c>
      <c r="P130" s="1">
        <v>1</v>
      </c>
      <c r="AS130" s="1">
        <v>1</v>
      </c>
    </row>
    <row r="131" spans="1:76" x14ac:dyDescent="0.3">
      <c r="A131" s="1" t="s">
        <v>117</v>
      </c>
      <c r="B131" s="7">
        <v>40757</v>
      </c>
      <c r="C131" s="1">
        <v>20</v>
      </c>
      <c r="D131" s="1">
        <v>82</v>
      </c>
      <c r="E131" s="1">
        <v>6</v>
      </c>
      <c r="F131" s="1">
        <v>30</v>
      </c>
      <c r="L131" s="1">
        <v>1</v>
      </c>
    </row>
    <row r="132" spans="1:76" x14ac:dyDescent="0.3">
      <c r="A132" s="1" t="s">
        <v>117</v>
      </c>
      <c r="B132" s="7">
        <v>40757</v>
      </c>
      <c r="C132" s="1">
        <v>20</v>
      </c>
      <c r="D132" s="1">
        <v>82</v>
      </c>
      <c r="E132" s="1">
        <v>6</v>
      </c>
      <c r="F132" s="1">
        <v>31</v>
      </c>
    </row>
    <row r="133" spans="1:76" x14ac:dyDescent="0.3">
      <c r="A133" s="1" t="s">
        <v>117</v>
      </c>
      <c r="B133" s="7">
        <v>40757</v>
      </c>
      <c r="C133" s="1">
        <v>20</v>
      </c>
      <c r="D133" s="1">
        <v>82</v>
      </c>
      <c r="E133" s="1">
        <v>6</v>
      </c>
      <c r="F133" s="1">
        <v>32</v>
      </c>
      <c r="H133" s="1">
        <v>1</v>
      </c>
      <c r="AM133" s="1">
        <v>1</v>
      </c>
    </row>
    <row r="134" spans="1:76" x14ac:dyDescent="0.3">
      <c r="A134" s="1" t="s">
        <v>117</v>
      </c>
      <c r="B134" s="7">
        <v>40757</v>
      </c>
      <c r="C134" s="1">
        <v>20</v>
      </c>
      <c r="D134" s="1">
        <v>82</v>
      </c>
      <c r="E134" s="1">
        <v>6</v>
      </c>
      <c r="F134" s="1">
        <v>33</v>
      </c>
      <c r="L134" s="1">
        <v>1</v>
      </c>
    </row>
    <row r="135" spans="1:76" x14ac:dyDescent="0.3">
      <c r="A135" s="1" t="s">
        <v>117</v>
      </c>
      <c r="B135" s="7">
        <v>40757</v>
      </c>
      <c r="C135" s="1">
        <v>20</v>
      </c>
      <c r="D135" s="1">
        <v>82</v>
      </c>
      <c r="E135" s="1">
        <v>6</v>
      </c>
      <c r="F135" s="1">
        <v>34</v>
      </c>
      <c r="P135" s="3">
        <v>0</v>
      </c>
      <c r="Q135" s="3">
        <v>1</v>
      </c>
      <c r="R135" s="1">
        <v>1</v>
      </c>
    </row>
    <row r="136" spans="1:76" x14ac:dyDescent="0.3">
      <c r="A136" s="1" t="s">
        <v>117</v>
      </c>
      <c r="B136" s="7">
        <v>40757</v>
      </c>
      <c r="C136" s="1">
        <v>20</v>
      </c>
      <c r="D136" s="1">
        <v>82</v>
      </c>
      <c r="E136" s="1">
        <v>6</v>
      </c>
      <c r="F136" s="1">
        <v>35</v>
      </c>
      <c r="L136" s="1">
        <v>1</v>
      </c>
      <c r="R136" s="1">
        <v>1</v>
      </c>
    </row>
    <row r="137" spans="1:76" x14ac:dyDescent="0.3">
      <c r="A137" s="1" t="s">
        <v>117</v>
      </c>
      <c r="B137" s="7">
        <v>40757</v>
      </c>
      <c r="C137" s="1">
        <v>20</v>
      </c>
      <c r="D137" s="1">
        <v>82</v>
      </c>
      <c r="E137" s="1">
        <v>6</v>
      </c>
      <c r="F137" s="1">
        <v>36</v>
      </c>
      <c r="H137" s="1">
        <v>1</v>
      </c>
      <c r="P137" s="1">
        <v>1</v>
      </c>
      <c r="R137" s="1">
        <v>1</v>
      </c>
    </row>
    <row r="138" spans="1:76" x14ac:dyDescent="0.3">
      <c r="A138" s="1" t="s">
        <v>117</v>
      </c>
      <c r="B138" s="7">
        <v>40757</v>
      </c>
      <c r="C138" s="1">
        <v>20</v>
      </c>
      <c r="D138" s="1">
        <v>82</v>
      </c>
      <c r="E138" s="1">
        <v>6</v>
      </c>
      <c r="F138" s="1">
        <v>37</v>
      </c>
      <c r="I138" s="1">
        <v>1</v>
      </c>
      <c r="P138" s="1">
        <v>1</v>
      </c>
    </row>
    <row r="139" spans="1:76" x14ac:dyDescent="0.3">
      <c r="A139" s="1" t="s">
        <v>117</v>
      </c>
      <c r="B139" s="7">
        <v>40757</v>
      </c>
      <c r="C139" s="1">
        <v>20</v>
      </c>
      <c r="D139" s="1">
        <v>82</v>
      </c>
      <c r="E139" s="1">
        <v>6</v>
      </c>
      <c r="F139" s="1">
        <v>38</v>
      </c>
      <c r="L139" s="1">
        <v>1</v>
      </c>
      <c r="P139" s="1">
        <v>1</v>
      </c>
      <c r="AS139" s="1">
        <v>1</v>
      </c>
    </row>
    <row r="140" spans="1:76" x14ac:dyDescent="0.3">
      <c r="A140" s="1" t="s">
        <v>117</v>
      </c>
      <c r="B140" s="7">
        <v>40757</v>
      </c>
      <c r="C140" s="1">
        <v>20</v>
      </c>
      <c r="D140" s="1">
        <v>82</v>
      </c>
      <c r="E140" s="1">
        <v>6</v>
      </c>
      <c r="F140" s="1">
        <v>39</v>
      </c>
      <c r="L140" s="1">
        <v>1</v>
      </c>
      <c r="P140" s="3">
        <v>0</v>
      </c>
      <c r="Q140" s="3">
        <v>1</v>
      </c>
    </row>
    <row r="141" spans="1:76" x14ac:dyDescent="0.3">
      <c r="A141" s="1" t="s">
        <v>117</v>
      </c>
      <c r="B141" s="7">
        <v>40757</v>
      </c>
      <c r="C141" s="1">
        <v>20</v>
      </c>
      <c r="D141" s="1">
        <v>82</v>
      </c>
      <c r="E141" s="1">
        <v>6</v>
      </c>
      <c r="F141" s="1">
        <v>40</v>
      </c>
      <c r="P141" s="1">
        <v>1</v>
      </c>
      <c r="BW141" s="9">
        <v>0</v>
      </c>
      <c r="BX141" s="9">
        <v>1</v>
      </c>
    </row>
    <row r="142" spans="1:76" x14ac:dyDescent="0.3">
      <c r="A142" s="1" t="s">
        <v>117</v>
      </c>
      <c r="B142" s="7">
        <v>40757</v>
      </c>
      <c r="C142" s="1">
        <v>20</v>
      </c>
      <c r="D142" s="1">
        <v>82</v>
      </c>
      <c r="E142" s="1">
        <v>6</v>
      </c>
      <c r="F142" s="1">
        <v>41</v>
      </c>
    </row>
    <row r="143" spans="1:76" x14ac:dyDescent="0.3">
      <c r="A143" s="1" t="s">
        <v>117</v>
      </c>
      <c r="B143" s="7">
        <v>40757</v>
      </c>
      <c r="C143" s="1">
        <v>20</v>
      </c>
      <c r="D143" s="1">
        <v>82</v>
      </c>
      <c r="E143" s="1">
        <v>6</v>
      </c>
      <c r="F143" s="1">
        <v>42</v>
      </c>
      <c r="I143" s="1">
        <v>1</v>
      </c>
      <c r="P143" s="3">
        <v>0</v>
      </c>
      <c r="Q143" s="3">
        <v>1</v>
      </c>
    </row>
    <row r="144" spans="1:76" x14ac:dyDescent="0.3">
      <c r="A144" s="1" t="s">
        <v>117</v>
      </c>
      <c r="B144" s="7">
        <v>40757</v>
      </c>
      <c r="C144" s="1">
        <v>20</v>
      </c>
      <c r="D144" s="1">
        <v>82</v>
      </c>
      <c r="E144" s="1">
        <v>6</v>
      </c>
      <c r="F144" s="1">
        <v>43</v>
      </c>
      <c r="L144" s="1">
        <v>1</v>
      </c>
      <c r="R144" s="3">
        <v>0</v>
      </c>
      <c r="S144" s="3">
        <v>1</v>
      </c>
      <c r="BE144" s="1">
        <v>1</v>
      </c>
    </row>
    <row r="145" spans="1:82" x14ac:dyDescent="0.3">
      <c r="A145" s="1" t="s">
        <v>117</v>
      </c>
      <c r="B145" s="7">
        <v>40757</v>
      </c>
      <c r="C145" s="1">
        <v>20</v>
      </c>
      <c r="D145" s="1">
        <v>82</v>
      </c>
      <c r="E145" s="1">
        <v>6</v>
      </c>
      <c r="F145" s="1">
        <v>44</v>
      </c>
      <c r="P145" s="3">
        <v>0</v>
      </c>
      <c r="Q145" s="3">
        <v>1</v>
      </c>
      <c r="BE145" s="1">
        <v>1</v>
      </c>
    </row>
    <row r="146" spans="1:82" x14ac:dyDescent="0.3">
      <c r="A146" s="1" t="s">
        <v>117</v>
      </c>
      <c r="B146" s="7">
        <v>40757</v>
      </c>
      <c r="C146" s="1">
        <v>20</v>
      </c>
      <c r="D146" s="1">
        <v>82</v>
      </c>
      <c r="E146" s="1">
        <v>6</v>
      </c>
      <c r="F146" s="1">
        <v>45</v>
      </c>
      <c r="H146" s="1">
        <v>1</v>
      </c>
      <c r="P146" s="3">
        <v>0</v>
      </c>
      <c r="Q146" s="3">
        <v>1</v>
      </c>
    </row>
    <row r="147" spans="1:82" x14ac:dyDescent="0.3">
      <c r="A147" s="1" t="s">
        <v>117</v>
      </c>
      <c r="B147" s="7">
        <v>40757</v>
      </c>
      <c r="C147" s="1">
        <v>20</v>
      </c>
      <c r="D147" s="1">
        <v>82</v>
      </c>
      <c r="E147" s="1">
        <v>6</v>
      </c>
      <c r="F147" s="1">
        <v>46</v>
      </c>
      <c r="J147" s="1">
        <v>1</v>
      </c>
      <c r="N147" s="1">
        <v>1</v>
      </c>
      <c r="P147" s="1">
        <v>1</v>
      </c>
      <c r="V147" s="1">
        <v>1</v>
      </c>
    </row>
    <row r="148" spans="1:82" x14ac:dyDescent="0.3">
      <c r="A148" s="1" t="s">
        <v>117</v>
      </c>
      <c r="B148" s="7">
        <v>40757</v>
      </c>
      <c r="C148" s="1">
        <v>20</v>
      </c>
      <c r="D148" s="1">
        <v>82</v>
      </c>
      <c r="E148" s="1">
        <v>6</v>
      </c>
      <c r="F148" s="1">
        <v>47</v>
      </c>
      <c r="L148" s="1">
        <v>1</v>
      </c>
      <c r="P148" s="1">
        <v>1</v>
      </c>
      <c r="AI148" s="3">
        <v>0</v>
      </c>
      <c r="AJ148" s="3">
        <v>1</v>
      </c>
      <c r="AS148" s="1">
        <v>1</v>
      </c>
    </row>
    <row r="149" spans="1:82" x14ac:dyDescent="0.3">
      <c r="A149" s="1" t="s">
        <v>117</v>
      </c>
      <c r="B149" s="7">
        <v>40757</v>
      </c>
      <c r="C149" s="1">
        <v>20</v>
      </c>
      <c r="D149" s="1">
        <v>82</v>
      </c>
      <c r="E149" s="1">
        <v>6</v>
      </c>
      <c r="F149" s="1">
        <v>48</v>
      </c>
      <c r="L149" s="1">
        <v>1</v>
      </c>
    </row>
    <row r="150" spans="1:82" x14ac:dyDescent="0.3">
      <c r="A150" s="1" t="s">
        <v>117</v>
      </c>
      <c r="B150" s="7">
        <v>40757</v>
      </c>
      <c r="C150" s="1">
        <v>20</v>
      </c>
      <c r="D150" s="1">
        <v>82</v>
      </c>
      <c r="E150" s="1">
        <v>6</v>
      </c>
      <c r="F150" s="1">
        <v>49</v>
      </c>
      <c r="P150" s="1">
        <v>1</v>
      </c>
      <c r="BS150" s="1">
        <v>1</v>
      </c>
    </row>
    <row r="151" spans="1:82" x14ac:dyDescent="0.3">
      <c r="A151" s="1" t="s">
        <v>117</v>
      </c>
      <c r="B151" s="7">
        <v>40757</v>
      </c>
      <c r="C151" s="1">
        <v>20</v>
      </c>
      <c r="D151" s="1">
        <v>82</v>
      </c>
      <c r="E151" s="1">
        <v>6</v>
      </c>
      <c r="F151" s="1">
        <v>50</v>
      </c>
      <c r="L151" s="1">
        <v>1</v>
      </c>
      <c r="P151" s="1">
        <v>1</v>
      </c>
      <c r="CD151" s="1">
        <v>1</v>
      </c>
    </row>
    <row r="152" spans="1:82" x14ac:dyDescent="0.3">
      <c r="A152" s="1" t="s">
        <v>117</v>
      </c>
      <c r="B152" s="7">
        <v>40757</v>
      </c>
      <c r="C152" s="1">
        <v>20</v>
      </c>
      <c r="D152" s="1">
        <v>82</v>
      </c>
      <c r="E152" s="1">
        <v>6</v>
      </c>
      <c r="F152" s="1">
        <v>51</v>
      </c>
      <c r="P152" s="1">
        <v>1</v>
      </c>
      <c r="BE152" s="1">
        <v>1</v>
      </c>
    </row>
    <row r="153" spans="1:82" x14ac:dyDescent="0.3">
      <c r="A153" s="1" t="s">
        <v>117</v>
      </c>
      <c r="B153" s="7">
        <v>40757</v>
      </c>
      <c r="C153" s="1">
        <v>20</v>
      </c>
      <c r="D153" s="1">
        <v>82</v>
      </c>
      <c r="E153" s="1">
        <v>6</v>
      </c>
      <c r="F153" s="1">
        <v>52</v>
      </c>
      <c r="P153" s="1">
        <v>1</v>
      </c>
      <c r="AS153" s="1">
        <v>1</v>
      </c>
    </row>
    <row r="154" spans="1:82" x14ac:dyDescent="0.3">
      <c r="A154" s="1" t="s">
        <v>117</v>
      </c>
      <c r="B154" s="7">
        <v>40757</v>
      </c>
      <c r="C154" s="1">
        <v>20</v>
      </c>
      <c r="D154" s="1">
        <v>82</v>
      </c>
      <c r="E154" s="1">
        <v>6</v>
      </c>
      <c r="F154" s="1">
        <v>53</v>
      </c>
      <c r="L154" s="1">
        <v>1</v>
      </c>
      <c r="P154" s="3">
        <v>0</v>
      </c>
      <c r="Q154" s="3">
        <v>1</v>
      </c>
    </row>
    <row r="155" spans="1:82" x14ac:dyDescent="0.3">
      <c r="A155" s="1" t="s">
        <v>117</v>
      </c>
      <c r="B155" s="7">
        <v>40757</v>
      </c>
      <c r="C155" s="1">
        <v>20</v>
      </c>
      <c r="D155" s="1">
        <v>82</v>
      </c>
      <c r="E155" s="1">
        <v>6</v>
      </c>
      <c r="F155" s="1">
        <v>54</v>
      </c>
      <c r="L155" s="1">
        <v>1</v>
      </c>
      <c r="P155" s="1">
        <v>1</v>
      </c>
      <c r="AS155" s="1">
        <v>1</v>
      </c>
    </row>
    <row r="156" spans="1:82" x14ac:dyDescent="0.3">
      <c r="A156" s="1" t="s">
        <v>117</v>
      </c>
      <c r="B156" s="7">
        <v>40757</v>
      </c>
      <c r="C156" s="1">
        <v>20</v>
      </c>
      <c r="D156" s="1">
        <v>82</v>
      </c>
      <c r="E156" s="1">
        <v>6</v>
      </c>
      <c r="F156" s="1">
        <v>55</v>
      </c>
      <c r="L156" s="1">
        <v>1</v>
      </c>
    </row>
    <row r="157" spans="1:82" x14ac:dyDescent="0.3">
      <c r="A157" s="1" t="s">
        <v>117</v>
      </c>
      <c r="B157" s="7">
        <v>40757</v>
      </c>
      <c r="C157" s="1">
        <v>20</v>
      </c>
      <c r="D157" s="1">
        <v>82</v>
      </c>
      <c r="E157" s="1">
        <v>6</v>
      </c>
      <c r="F157" s="1">
        <v>56</v>
      </c>
      <c r="J157" s="1">
        <v>1</v>
      </c>
      <c r="L157" s="1">
        <v>1</v>
      </c>
      <c r="P157" s="1">
        <v>1</v>
      </c>
      <c r="AS157" s="1">
        <v>1</v>
      </c>
    </row>
    <row r="158" spans="1:82" x14ac:dyDescent="0.3">
      <c r="A158" s="1" t="s">
        <v>117</v>
      </c>
      <c r="B158" s="7">
        <v>40757</v>
      </c>
      <c r="C158" s="1">
        <v>20</v>
      </c>
      <c r="D158" s="1">
        <v>82</v>
      </c>
      <c r="E158" s="1">
        <v>6</v>
      </c>
      <c r="F158" s="1">
        <v>57</v>
      </c>
      <c r="J158" s="1">
        <v>1</v>
      </c>
      <c r="L158" s="1">
        <v>1</v>
      </c>
      <c r="P158" s="1">
        <v>1</v>
      </c>
      <c r="AS158" s="1">
        <v>1</v>
      </c>
    </row>
    <row r="159" spans="1:82" x14ac:dyDescent="0.3">
      <c r="A159" s="1" t="s">
        <v>117</v>
      </c>
      <c r="B159" s="7">
        <v>40757</v>
      </c>
      <c r="C159" s="1">
        <v>20</v>
      </c>
      <c r="D159" s="1">
        <v>82</v>
      </c>
      <c r="E159" s="1">
        <v>6</v>
      </c>
      <c r="F159" s="1">
        <v>58</v>
      </c>
      <c r="L159" s="1">
        <v>1</v>
      </c>
      <c r="AS159" s="1">
        <v>1</v>
      </c>
    </row>
    <row r="160" spans="1:82" x14ac:dyDescent="0.3">
      <c r="A160" s="1" t="s">
        <v>117</v>
      </c>
      <c r="B160" s="7">
        <v>40757</v>
      </c>
      <c r="C160" s="1">
        <v>20</v>
      </c>
      <c r="D160" s="1">
        <v>82</v>
      </c>
      <c r="E160" s="1">
        <v>6</v>
      </c>
      <c r="F160" s="1">
        <v>59</v>
      </c>
      <c r="L160" s="10">
        <v>1</v>
      </c>
      <c r="M160" s="10"/>
      <c r="P160" s="3">
        <v>0</v>
      </c>
      <c r="Q160" s="3">
        <v>1</v>
      </c>
      <c r="AS160" s="1">
        <v>1</v>
      </c>
      <c r="BE160" s="1">
        <v>1</v>
      </c>
    </row>
    <row r="161" spans="1:57" x14ac:dyDescent="0.3">
      <c r="A161" s="1" t="s">
        <v>117</v>
      </c>
      <c r="B161" s="7">
        <v>40757</v>
      </c>
      <c r="C161" s="1">
        <v>20</v>
      </c>
      <c r="D161" s="1">
        <v>82</v>
      </c>
      <c r="E161" s="1">
        <v>6</v>
      </c>
      <c r="F161" s="1">
        <v>60</v>
      </c>
      <c r="L161" s="1">
        <v>1</v>
      </c>
      <c r="P161" s="3">
        <v>0</v>
      </c>
      <c r="Q161" s="3">
        <v>1</v>
      </c>
      <c r="AI161" s="3">
        <v>0</v>
      </c>
      <c r="AJ161" s="3">
        <v>1</v>
      </c>
    </row>
    <row r="162" spans="1:57" x14ac:dyDescent="0.3">
      <c r="A162" s="1" t="s">
        <v>117</v>
      </c>
      <c r="B162" s="7">
        <v>40757</v>
      </c>
      <c r="C162" s="1">
        <v>20</v>
      </c>
      <c r="D162" s="1">
        <v>82</v>
      </c>
      <c r="E162" s="1">
        <v>6</v>
      </c>
      <c r="F162" s="1">
        <v>61</v>
      </c>
      <c r="P162" s="3">
        <v>0</v>
      </c>
      <c r="Q162" s="3">
        <v>1</v>
      </c>
    </row>
    <row r="163" spans="1:57" x14ac:dyDescent="0.3">
      <c r="A163" s="1" t="s">
        <v>117</v>
      </c>
      <c r="B163" s="7">
        <v>40757</v>
      </c>
      <c r="C163" s="1">
        <v>20</v>
      </c>
      <c r="D163" s="1">
        <v>82</v>
      </c>
      <c r="E163" s="1">
        <v>6</v>
      </c>
      <c r="F163" s="1">
        <v>62</v>
      </c>
      <c r="L163" s="1">
        <v>1</v>
      </c>
      <c r="BC163" s="1">
        <v>1</v>
      </c>
    </row>
    <row r="164" spans="1:57" x14ac:dyDescent="0.3">
      <c r="A164" s="1" t="s">
        <v>117</v>
      </c>
      <c r="B164" s="7">
        <v>40757</v>
      </c>
      <c r="C164" s="1">
        <v>20</v>
      </c>
      <c r="D164" s="1">
        <v>82</v>
      </c>
      <c r="E164" s="1">
        <v>6</v>
      </c>
      <c r="F164" s="1">
        <v>63</v>
      </c>
      <c r="L164" s="1">
        <v>1</v>
      </c>
      <c r="AS164" s="1">
        <v>1</v>
      </c>
    </row>
    <row r="165" spans="1:57" x14ac:dyDescent="0.3">
      <c r="A165" s="1" t="s">
        <v>117</v>
      </c>
      <c r="B165" s="7">
        <v>40757</v>
      </c>
      <c r="C165" s="1">
        <v>20</v>
      </c>
      <c r="D165" s="1">
        <v>82</v>
      </c>
      <c r="E165" s="1">
        <v>6</v>
      </c>
      <c r="F165" s="1">
        <v>64</v>
      </c>
      <c r="P165" s="1">
        <v>1</v>
      </c>
      <c r="AM165" s="1">
        <v>1</v>
      </c>
      <c r="AS165" s="1">
        <v>1</v>
      </c>
    </row>
    <row r="166" spans="1:57" x14ac:dyDescent="0.3">
      <c r="A166" s="1" t="s">
        <v>117</v>
      </c>
      <c r="B166" s="7">
        <v>40757</v>
      </c>
      <c r="C166" s="1">
        <v>20</v>
      </c>
      <c r="D166" s="1">
        <v>82</v>
      </c>
      <c r="E166" s="1">
        <v>6</v>
      </c>
      <c r="F166" s="1">
        <v>65</v>
      </c>
      <c r="L166" s="3">
        <v>0</v>
      </c>
      <c r="M166" s="3">
        <v>1</v>
      </c>
    </row>
    <row r="167" spans="1:57" x14ac:dyDescent="0.3">
      <c r="A167" s="1" t="s">
        <v>117</v>
      </c>
      <c r="B167" s="7">
        <v>40757</v>
      </c>
      <c r="C167" s="1">
        <v>20</v>
      </c>
      <c r="D167" s="1">
        <v>82</v>
      </c>
      <c r="E167" s="1">
        <v>6</v>
      </c>
      <c r="F167" s="1">
        <v>66</v>
      </c>
      <c r="AS167" s="1">
        <v>1</v>
      </c>
    </row>
    <row r="168" spans="1:57" x14ac:dyDescent="0.3">
      <c r="A168" s="1" t="s">
        <v>117</v>
      </c>
      <c r="B168" s="7">
        <v>40757</v>
      </c>
      <c r="C168" s="1">
        <v>20</v>
      </c>
      <c r="D168" s="1">
        <v>82</v>
      </c>
      <c r="E168" s="1">
        <v>6</v>
      </c>
      <c r="F168" s="1">
        <v>67</v>
      </c>
      <c r="L168" s="1">
        <v>1</v>
      </c>
      <c r="P168" s="1">
        <v>1</v>
      </c>
      <c r="AS168" s="1">
        <v>1</v>
      </c>
    </row>
    <row r="169" spans="1:57" x14ac:dyDescent="0.3">
      <c r="A169" s="1" t="s">
        <v>117</v>
      </c>
      <c r="B169" s="7">
        <v>40757</v>
      </c>
      <c r="C169" s="1">
        <v>20</v>
      </c>
      <c r="D169" s="1">
        <v>82</v>
      </c>
      <c r="E169" s="1">
        <v>6</v>
      </c>
      <c r="F169" s="1">
        <v>68</v>
      </c>
      <c r="L169" s="1">
        <v>1</v>
      </c>
      <c r="P169" s="3">
        <v>0</v>
      </c>
      <c r="Q169" s="3">
        <v>1</v>
      </c>
      <c r="AS169" s="1">
        <v>1</v>
      </c>
    </row>
    <row r="170" spans="1:57" x14ac:dyDescent="0.3">
      <c r="A170" s="1" t="s">
        <v>117</v>
      </c>
      <c r="B170" s="7">
        <v>40757</v>
      </c>
      <c r="C170" s="1">
        <v>20</v>
      </c>
      <c r="D170" s="1">
        <v>82</v>
      </c>
      <c r="E170" s="1">
        <v>6</v>
      </c>
      <c r="F170" s="1">
        <v>69</v>
      </c>
      <c r="P170" s="3">
        <v>0</v>
      </c>
      <c r="Q170" s="3">
        <v>1</v>
      </c>
      <c r="AS170" s="1">
        <v>1</v>
      </c>
    </row>
    <row r="171" spans="1:57" x14ac:dyDescent="0.3">
      <c r="A171" s="1" t="s">
        <v>117</v>
      </c>
      <c r="B171" s="7">
        <v>40757</v>
      </c>
      <c r="C171" s="1">
        <v>20</v>
      </c>
      <c r="D171" s="1">
        <v>82</v>
      </c>
      <c r="E171" s="1">
        <v>6</v>
      </c>
      <c r="F171" s="1">
        <v>70</v>
      </c>
      <c r="L171" s="1">
        <v>1</v>
      </c>
      <c r="P171" s="1">
        <v>1</v>
      </c>
      <c r="AS171" s="1">
        <v>1</v>
      </c>
    </row>
    <row r="172" spans="1:57" x14ac:dyDescent="0.3">
      <c r="A172" s="1" t="s">
        <v>117</v>
      </c>
      <c r="B172" s="7">
        <v>40757</v>
      </c>
      <c r="C172" s="1">
        <v>20</v>
      </c>
      <c r="D172" s="1">
        <v>82</v>
      </c>
      <c r="E172" s="1">
        <v>6</v>
      </c>
      <c r="F172" s="1">
        <v>71</v>
      </c>
      <c r="P172" s="3">
        <v>0</v>
      </c>
      <c r="Q172" s="3">
        <v>1</v>
      </c>
      <c r="AS172" s="1">
        <v>1</v>
      </c>
    </row>
    <row r="173" spans="1:57" x14ac:dyDescent="0.3">
      <c r="A173" s="1" t="s">
        <v>117</v>
      </c>
      <c r="B173" s="7">
        <v>40757</v>
      </c>
      <c r="C173" s="1">
        <v>20</v>
      </c>
      <c r="D173" s="1">
        <v>82</v>
      </c>
      <c r="E173" s="1">
        <v>6</v>
      </c>
      <c r="F173" s="1">
        <v>72</v>
      </c>
      <c r="L173" s="1">
        <v>1</v>
      </c>
      <c r="P173" s="3">
        <v>0</v>
      </c>
      <c r="Q173" s="3">
        <v>1</v>
      </c>
    </row>
    <row r="174" spans="1:57" x14ac:dyDescent="0.3">
      <c r="A174" s="1" t="s">
        <v>117</v>
      </c>
      <c r="B174" s="7">
        <v>40757</v>
      </c>
      <c r="C174" s="1">
        <v>20</v>
      </c>
      <c r="D174" s="1">
        <v>82</v>
      </c>
      <c r="E174" s="1">
        <v>6</v>
      </c>
      <c r="F174" s="1">
        <v>73</v>
      </c>
      <c r="L174" s="1">
        <v>1</v>
      </c>
      <c r="P174" s="3">
        <v>0</v>
      </c>
      <c r="Q174" s="3">
        <v>1</v>
      </c>
    </row>
    <row r="175" spans="1:57" x14ac:dyDescent="0.3">
      <c r="A175" s="1" t="s">
        <v>117</v>
      </c>
      <c r="B175" s="7">
        <v>40757</v>
      </c>
      <c r="C175" s="1">
        <v>20</v>
      </c>
      <c r="D175" s="1">
        <v>82</v>
      </c>
      <c r="E175" s="1">
        <v>6</v>
      </c>
      <c r="F175" s="1">
        <v>74</v>
      </c>
      <c r="L175" s="1">
        <v>1</v>
      </c>
      <c r="P175" s="3">
        <v>0</v>
      </c>
      <c r="Q175" s="3">
        <v>1</v>
      </c>
    </row>
    <row r="176" spans="1:57" x14ac:dyDescent="0.3">
      <c r="A176" s="1" t="s">
        <v>117</v>
      </c>
      <c r="B176" s="7">
        <v>40757</v>
      </c>
      <c r="C176" s="1">
        <v>20</v>
      </c>
      <c r="D176" s="1">
        <v>82</v>
      </c>
      <c r="E176" s="1">
        <v>6</v>
      </c>
      <c r="F176" s="1">
        <v>75</v>
      </c>
      <c r="P176" s="1">
        <v>1</v>
      </c>
      <c r="AS176" s="1">
        <v>1</v>
      </c>
      <c r="BE176" s="1">
        <v>1</v>
      </c>
    </row>
    <row r="177" spans="1:82" x14ac:dyDescent="0.3">
      <c r="A177" s="1" t="s">
        <v>117</v>
      </c>
      <c r="B177" s="7">
        <v>40757</v>
      </c>
      <c r="C177" s="1">
        <v>20</v>
      </c>
      <c r="D177" s="1">
        <v>82</v>
      </c>
      <c r="E177" s="1">
        <v>6</v>
      </c>
      <c r="F177" s="1">
        <v>76</v>
      </c>
      <c r="P177" s="1">
        <v>1</v>
      </c>
      <c r="AS177" s="1">
        <v>1</v>
      </c>
      <c r="CD177" s="1">
        <v>1</v>
      </c>
    </row>
    <row r="178" spans="1:82" x14ac:dyDescent="0.3">
      <c r="A178" s="1" t="s">
        <v>117</v>
      </c>
      <c r="B178" s="7">
        <v>40757</v>
      </c>
      <c r="C178" s="1">
        <v>20</v>
      </c>
      <c r="D178" s="1">
        <v>82</v>
      </c>
      <c r="E178" s="1">
        <v>6</v>
      </c>
      <c r="F178" s="1">
        <v>77</v>
      </c>
      <c r="L178" s="3">
        <v>0</v>
      </c>
      <c r="M178" s="3">
        <v>1</v>
      </c>
      <c r="P178" s="1">
        <v>1</v>
      </c>
      <c r="CD178" s="1">
        <v>1</v>
      </c>
    </row>
    <row r="179" spans="1:82" x14ac:dyDescent="0.3">
      <c r="A179" s="1" t="s">
        <v>117</v>
      </c>
      <c r="B179" s="7">
        <v>40757</v>
      </c>
      <c r="C179" s="1">
        <v>20</v>
      </c>
      <c r="D179" s="1">
        <v>82</v>
      </c>
      <c r="E179" s="1">
        <v>6</v>
      </c>
      <c r="F179" s="1">
        <v>78</v>
      </c>
      <c r="L179" s="1">
        <v>1</v>
      </c>
      <c r="P179" s="1">
        <v>1</v>
      </c>
      <c r="AS179" s="1">
        <v>1</v>
      </c>
    </row>
    <row r="180" spans="1:82" x14ac:dyDescent="0.3">
      <c r="A180" s="1" t="s">
        <v>117</v>
      </c>
      <c r="B180" s="7">
        <v>40757</v>
      </c>
      <c r="C180" s="1">
        <v>20</v>
      </c>
      <c r="D180" s="1">
        <v>82</v>
      </c>
      <c r="E180" s="1">
        <v>6</v>
      </c>
      <c r="F180" s="1">
        <v>79</v>
      </c>
      <c r="P180" s="1">
        <v>1</v>
      </c>
      <c r="AS180" s="1">
        <v>1</v>
      </c>
      <c r="BE180" s="1">
        <v>1</v>
      </c>
    </row>
    <row r="181" spans="1:82" x14ac:dyDescent="0.3">
      <c r="A181" s="1" t="s">
        <v>117</v>
      </c>
      <c r="B181" s="7">
        <v>40757</v>
      </c>
      <c r="C181" s="1">
        <v>20</v>
      </c>
      <c r="D181" s="1">
        <v>82</v>
      </c>
      <c r="E181" s="1">
        <v>6</v>
      </c>
      <c r="F181" s="1">
        <v>80</v>
      </c>
      <c r="P181" s="1">
        <v>1</v>
      </c>
      <c r="AS181" s="1">
        <v>1</v>
      </c>
      <c r="BE181" s="1">
        <v>1</v>
      </c>
    </row>
    <row r="182" spans="1:82" x14ac:dyDescent="0.3">
      <c r="A182" s="1" t="s">
        <v>117</v>
      </c>
      <c r="B182" s="7">
        <v>40757</v>
      </c>
      <c r="C182" s="1">
        <v>20</v>
      </c>
      <c r="D182" s="1">
        <v>82</v>
      </c>
      <c r="E182" s="1">
        <v>6</v>
      </c>
      <c r="F182" s="1">
        <v>81</v>
      </c>
      <c r="P182" s="3">
        <v>0</v>
      </c>
      <c r="Q182" s="3">
        <v>1</v>
      </c>
      <c r="AS182" s="1">
        <v>1</v>
      </c>
    </row>
    <row r="183" spans="1:82" x14ac:dyDescent="0.3">
      <c r="A183" s="1" t="s">
        <v>117</v>
      </c>
      <c r="B183" s="7">
        <v>40757</v>
      </c>
      <c r="C183" s="1">
        <v>20</v>
      </c>
      <c r="D183" s="1">
        <v>82</v>
      </c>
      <c r="E183" s="1">
        <v>6</v>
      </c>
      <c r="F183" s="1">
        <v>82</v>
      </c>
      <c r="P183" s="1">
        <v>1</v>
      </c>
      <c r="AS183" s="1">
        <v>1</v>
      </c>
    </row>
    <row r="184" spans="1:82" x14ac:dyDescent="0.3">
      <c r="A184" s="1" t="s">
        <v>117</v>
      </c>
      <c r="B184" s="7">
        <v>40757</v>
      </c>
      <c r="C184" s="1">
        <v>20</v>
      </c>
      <c r="D184" s="1">
        <v>82</v>
      </c>
      <c r="E184" s="1">
        <v>6</v>
      </c>
      <c r="F184" s="1">
        <v>83</v>
      </c>
      <c r="P184" s="1">
        <v>1</v>
      </c>
      <c r="AS184" s="1">
        <v>1</v>
      </c>
    </row>
    <row r="185" spans="1:82" x14ac:dyDescent="0.3">
      <c r="A185" s="1" t="s">
        <v>117</v>
      </c>
      <c r="B185" s="7">
        <v>40757</v>
      </c>
      <c r="C185" s="1">
        <v>20</v>
      </c>
      <c r="D185" s="1">
        <v>82</v>
      </c>
      <c r="E185" s="1">
        <v>6</v>
      </c>
      <c r="F185" s="1">
        <v>84</v>
      </c>
      <c r="L185" s="1">
        <v>1</v>
      </c>
      <c r="P185" s="3">
        <v>0</v>
      </c>
      <c r="Q185" s="3">
        <v>1</v>
      </c>
    </row>
    <row r="186" spans="1:82" x14ac:dyDescent="0.3">
      <c r="A186" s="1" t="s">
        <v>117</v>
      </c>
      <c r="B186" s="7">
        <v>40757</v>
      </c>
      <c r="C186" s="1">
        <v>20</v>
      </c>
      <c r="D186" s="1">
        <v>82</v>
      </c>
      <c r="E186" s="1">
        <v>6</v>
      </c>
      <c r="F186" s="1">
        <v>85</v>
      </c>
      <c r="L186" s="1">
        <v>1</v>
      </c>
      <c r="AM186" s="1">
        <v>1</v>
      </c>
      <c r="AS186" s="1">
        <v>1</v>
      </c>
    </row>
    <row r="187" spans="1:82" x14ac:dyDescent="0.3">
      <c r="A187" s="1" t="s">
        <v>117</v>
      </c>
      <c r="B187" s="7">
        <v>40757</v>
      </c>
      <c r="C187" s="1">
        <v>20</v>
      </c>
      <c r="D187" s="1">
        <v>82</v>
      </c>
      <c r="E187" s="1">
        <v>6</v>
      </c>
      <c r="F187" s="1">
        <v>86</v>
      </c>
      <c r="H187" s="1">
        <v>1</v>
      </c>
      <c r="AS187" s="1">
        <v>1</v>
      </c>
    </row>
    <row r="188" spans="1:82" x14ac:dyDescent="0.3">
      <c r="A188" s="1" t="s">
        <v>117</v>
      </c>
      <c r="B188" s="7">
        <v>40757</v>
      </c>
      <c r="C188" s="1">
        <v>20</v>
      </c>
      <c r="D188" s="1">
        <v>82</v>
      </c>
      <c r="E188" s="1">
        <v>6</v>
      </c>
      <c r="F188" s="1">
        <v>87</v>
      </c>
      <c r="L188" s="1">
        <v>1</v>
      </c>
      <c r="P188" s="1">
        <v>1</v>
      </c>
      <c r="AS188" s="1">
        <v>1</v>
      </c>
    </row>
    <row r="189" spans="1:82" x14ac:dyDescent="0.3">
      <c r="A189" s="1" t="s">
        <v>117</v>
      </c>
      <c r="B189" s="7">
        <v>40757</v>
      </c>
      <c r="C189" s="1">
        <v>20</v>
      </c>
      <c r="D189" s="1">
        <v>82</v>
      </c>
      <c r="E189" s="1">
        <v>6</v>
      </c>
      <c r="F189" s="1">
        <v>88</v>
      </c>
      <c r="L189" s="1">
        <v>1</v>
      </c>
      <c r="P189" s="3">
        <v>0</v>
      </c>
      <c r="Q189" s="3">
        <v>1</v>
      </c>
      <c r="AS189" s="1">
        <v>1</v>
      </c>
    </row>
    <row r="190" spans="1:82" x14ac:dyDescent="0.3">
      <c r="A190" s="1" t="s">
        <v>117</v>
      </c>
      <c r="B190" s="7">
        <v>40757</v>
      </c>
      <c r="C190" s="1">
        <v>20</v>
      </c>
      <c r="D190" s="1">
        <v>82</v>
      </c>
      <c r="E190" s="1">
        <v>6</v>
      </c>
      <c r="F190" s="1">
        <v>89</v>
      </c>
      <c r="L190" s="1">
        <v>1</v>
      </c>
      <c r="P190" s="1">
        <v>1</v>
      </c>
    </row>
    <row r="191" spans="1:82" x14ac:dyDescent="0.3">
      <c r="A191" s="1" t="s">
        <v>117</v>
      </c>
      <c r="B191" s="7">
        <v>40757</v>
      </c>
      <c r="C191" s="1">
        <v>20</v>
      </c>
      <c r="D191" s="1">
        <v>82</v>
      </c>
      <c r="E191" s="1">
        <v>6</v>
      </c>
      <c r="F191" s="1">
        <v>90</v>
      </c>
      <c r="L191" s="1">
        <v>1</v>
      </c>
      <c r="P191" s="1">
        <v>1</v>
      </c>
    </row>
    <row r="192" spans="1:82" x14ac:dyDescent="0.3">
      <c r="A192" s="1" t="s">
        <v>117</v>
      </c>
      <c r="B192" s="7">
        <v>40757</v>
      </c>
      <c r="C192" s="1">
        <v>20</v>
      </c>
      <c r="D192" s="1">
        <v>82</v>
      </c>
      <c r="E192" s="1">
        <v>6</v>
      </c>
      <c r="F192" s="1">
        <v>91</v>
      </c>
      <c r="L192" s="1">
        <v>1</v>
      </c>
      <c r="P192" s="1">
        <v>1</v>
      </c>
    </row>
    <row r="193" spans="1:90" x14ac:dyDescent="0.3">
      <c r="A193" s="1" t="s">
        <v>117</v>
      </c>
      <c r="B193" s="7">
        <v>40757</v>
      </c>
      <c r="C193" s="1">
        <v>20</v>
      </c>
      <c r="D193" s="1">
        <v>82</v>
      </c>
      <c r="E193" s="1">
        <v>6</v>
      </c>
      <c r="F193" s="1">
        <v>92</v>
      </c>
      <c r="L193" s="1">
        <v>1</v>
      </c>
      <c r="P193" s="3">
        <v>0</v>
      </c>
      <c r="Q193" s="3">
        <v>1</v>
      </c>
    </row>
    <row r="194" spans="1:90" x14ac:dyDescent="0.3">
      <c r="A194" s="1" t="s">
        <v>117</v>
      </c>
      <c r="B194" s="7">
        <v>40757</v>
      </c>
      <c r="C194" s="1">
        <v>20</v>
      </c>
      <c r="D194" s="1">
        <v>82</v>
      </c>
      <c r="E194" s="1">
        <v>6</v>
      </c>
      <c r="F194" s="1">
        <v>93</v>
      </c>
      <c r="AI194" s="1">
        <v>1</v>
      </c>
      <c r="AS194" s="1">
        <v>1</v>
      </c>
    </row>
    <row r="195" spans="1:90" x14ac:dyDescent="0.3">
      <c r="A195" s="1" t="s">
        <v>117</v>
      </c>
      <c r="B195" s="7">
        <v>40757</v>
      </c>
      <c r="C195" s="1">
        <v>20</v>
      </c>
      <c r="D195" s="1">
        <v>82</v>
      </c>
      <c r="E195" s="1">
        <v>6</v>
      </c>
      <c r="F195" s="1">
        <v>94</v>
      </c>
      <c r="L195" s="1">
        <v>1</v>
      </c>
      <c r="BC195" s="1">
        <v>1</v>
      </c>
    </row>
    <row r="196" spans="1:90" x14ac:dyDescent="0.3">
      <c r="A196" s="1" t="s">
        <v>117</v>
      </c>
      <c r="B196" s="7">
        <v>40757</v>
      </c>
      <c r="C196" s="1">
        <v>20</v>
      </c>
      <c r="D196" s="1">
        <v>82</v>
      </c>
      <c r="E196" s="1">
        <v>6</v>
      </c>
      <c r="F196" s="1">
        <v>95</v>
      </c>
      <c r="L196" s="1">
        <v>1</v>
      </c>
      <c r="P196" s="1">
        <v>1</v>
      </c>
      <c r="AS196" s="1">
        <v>1</v>
      </c>
    </row>
    <row r="197" spans="1:90" x14ac:dyDescent="0.3">
      <c r="A197" s="1" t="s">
        <v>117</v>
      </c>
      <c r="B197" s="7">
        <v>40757</v>
      </c>
      <c r="C197" s="1">
        <v>20</v>
      </c>
      <c r="D197" s="1">
        <v>82</v>
      </c>
      <c r="E197" s="1">
        <v>6</v>
      </c>
      <c r="F197" s="1">
        <v>96</v>
      </c>
      <c r="L197" s="1">
        <v>1</v>
      </c>
      <c r="AS197" s="1">
        <v>1</v>
      </c>
    </row>
    <row r="198" spans="1:90" x14ac:dyDescent="0.3">
      <c r="A198" s="1" t="s">
        <v>117</v>
      </c>
      <c r="B198" s="7">
        <v>40757</v>
      </c>
      <c r="C198" s="1">
        <v>20</v>
      </c>
      <c r="D198" s="1">
        <v>82</v>
      </c>
      <c r="E198" s="1">
        <v>6</v>
      </c>
      <c r="F198" s="1">
        <v>97</v>
      </c>
      <c r="L198" s="1">
        <v>1</v>
      </c>
      <c r="AS198" s="1">
        <v>1</v>
      </c>
    </row>
    <row r="199" spans="1:90" x14ac:dyDescent="0.3">
      <c r="A199" s="1" t="s">
        <v>117</v>
      </c>
      <c r="B199" s="7">
        <v>40757</v>
      </c>
      <c r="C199" s="1">
        <v>20</v>
      </c>
      <c r="D199" s="1">
        <v>82</v>
      </c>
      <c r="E199" s="1">
        <v>6</v>
      </c>
      <c r="F199" s="1">
        <v>98</v>
      </c>
      <c r="P199" s="3">
        <v>0</v>
      </c>
      <c r="Q199" s="3">
        <v>1</v>
      </c>
      <c r="AS199" s="1">
        <v>1</v>
      </c>
    </row>
    <row r="200" spans="1:90" x14ac:dyDescent="0.3">
      <c r="A200" s="1" t="s">
        <v>117</v>
      </c>
      <c r="B200" s="7">
        <v>40757</v>
      </c>
      <c r="C200" s="1">
        <v>20</v>
      </c>
      <c r="D200" s="1">
        <v>82</v>
      </c>
      <c r="E200" s="1">
        <v>6</v>
      </c>
      <c r="F200" s="1">
        <v>99</v>
      </c>
      <c r="P200" s="3">
        <v>0</v>
      </c>
      <c r="Q200" s="3">
        <v>1</v>
      </c>
      <c r="AB200" s="1">
        <v>1</v>
      </c>
    </row>
    <row r="201" spans="1:90" x14ac:dyDescent="0.3">
      <c r="A201" s="1" t="s">
        <v>117</v>
      </c>
      <c r="B201" s="7">
        <v>40757</v>
      </c>
      <c r="C201" s="1">
        <v>20</v>
      </c>
      <c r="D201" s="1">
        <v>82</v>
      </c>
      <c r="E201" s="1">
        <v>6</v>
      </c>
      <c r="F201" s="1">
        <v>100</v>
      </c>
      <c r="L201" s="1">
        <v>1</v>
      </c>
      <c r="P201" s="3">
        <v>0</v>
      </c>
      <c r="Q201" s="3">
        <v>1</v>
      </c>
      <c r="AS201" s="1">
        <v>1</v>
      </c>
    </row>
    <row r="202" spans="1:90" s="12" customFormat="1" x14ac:dyDescent="0.3">
      <c r="A202" s="14" t="s">
        <v>117</v>
      </c>
      <c r="B202" s="13"/>
      <c r="G202" s="12">
        <f>SUM(G2:G201)</f>
        <v>0</v>
      </c>
      <c r="H202" s="12">
        <f t="shared" ref="H202:BL202" si="0">SUM(H2:H201)</f>
        <v>26</v>
      </c>
      <c r="I202" s="12">
        <f t="shared" si="0"/>
        <v>5</v>
      </c>
      <c r="J202" s="12">
        <f t="shared" si="0"/>
        <v>3</v>
      </c>
      <c r="K202" s="12">
        <f t="shared" si="0"/>
        <v>0</v>
      </c>
      <c r="L202" s="12">
        <f t="shared" si="0"/>
        <v>128</v>
      </c>
      <c r="M202" s="12">
        <f t="shared" si="0"/>
        <v>3</v>
      </c>
      <c r="N202" s="12">
        <f t="shared" si="0"/>
        <v>1</v>
      </c>
      <c r="O202" s="12">
        <f t="shared" si="0"/>
        <v>0</v>
      </c>
      <c r="P202" s="12">
        <f t="shared" si="0"/>
        <v>64</v>
      </c>
      <c r="Q202" s="12">
        <f t="shared" si="0"/>
        <v>32</v>
      </c>
      <c r="R202" s="12">
        <f t="shared" si="0"/>
        <v>19</v>
      </c>
      <c r="S202" s="12">
        <f t="shared" si="0"/>
        <v>34</v>
      </c>
      <c r="T202" s="12">
        <f t="shared" si="0"/>
        <v>1</v>
      </c>
      <c r="U202" s="12">
        <f t="shared" si="0"/>
        <v>0</v>
      </c>
      <c r="V202" s="12">
        <f t="shared" si="0"/>
        <v>1</v>
      </c>
      <c r="W202" s="12">
        <f t="shared" si="0"/>
        <v>0</v>
      </c>
      <c r="X202" s="12">
        <f t="shared" si="0"/>
        <v>0</v>
      </c>
      <c r="Y202" s="12">
        <f t="shared" si="0"/>
        <v>0</v>
      </c>
      <c r="Z202" s="12">
        <f t="shared" si="0"/>
        <v>0</v>
      </c>
      <c r="AA202" s="12">
        <f t="shared" si="0"/>
        <v>0</v>
      </c>
      <c r="AB202" s="12">
        <f t="shared" si="0"/>
        <v>1</v>
      </c>
      <c r="AC202" s="12">
        <f t="shared" si="0"/>
        <v>0</v>
      </c>
      <c r="AD202" s="12">
        <f t="shared" si="0"/>
        <v>0</v>
      </c>
      <c r="AE202" s="12">
        <f t="shared" si="0"/>
        <v>0</v>
      </c>
      <c r="AF202" s="12">
        <f t="shared" si="0"/>
        <v>1</v>
      </c>
      <c r="AG202" s="12">
        <f t="shared" si="0"/>
        <v>0</v>
      </c>
      <c r="AH202" s="12">
        <f t="shared" si="0"/>
        <v>0</v>
      </c>
      <c r="AI202" s="12">
        <f t="shared" si="0"/>
        <v>4</v>
      </c>
      <c r="AJ202" s="12">
        <f t="shared" si="0"/>
        <v>4</v>
      </c>
      <c r="AK202" s="12">
        <f t="shared" si="0"/>
        <v>0</v>
      </c>
      <c r="AL202" s="12">
        <f t="shared" si="0"/>
        <v>0</v>
      </c>
      <c r="AM202" s="12">
        <f t="shared" si="0"/>
        <v>4</v>
      </c>
      <c r="AN202" s="12">
        <f t="shared" si="0"/>
        <v>0</v>
      </c>
      <c r="AO202" s="12">
        <f t="shared" si="0"/>
        <v>0</v>
      </c>
      <c r="AP202" s="12">
        <f t="shared" si="0"/>
        <v>0</v>
      </c>
      <c r="AQ202" s="12">
        <f t="shared" si="0"/>
        <v>0</v>
      </c>
      <c r="AR202" s="12">
        <f t="shared" si="0"/>
        <v>0</v>
      </c>
      <c r="AS202" s="12">
        <f t="shared" si="0"/>
        <v>38</v>
      </c>
      <c r="AT202" s="12">
        <f t="shared" si="0"/>
        <v>0</v>
      </c>
      <c r="AU202" s="12">
        <f t="shared" si="0"/>
        <v>0</v>
      </c>
      <c r="AV202" s="12">
        <f t="shared" si="0"/>
        <v>0</v>
      </c>
      <c r="AW202" s="12">
        <f t="shared" si="0"/>
        <v>0</v>
      </c>
      <c r="AX202" s="12">
        <f t="shared" si="0"/>
        <v>0</v>
      </c>
      <c r="AY202" s="12">
        <f t="shared" si="0"/>
        <v>0</v>
      </c>
      <c r="AZ202" s="12">
        <f t="shared" si="0"/>
        <v>0</v>
      </c>
      <c r="BA202" s="12">
        <f t="shared" si="0"/>
        <v>0</v>
      </c>
      <c r="BB202" s="12">
        <f t="shared" si="0"/>
        <v>0</v>
      </c>
      <c r="BC202" s="12">
        <f t="shared" si="0"/>
        <v>3</v>
      </c>
      <c r="BD202" s="12">
        <f t="shared" si="0"/>
        <v>0</v>
      </c>
      <c r="BE202" s="12">
        <f t="shared" si="0"/>
        <v>12</v>
      </c>
      <c r="BF202" s="12">
        <f t="shared" si="0"/>
        <v>0</v>
      </c>
      <c r="BG202" s="12">
        <f t="shared" si="0"/>
        <v>3</v>
      </c>
      <c r="BH202" s="12">
        <f t="shared" si="0"/>
        <v>0</v>
      </c>
      <c r="BI202" s="12">
        <f t="shared" si="0"/>
        <v>1</v>
      </c>
      <c r="BJ202" s="12">
        <f t="shared" si="0"/>
        <v>0</v>
      </c>
      <c r="BK202" s="12">
        <f t="shared" si="0"/>
        <v>0</v>
      </c>
      <c r="BL202" s="12">
        <f t="shared" si="0"/>
        <v>0</v>
      </c>
      <c r="BM202" s="12">
        <f t="shared" ref="BM202" si="1">SUM(BM2:BM201)</f>
        <v>0</v>
      </c>
      <c r="BN202" s="12">
        <f t="shared" ref="BN202" si="2">SUM(BN2:BN201)</f>
        <v>0</v>
      </c>
      <c r="BO202" s="12">
        <f t="shared" ref="BO202" si="3">SUM(BO2:BO201)</f>
        <v>0</v>
      </c>
      <c r="BP202" s="12">
        <f t="shared" ref="BP202" si="4">SUM(BP2:BP201)</f>
        <v>0</v>
      </c>
      <c r="BQ202" s="12">
        <f t="shared" ref="BQ202" si="5">SUM(BQ2:BQ201)</f>
        <v>0</v>
      </c>
      <c r="BR202" s="12">
        <f t="shared" ref="BR202" si="6">SUM(BR2:BR201)</f>
        <v>3</v>
      </c>
      <c r="BS202" s="12">
        <f t="shared" ref="BS202" si="7">SUM(BS2:BS201)</f>
        <v>2</v>
      </c>
      <c r="BT202" s="12">
        <f t="shared" ref="BT202" si="8">SUM(BT2:BT201)</f>
        <v>0</v>
      </c>
      <c r="BU202" s="12">
        <f t="shared" ref="BU202" si="9">SUM(BU2:BU201)</f>
        <v>0</v>
      </c>
      <c r="BV202" s="12">
        <f t="shared" ref="BV202" si="10">SUM(BV2:BV201)</f>
        <v>0</v>
      </c>
      <c r="BW202" s="12">
        <f t="shared" ref="BW202" si="11">SUM(BW2:BW201)</f>
        <v>0</v>
      </c>
      <c r="BX202" s="12">
        <f t="shared" ref="BX202" si="12">SUM(BX2:BX201)</f>
        <v>1</v>
      </c>
      <c r="BY202" s="12">
        <f t="shared" ref="BY202" si="13">SUM(BY2:BY201)</f>
        <v>0</v>
      </c>
      <c r="BZ202" s="12">
        <f t="shared" ref="BZ202" si="14">SUM(BZ2:BZ201)</f>
        <v>0</v>
      </c>
      <c r="CA202" s="12">
        <f t="shared" ref="CA202" si="15">SUM(CA2:CA201)</f>
        <v>0</v>
      </c>
      <c r="CB202" s="12">
        <f t="shared" ref="CB202" si="16">SUM(CB2:CB201)</f>
        <v>0</v>
      </c>
      <c r="CC202" s="12">
        <f t="shared" ref="CC202" si="17">SUM(CC2:CC201)</f>
        <v>0</v>
      </c>
      <c r="CD202" s="12">
        <f t="shared" ref="CD202" si="18">SUM(CD2:CD201)</f>
        <v>3</v>
      </c>
      <c r="CE202" s="12">
        <f t="shared" ref="CE202" si="19">SUM(CE2:CE201)</f>
        <v>0</v>
      </c>
      <c r="CF202" s="12">
        <f t="shared" ref="CF202" si="20">SUM(CF2:CF201)</f>
        <v>0</v>
      </c>
      <c r="CG202" s="12">
        <f t="shared" ref="CG202" si="21">SUM(CG2:CG201)</f>
        <v>0</v>
      </c>
      <c r="CH202" s="12">
        <f t="shared" ref="CH202" si="22">SUM(CH2:CH201)</f>
        <v>0</v>
      </c>
      <c r="CI202" s="12">
        <f t="shared" ref="CI202" si="23">SUM(CI2:CI201)</f>
        <v>0</v>
      </c>
      <c r="CJ202" s="12">
        <f t="shared" ref="CJ202" si="24">SUM(CJ2:CJ201)</f>
        <v>0</v>
      </c>
      <c r="CK202" s="12">
        <f t="shared" ref="CK202" si="25">SUM(CK2:CK201)</f>
        <v>0</v>
      </c>
      <c r="CL202" s="12">
        <f t="shared" ref="CL202" si="26">SUM(CL2:CL201)</f>
        <v>0</v>
      </c>
    </row>
    <row r="203" spans="1:90" x14ac:dyDescent="0.3">
      <c r="A203" s="1" t="s">
        <v>38</v>
      </c>
      <c r="B203" s="7">
        <v>40766</v>
      </c>
      <c r="C203" s="1">
        <v>4</v>
      </c>
      <c r="D203" s="1">
        <v>195</v>
      </c>
      <c r="E203" s="1">
        <v>3</v>
      </c>
      <c r="F203" s="1">
        <v>1</v>
      </c>
      <c r="L203" s="8">
        <v>1</v>
      </c>
      <c r="M203" s="8"/>
      <c r="AM203" s="1">
        <v>1</v>
      </c>
      <c r="AQ203" s="1">
        <v>1</v>
      </c>
    </row>
    <row r="204" spans="1:90" x14ac:dyDescent="0.3">
      <c r="A204" s="1" t="s">
        <v>38</v>
      </c>
      <c r="B204" s="7">
        <v>40766</v>
      </c>
      <c r="C204" s="1">
        <v>4</v>
      </c>
      <c r="D204" s="1">
        <v>195</v>
      </c>
      <c r="E204" s="1">
        <v>3</v>
      </c>
      <c r="F204" s="1">
        <v>2</v>
      </c>
      <c r="H204" s="1">
        <v>1</v>
      </c>
      <c r="AQ204" s="1">
        <v>1</v>
      </c>
    </row>
    <row r="205" spans="1:90" x14ac:dyDescent="0.3">
      <c r="A205" s="1" t="s">
        <v>38</v>
      </c>
      <c r="B205" s="7">
        <v>40766</v>
      </c>
      <c r="C205" s="1">
        <v>4</v>
      </c>
      <c r="D205" s="1">
        <v>195</v>
      </c>
      <c r="E205" s="1">
        <v>3</v>
      </c>
      <c r="F205" s="1">
        <v>3</v>
      </c>
      <c r="J205" s="1">
        <v>1</v>
      </c>
      <c r="AQ205" s="1">
        <v>1</v>
      </c>
    </row>
    <row r="206" spans="1:90" x14ac:dyDescent="0.3">
      <c r="A206" s="1" t="s">
        <v>38</v>
      </c>
      <c r="B206" s="7">
        <v>40766</v>
      </c>
      <c r="C206" s="1">
        <v>4</v>
      </c>
      <c r="D206" s="1">
        <v>195</v>
      </c>
      <c r="E206" s="1">
        <v>3</v>
      </c>
      <c r="F206" s="1">
        <v>4</v>
      </c>
      <c r="L206" s="1">
        <v>1</v>
      </c>
      <c r="AQ206" s="1">
        <v>1</v>
      </c>
    </row>
    <row r="207" spans="1:90" x14ac:dyDescent="0.3">
      <c r="A207" s="1" t="s">
        <v>38</v>
      </c>
      <c r="B207" s="7">
        <v>40766</v>
      </c>
      <c r="C207" s="1">
        <v>4</v>
      </c>
      <c r="D207" s="1">
        <v>195</v>
      </c>
      <c r="E207" s="1">
        <v>3</v>
      </c>
      <c r="F207" s="1">
        <v>5</v>
      </c>
      <c r="AM207" s="1">
        <v>1</v>
      </c>
      <c r="AQ207" s="1">
        <v>1</v>
      </c>
      <c r="BI207" s="1">
        <v>1</v>
      </c>
    </row>
    <row r="208" spans="1:90" x14ac:dyDescent="0.3">
      <c r="A208" s="1" t="s">
        <v>38</v>
      </c>
      <c r="B208" s="7">
        <v>40766</v>
      </c>
      <c r="C208" s="1">
        <v>4</v>
      </c>
      <c r="D208" s="1">
        <v>195</v>
      </c>
      <c r="E208" s="1">
        <v>3</v>
      </c>
      <c r="F208" s="1">
        <v>6</v>
      </c>
      <c r="N208" s="1">
        <v>1</v>
      </c>
      <c r="BK208" s="1">
        <v>1</v>
      </c>
    </row>
    <row r="209" spans="1:63" x14ac:dyDescent="0.3">
      <c r="A209" s="1" t="s">
        <v>38</v>
      </c>
      <c r="B209" s="7">
        <v>40766</v>
      </c>
      <c r="C209" s="1">
        <v>4</v>
      </c>
      <c r="D209" s="1">
        <v>195</v>
      </c>
      <c r="E209" s="1">
        <v>3</v>
      </c>
      <c r="F209" s="1">
        <v>7</v>
      </c>
      <c r="BK209" s="1">
        <v>1</v>
      </c>
    </row>
    <row r="210" spans="1:63" x14ac:dyDescent="0.3">
      <c r="A210" s="1" t="s">
        <v>38</v>
      </c>
      <c r="B210" s="7">
        <v>40766</v>
      </c>
      <c r="C210" s="1">
        <v>4</v>
      </c>
      <c r="D210" s="1">
        <v>195</v>
      </c>
      <c r="E210" s="1">
        <v>3</v>
      </c>
      <c r="F210" s="1">
        <v>8</v>
      </c>
    </row>
    <row r="211" spans="1:63" x14ac:dyDescent="0.3">
      <c r="A211" s="1" t="s">
        <v>38</v>
      </c>
      <c r="B211" s="7">
        <v>40766</v>
      </c>
      <c r="C211" s="1">
        <v>4</v>
      </c>
      <c r="D211" s="1">
        <v>195</v>
      </c>
      <c r="E211" s="1">
        <v>3</v>
      </c>
      <c r="F211" s="1">
        <v>9</v>
      </c>
      <c r="AQ211" s="1">
        <v>1</v>
      </c>
    </row>
    <row r="212" spans="1:63" x14ac:dyDescent="0.3">
      <c r="A212" s="1" t="s">
        <v>38</v>
      </c>
      <c r="B212" s="7">
        <v>40766</v>
      </c>
      <c r="C212" s="1">
        <v>4</v>
      </c>
      <c r="D212" s="1">
        <v>195</v>
      </c>
      <c r="E212" s="1">
        <v>3</v>
      </c>
      <c r="F212" s="1">
        <v>10</v>
      </c>
      <c r="J212" s="1">
        <v>1</v>
      </c>
      <c r="AQ212" s="1">
        <v>1</v>
      </c>
    </row>
    <row r="213" spans="1:63" x14ac:dyDescent="0.3">
      <c r="A213" s="1" t="s">
        <v>38</v>
      </c>
      <c r="B213" s="7">
        <v>40766</v>
      </c>
      <c r="C213" s="1">
        <v>4</v>
      </c>
      <c r="D213" s="1">
        <v>195</v>
      </c>
      <c r="E213" s="1">
        <v>3</v>
      </c>
      <c r="F213" s="1">
        <v>11</v>
      </c>
      <c r="H213" s="1">
        <v>1</v>
      </c>
      <c r="L213" s="1">
        <v>1</v>
      </c>
    </row>
    <row r="214" spans="1:63" x14ac:dyDescent="0.3">
      <c r="A214" s="1" t="s">
        <v>38</v>
      </c>
      <c r="B214" s="7">
        <v>40766</v>
      </c>
      <c r="C214" s="1">
        <v>4</v>
      </c>
      <c r="D214" s="1">
        <v>195</v>
      </c>
      <c r="E214" s="1">
        <v>3</v>
      </c>
      <c r="F214" s="1">
        <v>12</v>
      </c>
      <c r="AQ214" s="1">
        <v>1</v>
      </c>
    </row>
    <row r="215" spans="1:63" x14ac:dyDescent="0.3">
      <c r="A215" s="1" t="s">
        <v>38</v>
      </c>
      <c r="B215" s="7">
        <v>40766</v>
      </c>
      <c r="C215" s="1">
        <v>4</v>
      </c>
      <c r="D215" s="1">
        <v>195</v>
      </c>
      <c r="E215" s="1">
        <v>3</v>
      </c>
      <c r="F215" s="1">
        <v>13</v>
      </c>
      <c r="J215" s="1">
        <v>1</v>
      </c>
      <c r="BI215" s="1">
        <v>1</v>
      </c>
    </row>
    <row r="216" spans="1:63" x14ac:dyDescent="0.3">
      <c r="A216" s="1" t="s">
        <v>38</v>
      </c>
      <c r="B216" s="7">
        <v>40766</v>
      </c>
      <c r="C216" s="1">
        <v>4</v>
      </c>
      <c r="D216" s="1">
        <v>195</v>
      </c>
      <c r="E216" s="1">
        <v>3</v>
      </c>
      <c r="F216" s="1">
        <v>14</v>
      </c>
      <c r="AB216" s="1">
        <v>1</v>
      </c>
      <c r="AQ216" s="1">
        <v>1</v>
      </c>
    </row>
    <row r="217" spans="1:63" x14ac:dyDescent="0.3">
      <c r="A217" s="1" t="s">
        <v>38</v>
      </c>
      <c r="B217" s="7">
        <v>40766</v>
      </c>
      <c r="C217" s="1">
        <v>4</v>
      </c>
      <c r="D217" s="1">
        <v>195</v>
      </c>
      <c r="E217" s="1">
        <v>3</v>
      </c>
      <c r="F217" s="1">
        <v>15</v>
      </c>
      <c r="L217" s="1">
        <v>1</v>
      </c>
      <c r="N217" s="1">
        <v>1</v>
      </c>
      <c r="AB217" s="1">
        <v>1</v>
      </c>
      <c r="AM217" s="1">
        <v>1</v>
      </c>
    </row>
    <row r="218" spans="1:63" x14ac:dyDescent="0.3">
      <c r="A218" s="1" t="s">
        <v>38</v>
      </c>
      <c r="B218" s="7">
        <v>40766</v>
      </c>
      <c r="C218" s="1">
        <v>4</v>
      </c>
      <c r="D218" s="1">
        <v>195</v>
      </c>
      <c r="E218" s="1">
        <v>3</v>
      </c>
      <c r="F218" s="1">
        <v>16</v>
      </c>
      <c r="J218" s="1">
        <v>1</v>
      </c>
      <c r="AB218" s="1">
        <v>1</v>
      </c>
      <c r="AQ218" s="1">
        <v>1</v>
      </c>
    </row>
    <row r="219" spans="1:63" x14ac:dyDescent="0.3">
      <c r="A219" s="1" t="s">
        <v>38</v>
      </c>
      <c r="B219" s="7">
        <v>40766</v>
      </c>
      <c r="C219" s="1">
        <v>4</v>
      </c>
      <c r="D219" s="1">
        <v>195</v>
      </c>
      <c r="E219" s="1">
        <v>3</v>
      </c>
      <c r="F219" s="1">
        <v>17</v>
      </c>
      <c r="AQ219" s="1">
        <v>1</v>
      </c>
    </row>
    <row r="220" spans="1:63" x14ac:dyDescent="0.3">
      <c r="A220" s="1" t="s">
        <v>38</v>
      </c>
      <c r="B220" s="7">
        <v>40766</v>
      </c>
      <c r="C220" s="1">
        <v>4</v>
      </c>
      <c r="D220" s="1">
        <v>195</v>
      </c>
      <c r="E220" s="1">
        <v>3</v>
      </c>
      <c r="F220" s="1">
        <v>18</v>
      </c>
      <c r="H220" s="1">
        <v>1</v>
      </c>
    </row>
    <row r="221" spans="1:63" x14ac:dyDescent="0.3">
      <c r="A221" s="1" t="s">
        <v>38</v>
      </c>
      <c r="B221" s="7">
        <v>40766</v>
      </c>
      <c r="C221" s="1">
        <v>4</v>
      </c>
      <c r="D221" s="1">
        <v>195</v>
      </c>
      <c r="E221" s="1">
        <v>3</v>
      </c>
      <c r="F221" s="1">
        <v>19</v>
      </c>
      <c r="AQ221" s="1">
        <v>1</v>
      </c>
    </row>
    <row r="222" spans="1:63" x14ac:dyDescent="0.3">
      <c r="A222" s="1" t="s">
        <v>38</v>
      </c>
      <c r="B222" s="7">
        <v>40766</v>
      </c>
      <c r="C222" s="1">
        <v>4</v>
      </c>
      <c r="D222" s="1">
        <v>195</v>
      </c>
      <c r="E222" s="1">
        <v>3</v>
      </c>
      <c r="F222" s="1">
        <v>20</v>
      </c>
      <c r="I222" s="1">
        <v>1</v>
      </c>
    </row>
    <row r="223" spans="1:63" x14ac:dyDescent="0.3">
      <c r="A223" s="1" t="s">
        <v>38</v>
      </c>
      <c r="B223" s="7">
        <v>40766</v>
      </c>
      <c r="C223" s="1">
        <v>4</v>
      </c>
      <c r="D223" s="1">
        <v>195</v>
      </c>
      <c r="E223" s="1">
        <v>3</v>
      </c>
      <c r="F223" s="1">
        <v>21</v>
      </c>
      <c r="J223" s="3">
        <v>0</v>
      </c>
      <c r="K223" s="3">
        <v>1</v>
      </c>
    </row>
    <row r="224" spans="1:63" x14ac:dyDescent="0.3">
      <c r="A224" s="1" t="s">
        <v>38</v>
      </c>
      <c r="B224" s="7">
        <v>40766</v>
      </c>
      <c r="C224" s="1">
        <v>4</v>
      </c>
      <c r="D224" s="1">
        <v>195</v>
      </c>
      <c r="E224" s="1">
        <v>3</v>
      </c>
      <c r="F224" s="1">
        <v>22</v>
      </c>
      <c r="I224" s="1">
        <v>1</v>
      </c>
      <c r="AQ224" s="1">
        <v>1</v>
      </c>
    </row>
    <row r="225" spans="1:63" x14ac:dyDescent="0.3">
      <c r="A225" s="1" t="s">
        <v>38</v>
      </c>
      <c r="B225" s="7">
        <v>40766</v>
      </c>
      <c r="C225" s="1">
        <v>4</v>
      </c>
      <c r="D225" s="1">
        <v>195</v>
      </c>
      <c r="E225" s="1">
        <v>3</v>
      </c>
      <c r="F225" s="1">
        <v>23</v>
      </c>
      <c r="J225" s="3">
        <v>0</v>
      </c>
      <c r="K225" s="3">
        <v>1</v>
      </c>
    </row>
    <row r="226" spans="1:63" x14ac:dyDescent="0.3">
      <c r="A226" s="1" t="s">
        <v>38</v>
      </c>
      <c r="B226" s="7">
        <v>40766</v>
      </c>
      <c r="C226" s="1">
        <v>4</v>
      </c>
      <c r="D226" s="1">
        <v>195</v>
      </c>
      <c r="E226" s="1">
        <v>3</v>
      </c>
      <c r="F226" s="1">
        <v>24</v>
      </c>
      <c r="L226" s="8">
        <v>1</v>
      </c>
      <c r="M226" s="8"/>
    </row>
    <row r="227" spans="1:63" x14ac:dyDescent="0.3">
      <c r="A227" s="1" t="s">
        <v>38</v>
      </c>
      <c r="B227" s="7">
        <v>40766</v>
      </c>
      <c r="C227" s="1">
        <v>4</v>
      </c>
      <c r="D227" s="1">
        <v>195</v>
      </c>
      <c r="E227" s="1">
        <v>3</v>
      </c>
      <c r="F227" s="1">
        <v>25</v>
      </c>
      <c r="I227" s="1">
        <v>1</v>
      </c>
    </row>
    <row r="228" spans="1:63" x14ac:dyDescent="0.3">
      <c r="A228" s="1" t="s">
        <v>38</v>
      </c>
      <c r="B228" s="7">
        <v>40766</v>
      </c>
      <c r="C228" s="1">
        <v>4</v>
      </c>
      <c r="D228" s="1">
        <v>195</v>
      </c>
      <c r="E228" s="1">
        <v>3</v>
      </c>
      <c r="F228" s="1">
        <v>26</v>
      </c>
      <c r="J228" s="1">
        <v>1</v>
      </c>
    </row>
    <row r="229" spans="1:63" x14ac:dyDescent="0.3">
      <c r="A229" s="1" t="s">
        <v>38</v>
      </c>
      <c r="B229" s="7">
        <v>40766</v>
      </c>
      <c r="C229" s="1">
        <v>4</v>
      </c>
      <c r="D229" s="1">
        <v>195</v>
      </c>
      <c r="E229" s="1">
        <v>3</v>
      </c>
      <c r="F229" s="1">
        <v>27</v>
      </c>
      <c r="AQ229" s="1">
        <v>1</v>
      </c>
    </row>
    <row r="230" spans="1:63" x14ac:dyDescent="0.3">
      <c r="A230" s="1" t="s">
        <v>38</v>
      </c>
      <c r="B230" s="7">
        <v>40766</v>
      </c>
      <c r="C230" s="1">
        <v>4</v>
      </c>
      <c r="D230" s="1">
        <v>195</v>
      </c>
      <c r="E230" s="1">
        <v>3</v>
      </c>
      <c r="F230" s="1">
        <v>28</v>
      </c>
      <c r="AQ230" s="1">
        <v>1</v>
      </c>
      <c r="BK230" s="1">
        <v>1</v>
      </c>
    </row>
    <row r="231" spans="1:63" x14ac:dyDescent="0.3">
      <c r="A231" s="1" t="s">
        <v>38</v>
      </c>
      <c r="B231" s="7">
        <v>40766</v>
      </c>
      <c r="C231" s="1">
        <v>4</v>
      </c>
      <c r="D231" s="1">
        <v>195</v>
      </c>
      <c r="E231" s="1">
        <v>3</v>
      </c>
      <c r="F231" s="1">
        <v>29</v>
      </c>
      <c r="AQ231" s="1">
        <v>1</v>
      </c>
    </row>
    <row r="232" spans="1:63" x14ac:dyDescent="0.3">
      <c r="A232" s="1" t="s">
        <v>38</v>
      </c>
      <c r="B232" s="7">
        <v>40766</v>
      </c>
      <c r="C232" s="1">
        <v>4</v>
      </c>
      <c r="D232" s="1">
        <v>195</v>
      </c>
      <c r="E232" s="1">
        <v>3</v>
      </c>
      <c r="F232" s="1">
        <v>30</v>
      </c>
      <c r="AQ232" s="1">
        <v>1</v>
      </c>
    </row>
    <row r="233" spans="1:63" x14ac:dyDescent="0.3">
      <c r="A233" s="1" t="s">
        <v>38</v>
      </c>
      <c r="B233" s="7">
        <v>40766</v>
      </c>
      <c r="C233" s="1">
        <v>4</v>
      </c>
      <c r="D233" s="1">
        <v>195</v>
      </c>
      <c r="E233" s="1">
        <v>3</v>
      </c>
      <c r="F233" s="1">
        <v>31</v>
      </c>
      <c r="AM233" s="1">
        <v>1</v>
      </c>
    </row>
    <row r="234" spans="1:63" x14ac:dyDescent="0.3">
      <c r="A234" s="1" t="s">
        <v>38</v>
      </c>
      <c r="B234" s="7">
        <v>40766</v>
      </c>
      <c r="C234" s="1">
        <v>4</v>
      </c>
      <c r="D234" s="1">
        <v>195</v>
      </c>
      <c r="E234" s="1">
        <v>3</v>
      </c>
      <c r="F234" s="1">
        <v>32</v>
      </c>
      <c r="J234" s="3">
        <v>0</v>
      </c>
      <c r="K234" s="3">
        <v>1</v>
      </c>
      <c r="AQ234" s="1">
        <v>1</v>
      </c>
    </row>
    <row r="235" spans="1:63" x14ac:dyDescent="0.3">
      <c r="A235" s="1" t="s">
        <v>38</v>
      </c>
      <c r="B235" s="7">
        <v>40766</v>
      </c>
      <c r="C235" s="1">
        <v>4</v>
      </c>
      <c r="D235" s="1">
        <v>195</v>
      </c>
      <c r="E235" s="1">
        <v>3</v>
      </c>
      <c r="F235" s="1">
        <v>33</v>
      </c>
      <c r="H235" s="1">
        <v>1</v>
      </c>
      <c r="AQ235" s="1">
        <v>1</v>
      </c>
    </row>
    <row r="236" spans="1:63" x14ac:dyDescent="0.3">
      <c r="A236" s="1" t="s">
        <v>38</v>
      </c>
      <c r="B236" s="7">
        <v>40766</v>
      </c>
      <c r="C236" s="1">
        <v>4</v>
      </c>
      <c r="D236" s="1">
        <v>195</v>
      </c>
      <c r="E236" s="1">
        <v>3</v>
      </c>
      <c r="F236" s="1">
        <v>34</v>
      </c>
      <c r="H236" s="1">
        <v>1</v>
      </c>
    </row>
    <row r="237" spans="1:63" x14ac:dyDescent="0.3">
      <c r="A237" s="1" t="s">
        <v>38</v>
      </c>
      <c r="B237" s="7">
        <v>40766</v>
      </c>
      <c r="C237" s="1">
        <v>4</v>
      </c>
      <c r="D237" s="1">
        <v>195</v>
      </c>
      <c r="E237" s="1">
        <v>3</v>
      </c>
      <c r="F237" s="1">
        <v>35</v>
      </c>
      <c r="H237" s="1">
        <v>1</v>
      </c>
      <c r="J237" s="8">
        <v>1</v>
      </c>
      <c r="K237" s="8"/>
    </row>
    <row r="238" spans="1:63" x14ac:dyDescent="0.3">
      <c r="A238" s="1" t="s">
        <v>38</v>
      </c>
      <c r="B238" s="7">
        <v>40766</v>
      </c>
      <c r="C238" s="1">
        <v>4</v>
      </c>
      <c r="D238" s="1">
        <v>195</v>
      </c>
      <c r="E238" s="1">
        <v>3</v>
      </c>
      <c r="F238" s="1">
        <v>36</v>
      </c>
      <c r="J238" s="1">
        <v>1</v>
      </c>
      <c r="N238" s="1">
        <v>1</v>
      </c>
    </row>
    <row r="239" spans="1:63" x14ac:dyDescent="0.3">
      <c r="A239" s="1" t="s">
        <v>38</v>
      </c>
      <c r="B239" s="7">
        <v>40766</v>
      </c>
      <c r="C239" s="1">
        <v>4</v>
      </c>
      <c r="D239" s="1">
        <v>195</v>
      </c>
      <c r="E239" s="1">
        <v>3</v>
      </c>
      <c r="F239" s="1">
        <v>37</v>
      </c>
      <c r="N239" s="1">
        <v>1</v>
      </c>
      <c r="AQ239" s="1">
        <v>1</v>
      </c>
    </row>
    <row r="240" spans="1:63" x14ac:dyDescent="0.3">
      <c r="A240" s="1" t="s">
        <v>38</v>
      </c>
      <c r="B240" s="7">
        <v>40766</v>
      </c>
      <c r="C240" s="1">
        <v>4</v>
      </c>
      <c r="D240" s="1">
        <v>195</v>
      </c>
      <c r="E240" s="1">
        <v>3</v>
      </c>
      <c r="F240" s="1">
        <v>38</v>
      </c>
      <c r="G240" s="1">
        <v>1</v>
      </c>
    </row>
    <row r="241" spans="1:44" x14ac:dyDescent="0.3">
      <c r="A241" s="1" t="s">
        <v>38</v>
      </c>
      <c r="B241" s="7">
        <v>40766</v>
      </c>
      <c r="C241" s="1">
        <v>4</v>
      </c>
      <c r="D241" s="1">
        <v>195</v>
      </c>
      <c r="E241" s="1">
        <v>3</v>
      </c>
      <c r="F241" s="1">
        <v>39</v>
      </c>
      <c r="AM241" s="1">
        <v>1</v>
      </c>
    </row>
    <row r="242" spans="1:44" x14ac:dyDescent="0.3">
      <c r="A242" s="1" t="s">
        <v>38</v>
      </c>
      <c r="B242" s="7">
        <v>40766</v>
      </c>
      <c r="C242" s="1">
        <v>4</v>
      </c>
      <c r="D242" s="1">
        <v>195</v>
      </c>
      <c r="E242" s="1">
        <v>3</v>
      </c>
      <c r="F242" s="1">
        <v>40</v>
      </c>
      <c r="AQ242" s="1">
        <v>1</v>
      </c>
    </row>
    <row r="243" spans="1:44" x14ac:dyDescent="0.3">
      <c r="A243" s="1" t="s">
        <v>38</v>
      </c>
      <c r="B243" s="7">
        <v>40766</v>
      </c>
      <c r="C243" s="1">
        <v>4</v>
      </c>
      <c r="D243" s="1">
        <v>195</v>
      </c>
      <c r="E243" s="1">
        <v>3</v>
      </c>
      <c r="F243" s="1">
        <v>41</v>
      </c>
      <c r="J243" s="1">
        <v>1</v>
      </c>
      <c r="AM243" s="1">
        <v>1</v>
      </c>
      <c r="AQ243" s="8">
        <v>1</v>
      </c>
      <c r="AR243" s="8"/>
    </row>
    <row r="244" spans="1:44" x14ac:dyDescent="0.3">
      <c r="A244" s="1" t="s">
        <v>38</v>
      </c>
      <c r="B244" s="7">
        <v>40766</v>
      </c>
      <c r="C244" s="1">
        <v>4</v>
      </c>
      <c r="D244" s="1">
        <v>195</v>
      </c>
      <c r="E244" s="1">
        <v>3</v>
      </c>
      <c r="F244" s="1">
        <v>42</v>
      </c>
      <c r="H244" s="1">
        <v>1</v>
      </c>
      <c r="J244" s="3">
        <v>0</v>
      </c>
      <c r="K244" s="3">
        <v>1</v>
      </c>
    </row>
    <row r="245" spans="1:44" x14ac:dyDescent="0.3">
      <c r="A245" s="1" t="s">
        <v>38</v>
      </c>
      <c r="B245" s="7">
        <v>40766</v>
      </c>
      <c r="C245" s="1">
        <v>4</v>
      </c>
      <c r="D245" s="1">
        <v>195</v>
      </c>
      <c r="E245" s="1">
        <v>3</v>
      </c>
      <c r="F245" s="1">
        <v>43</v>
      </c>
      <c r="H245" s="1">
        <v>1</v>
      </c>
      <c r="J245" s="1">
        <v>1</v>
      </c>
    </row>
    <row r="246" spans="1:44" x14ac:dyDescent="0.3">
      <c r="A246" s="1" t="s">
        <v>38</v>
      </c>
      <c r="B246" s="7">
        <v>40766</v>
      </c>
      <c r="C246" s="1">
        <v>4</v>
      </c>
      <c r="D246" s="1">
        <v>195</v>
      </c>
      <c r="E246" s="1">
        <v>3</v>
      </c>
      <c r="F246" s="1">
        <v>44</v>
      </c>
      <c r="I246" s="1">
        <v>1</v>
      </c>
      <c r="L246" s="1">
        <v>1</v>
      </c>
      <c r="AM246" s="1">
        <v>1</v>
      </c>
    </row>
    <row r="247" spans="1:44" x14ac:dyDescent="0.3">
      <c r="A247" s="1" t="s">
        <v>38</v>
      </c>
      <c r="B247" s="7">
        <v>40766</v>
      </c>
      <c r="C247" s="1">
        <v>4</v>
      </c>
      <c r="D247" s="1">
        <v>195</v>
      </c>
      <c r="E247" s="1">
        <v>3</v>
      </c>
      <c r="F247" s="1">
        <v>45</v>
      </c>
      <c r="J247" s="1">
        <v>1</v>
      </c>
      <c r="AQ247" s="1">
        <v>1</v>
      </c>
    </row>
    <row r="248" spans="1:44" x14ac:dyDescent="0.3">
      <c r="A248" s="1" t="s">
        <v>38</v>
      </c>
      <c r="B248" s="7">
        <v>40766</v>
      </c>
      <c r="C248" s="1">
        <v>4</v>
      </c>
      <c r="D248" s="1">
        <v>195</v>
      </c>
      <c r="E248" s="1">
        <v>3</v>
      </c>
      <c r="F248" s="1">
        <v>46</v>
      </c>
      <c r="I248" s="1">
        <v>1</v>
      </c>
      <c r="AQ248" s="1">
        <v>1</v>
      </c>
    </row>
    <row r="249" spans="1:44" x14ac:dyDescent="0.3">
      <c r="A249" s="1" t="s">
        <v>38</v>
      </c>
      <c r="B249" s="7">
        <v>40766</v>
      </c>
      <c r="C249" s="1">
        <v>4</v>
      </c>
      <c r="D249" s="1">
        <v>195</v>
      </c>
      <c r="E249" s="1">
        <v>3</v>
      </c>
      <c r="F249" s="1">
        <v>47</v>
      </c>
      <c r="J249" s="1">
        <v>1</v>
      </c>
      <c r="L249" s="1">
        <v>1</v>
      </c>
    </row>
    <row r="250" spans="1:44" x14ac:dyDescent="0.3">
      <c r="A250" s="1" t="s">
        <v>38</v>
      </c>
      <c r="B250" s="7">
        <v>40766</v>
      </c>
      <c r="C250" s="1">
        <v>4</v>
      </c>
      <c r="D250" s="1">
        <v>195</v>
      </c>
      <c r="E250" s="1">
        <v>3</v>
      </c>
      <c r="F250" s="1">
        <v>48</v>
      </c>
      <c r="J250" s="3">
        <v>0</v>
      </c>
      <c r="K250" s="3">
        <v>1</v>
      </c>
      <c r="AQ250" s="1">
        <v>1</v>
      </c>
    </row>
    <row r="251" spans="1:44" x14ac:dyDescent="0.3">
      <c r="A251" s="1" t="s">
        <v>38</v>
      </c>
      <c r="B251" s="7">
        <v>40766</v>
      </c>
      <c r="C251" s="1">
        <v>4</v>
      </c>
      <c r="D251" s="1">
        <v>195</v>
      </c>
      <c r="E251" s="1">
        <v>3</v>
      </c>
      <c r="F251" s="1">
        <v>49</v>
      </c>
      <c r="G251" s="1">
        <v>1</v>
      </c>
      <c r="J251" s="1">
        <v>1</v>
      </c>
    </row>
    <row r="252" spans="1:44" x14ac:dyDescent="0.3">
      <c r="A252" s="1" t="s">
        <v>38</v>
      </c>
      <c r="B252" s="7">
        <v>40766</v>
      </c>
      <c r="C252" s="1">
        <v>4</v>
      </c>
      <c r="D252" s="1">
        <v>195</v>
      </c>
      <c r="E252" s="1">
        <v>3</v>
      </c>
      <c r="F252" s="1">
        <v>50</v>
      </c>
      <c r="J252" s="1">
        <v>1</v>
      </c>
    </row>
    <row r="253" spans="1:44" x14ac:dyDescent="0.3">
      <c r="A253" s="1" t="s">
        <v>38</v>
      </c>
      <c r="B253" s="7">
        <v>40766</v>
      </c>
      <c r="C253" s="1">
        <v>4</v>
      </c>
      <c r="D253" s="1">
        <v>195</v>
      </c>
      <c r="E253" s="1">
        <v>3</v>
      </c>
      <c r="F253" s="1">
        <v>51</v>
      </c>
      <c r="J253" s="3">
        <v>0</v>
      </c>
      <c r="K253" s="3">
        <v>1</v>
      </c>
      <c r="L253" s="1">
        <v>1</v>
      </c>
      <c r="AQ253" s="3">
        <v>0</v>
      </c>
      <c r="AR253" s="3">
        <v>1</v>
      </c>
    </row>
    <row r="254" spans="1:44" x14ac:dyDescent="0.3">
      <c r="A254" s="1" t="s">
        <v>38</v>
      </c>
      <c r="B254" s="7">
        <v>40766</v>
      </c>
      <c r="C254" s="1">
        <v>4</v>
      </c>
      <c r="D254" s="1">
        <v>195</v>
      </c>
      <c r="E254" s="1">
        <v>3</v>
      </c>
      <c r="F254" s="1">
        <v>52</v>
      </c>
      <c r="J254" s="1">
        <v>1</v>
      </c>
      <c r="AQ254" s="1">
        <v>1</v>
      </c>
    </row>
    <row r="255" spans="1:44" x14ac:dyDescent="0.3">
      <c r="A255" s="1" t="s">
        <v>38</v>
      </c>
      <c r="B255" s="7">
        <v>40766</v>
      </c>
      <c r="C255" s="1">
        <v>4</v>
      </c>
      <c r="D255" s="1">
        <v>195</v>
      </c>
      <c r="E255" s="1">
        <v>3</v>
      </c>
      <c r="F255" s="1">
        <v>53</v>
      </c>
      <c r="H255" s="1">
        <v>1</v>
      </c>
      <c r="I255" s="1">
        <v>1</v>
      </c>
    </row>
    <row r="256" spans="1:44" x14ac:dyDescent="0.3">
      <c r="A256" s="1" t="s">
        <v>38</v>
      </c>
      <c r="B256" s="7">
        <v>40766</v>
      </c>
      <c r="C256" s="1">
        <v>4</v>
      </c>
      <c r="D256" s="1">
        <v>195</v>
      </c>
      <c r="E256" s="1">
        <v>3</v>
      </c>
      <c r="F256" s="1">
        <v>54</v>
      </c>
      <c r="L256" s="8">
        <v>1</v>
      </c>
      <c r="M256" s="8"/>
    </row>
    <row r="257" spans="1:43" x14ac:dyDescent="0.3">
      <c r="A257" s="1" t="s">
        <v>38</v>
      </c>
      <c r="B257" s="7">
        <v>40766</v>
      </c>
      <c r="C257" s="1">
        <v>4</v>
      </c>
      <c r="D257" s="1">
        <v>195</v>
      </c>
      <c r="E257" s="1">
        <v>3</v>
      </c>
      <c r="F257" s="1">
        <v>55</v>
      </c>
      <c r="J257" s="1">
        <v>1</v>
      </c>
    </row>
    <row r="258" spans="1:43" x14ac:dyDescent="0.3">
      <c r="A258" s="1" t="s">
        <v>38</v>
      </c>
      <c r="B258" s="7">
        <v>40766</v>
      </c>
      <c r="C258" s="1">
        <v>4</v>
      </c>
      <c r="D258" s="1">
        <v>195</v>
      </c>
      <c r="E258" s="1">
        <v>3</v>
      </c>
      <c r="F258" s="1">
        <v>56</v>
      </c>
      <c r="J258" s="1">
        <v>1</v>
      </c>
    </row>
    <row r="259" spans="1:43" x14ac:dyDescent="0.3">
      <c r="A259" s="1" t="s">
        <v>38</v>
      </c>
      <c r="B259" s="7">
        <v>40766</v>
      </c>
      <c r="C259" s="1">
        <v>4</v>
      </c>
      <c r="D259" s="1">
        <v>195</v>
      </c>
      <c r="E259" s="1">
        <v>3</v>
      </c>
      <c r="F259" s="1">
        <v>57</v>
      </c>
      <c r="J259" s="1">
        <v>1</v>
      </c>
    </row>
    <row r="260" spans="1:43" x14ac:dyDescent="0.3">
      <c r="A260" s="1" t="s">
        <v>38</v>
      </c>
      <c r="B260" s="7">
        <v>40766</v>
      </c>
      <c r="C260" s="1">
        <v>4</v>
      </c>
      <c r="D260" s="1">
        <v>195</v>
      </c>
      <c r="E260" s="1">
        <v>3</v>
      </c>
      <c r="F260" s="1">
        <v>58</v>
      </c>
      <c r="H260" s="1">
        <v>1</v>
      </c>
      <c r="J260" s="1">
        <v>1</v>
      </c>
    </row>
    <row r="261" spans="1:43" x14ac:dyDescent="0.3">
      <c r="A261" s="1" t="s">
        <v>38</v>
      </c>
      <c r="B261" s="7">
        <v>40766</v>
      </c>
      <c r="C261" s="1">
        <v>4</v>
      </c>
      <c r="D261" s="1">
        <v>195</v>
      </c>
      <c r="E261" s="1">
        <v>3</v>
      </c>
      <c r="F261" s="1">
        <v>59</v>
      </c>
      <c r="J261" s="1">
        <v>1</v>
      </c>
    </row>
    <row r="262" spans="1:43" x14ac:dyDescent="0.3">
      <c r="A262" s="1" t="s">
        <v>38</v>
      </c>
      <c r="B262" s="7">
        <v>40766</v>
      </c>
      <c r="C262" s="1">
        <v>4</v>
      </c>
      <c r="D262" s="1">
        <v>195</v>
      </c>
      <c r="E262" s="1">
        <v>3</v>
      </c>
      <c r="F262" s="1">
        <v>60</v>
      </c>
      <c r="H262" s="1">
        <v>1</v>
      </c>
      <c r="J262" s="1">
        <v>1</v>
      </c>
    </row>
    <row r="263" spans="1:43" x14ac:dyDescent="0.3">
      <c r="A263" s="1" t="s">
        <v>38</v>
      </c>
      <c r="B263" s="7">
        <v>40766</v>
      </c>
      <c r="C263" s="1">
        <v>4</v>
      </c>
      <c r="D263" s="1">
        <v>195</v>
      </c>
      <c r="E263" s="1">
        <v>3</v>
      </c>
      <c r="F263" s="1">
        <v>61</v>
      </c>
      <c r="AQ263" s="1">
        <v>1</v>
      </c>
    </row>
    <row r="264" spans="1:43" x14ac:dyDescent="0.3">
      <c r="A264" s="1" t="s">
        <v>38</v>
      </c>
      <c r="B264" s="7">
        <v>40766</v>
      </c>
      <c r="C264" s="1">
        <v>4</v>
      </c>
      <c r="D264" s="1">
        <v>195</v>
      </c>
      <c r="E264" s="1">
        <v>3</v>
      </c>
      <c r="F264" s="1">
        <v>62</v>
      </c>
      <c r="H264" s="1">
        <v>1</v>
      </c>
      <c r="I264" s="1">
        <v>1</v>
      </c>
    </row>
    <row r="265" spans="1:43" x14ac:dyDescent="0.3">
      <c r="A265" s="1" t="s">
        <v>38</v>
      </c>
      <c r="B265" s="7">
        <v>40766</v>
      </c>
      <c r="C265" s="1">
        <v>4</v>
      </c>
      <c r="D265" s="1">
        <v>195</v>
      </c>
      <c r="E265" s="1">
        <v>3</v>
      </c>
      <c r="F265" s="1">
        <v>63</v>
      </c>
      <c r="H265" s="1">
        <v>1</v>
      </c>
      <c r="AQ265" s="1">
        <v>1</v>
      </c>
    </row>
    <row r="266" spans="1:43" x14ac:dyDescent="0.3">
      <c r="A266" s="1" t="s">
        <v>38</v>
      </c>
      <c r="B266" s="7">
        <v>40766</v>
      </c>
      <c r="C266" s="1">
        <v>4</v>
      </c>
      <c r="D266" s="1">
        <v>195</v>
      </c>
      <c r="E266" s="1">
        <v>3</v>
      </c>
      <c r="F266" s="1">
        <v>64</v>
      </c>
      <c r="J266" s="1">
        <v>1</v>
      </c>
    </row>
    <row r="267" spans="1:43" x14ac:dyDescent="0.3">
      <c r="A267" s="1" t="s">
        <v>38</v>
      </c>
      <c r="B267" s="7">
        <v>40766</v>
      </c>
      <c r="C267" s="1">
        <v>4</v>
      </c>
      <c r="D267" s="1">
        <v>195</v>
      </c>
      <c r="E267" s="1">
        <v>3</v>
      </c>
      <c r="F267" s="1">
        <v>65</v>
      </c>
      <c r="J267" s="1">
        <v>1</v>
      </c>
    </row>
    <row r="268" spans="1:43" x14ac:dyDescent="0.3">
      <c r="A268" s="1" t="s">
        <v>38</v>
      </c>
      <c r="B268" s="7">
        <v>40766</v>
      </c>
      <c r="C268" s="1">
        <v>4</v>
      </c>
      <c r="D268" s="1">
        <v>195</v>
      </c>
      <c r="E268" s="1">
        <v>3</v>
      </c>
      <c r="F268" s="1">
        <v>66</v>
      </c>
      <c r="J268" s="1">
        <v>1</v>
      </c>
    </row>
    <row r="269" spans="1:43" x14ac:dyDescent="0.3">
      <c r="A269" s="1" t="s">
        <v>38</v>
      </c>
      <c r="B269" s="7">
        <v>40766</v>
      </c>
      <c r="C269" s="1">
        <v>4</v>
      </c>
      <c r="D269" s="1">
        <v>195</v>
      </c>
      <c r="E269" s="1">
        <v>3</v>
      </c>
      <c r="F269" s="1">
        <v>67</v>
      </c>
      <c r="J269" s="1">
        <v>1</v>
      </c>
    </row>
    <row r="270" spans="1:43" x14ac:dyDescent="0.3">
      <c r="A270" s="1" t="s">
        <v>38</v>
      </c>
      <c r="B270" s="7">
        <v>40766</v>
      </c>
      <c r="C270" s="1">
        <v>4</v>
      </c>
      <c r="D270" s="1">
        <v>195</v>
      </c>
      <c r="E270" s="1">
        <v>3</v>
      </c>
      <c r="F270" s="1">
        <v>68</v>
      </c>
      <c r="J270" s="1">
        <v>1</v>
      </c>
      <c r="AQ270" s="1">
        <v>1</v>
      </c>
    </row>
    <row r="271" spans="1:43" x14ac:dyDescent="0.3">
      <c r="A271" s="1" t="s">
        <v>38</v>
      </c>
      <c r="B271" s="7">
        <v>40766</v>
      </c>
      <c r="C271" s="1">
        <v>4</v>
      </c>
      <c r="D271" s="1">
        <v>195</v>
      </c>
      <c r="E271" s="1">
        <v>3</v>
      </c>
      <c r="F271" s="1">
        <v>69</v>
      </c>
      <c r="H271" s="1">
        <v>1</v>
      </c>
      <c r="J271" s="1">
        <v>1</v>
      </c>
    </row>
    <row r="272" spans="1:43" x14ac:dyDescent="0.3">
      <c r="A272" s="1" t="s">
        <v>38</v>
      </c>
      <c r="B272" s="7">
        <v>40766</v>
      </c>
      <c r="C272" s="1">
        <v>4</v>
      </c>
      <c r="D272" s="1">
        <v>195</v>
      </c>
      <c r="E272" s="1">
        <v>3</v>
      </c>
      <c r="F272" s="1">
        <v>70</v>
      </c>
      <c r="J272" s="1">
        <v>1</v>
      </c>
    </row>
    <row r="273" spans="1:43" x14ac:dyDescent="0.3">
      <c r="A273" s="1" t="s">
        <v>38</v>
      </c>
      <c r="B273" s="7">
        <v>40766</v>
      </c>
      <c r="C273" s="1">
        <v>4</v>
      </c>
      <c r="D273" s="1">
        <v>195</v>
      </c>
      <c r="E273" s="1">
        <v>3</v>
      </c>
      <c r="F273" s="1">
        <v>71</v>
      </c>
      <c r="J273" s="1">
        <v>1</v>
      </c>
      <c r="AQ273" s="1">
        <v>1</v>
      </c>
    </row>
    <row r="274" spans="1:43" x14ac:dyDescent="0.3">
      <c r="A274" s="1" t="s">
        <v>38</v>
      </c>
      <c r="B274" s="7">
        <v>40766</v>
      </c>
      <c r="C274" s="1">
        <v>4</v>
      </c>
      <c r="D274" s="1">
        <v>195</v>
      </c>
      <c r="E274" s="1">
        <v>3</v>
      </c>
      <c r="F274" s="1">
        <v>72</v>
      </c>
      <c r="J274" s="1">
        <v>1</v>
      </c>
    </row>
    <row r="275" spans="1:43" x14ac:dyDescent="0.3">
      <c r="A275" s="1" t="s">
        <v>38</v>
      </c>
      <c r="B275" s="7">
        <v>40766</v>
      </c>
      <c r="C275" s="1">
        <v>4</v>
      </c>
      <c r="D275" s="1">
        <v>195</v>
      </c>
      <c r="E275" s="1">
        <v>3</v>
      </c>
      <c r="F275" s="1">
        <v>73</v>
      </c>
      <c r="H275" s="1">
        <v>1</v>
      </c>
      <c r="AQ275" s="1">
        <v>1</v>
      </c>
    </row>
    <row r="276" spans="1:43" x14ac:dyDescent="0.3">
      <c r="A276" s="1" t="s">
        <v>38</v>
      </c>
      <c r="B276" s="7">
        <v>40766</v>
      </c>
      <c r="C276" s="1">
        <v>4</v>
      </c>
      <c r="D276" s="1">
        <v>195</v>
      </c>
      <c r="E276" s="1">
        <v>3</v>
      </c>
      <c r="F276" s="1">
        <v>74</v>
      </c>
      <c r="J276" s="1">
        <v>1</v>
      </c>
      <c r="AM276" s="3">
        <v>0</v>
      </c>
      <c r="AN276" s="3">
        <v>1</v>
      </c>
    </row>
    <row r="277" spans="1:43" x14ac:dyDescent="0.3">
      <c r="A277" s="1" t="s">
        <v>38</v>
      </c>
      <c r="B277" s="7">
        <v>40766</v>
      </c>
      <c r="C277" s="1">
        <v>4</v>
      </c>
      <c r="D277" s="1">
        <v>195</v>
      </c>
      <c r="E277" s="1">
        <v>3</v>
      </c>
      <c r="F277" s="1">
        <v>75</v>
      </c>
      <c r="J277" s="1">
        <v>1</v>
      </c>
    </row>
    <row r="278" spans="1:43" x14ac:dyDescent="0.3">
      <c r="A278" s="1" t="s">
        <v>38</v>
      </c>
      <c r="B278" s="7">
        <v>40766</v>
      </c>
      <c r="C278" s="1">
        <v>4</v>
      </c>
      <c r="D278" s="1">
        <v>195</v>
      </c>
      <c r="E278" s="1">
        <v>3</v>
      </c>
      <c r="F278" s="1">
        <v>76</v>
      </c>
      <c r="J278" s="1">
        <v>1</v>
      </c>
      <c r="AQ278" s="1">
        <v>1</v>
      </c>
    </row>
    <row r="279" spans="1:43" x14ac:dyDescent="0.3">
      <c r="A279" s="1" t="s">
        <v>38</v>
      </c>
      <c r="B279" s="7">
        <v>40766</v>
      </c>
      <c r="C279" s="1">
        <v>4</v>
      </c>
      <c r="D279" s="1">
        <v>195</v>
      </c>
      <c r="E279" s="1">
        <v>3</v>
      </c>
      <c r="F279" s="1">
        <v>77</v>
      </c>
      <c r="J279" s="1">
        <v>1</v>
      </c>
      <c r="AQ279" s="1">
        <v>1</v>
      </c>
    </row>
    <row r="280" spans="1:43" x14ac:dyDescent="0.3">
      <c r="A280" s="1" t="s">
        <v>38</v>
      </c>
      <c r="B280" s="7">
        <v>40766</v>
      </c>
      <c r="C280" s="1">
        <v>4</v>
      </c>
      <c r="D280" s="1">
        <v>195</v>
      </c>
      <c r="E280" s="1">
        <v>3</v>
      </c>
      <c r="F280" s="1">
        <v>78</v>
      </c>
      <c r="J280" s="1">
        <v>1</v>
      </c>
      <c r="AQ280" s="1">
        <v>1</v>
      </c>
    </row>
    <row r="281" spans="1:43" x14ac:dyDescent="0.3">
      <c r="A281" s="1" t="s">
        <v>38</v>
      </c>
      <c r="B281" s="7">
        <v>40766</v>
      </c>
      <c r="C281" s="1">
        <v>4</v>
      </c>
      <c r="D281" s="1">
        <v>195</v>
      </c>
      <c r="E281" s="1">
        <v>3</v>
      </c>
      <c r="F281" s="1">
        <v>79</v>
      </c>
      <c r="J281" s="8">
        <v>1</v>
      </c>
      <c r="K281" s="8"/>
    </row>
    <row r="282" spans="1:43" x14ac:dyDescent="0.3">
      <c r="A282" s="1" t="s">
        <v>38</v>
      </c>
      <c r="B282" s="7">
        <v>40766</v>
      </c>
      <c r="C282" s="1">
        <v>4</v>
      </c>
      <c r="D282" s="1">
        <v>195</v>
      </c>
      <c r="E282" s="1">
        <v>3</v>
      </c>
      <c r="F282" s="1">
        <v>80</v>
      </c>
      <c r="J282" s="1">
        <v>1</v>
      </c>
    </row>
    <row r="283" spans="1:43" x14ac:dyDescent="0.3">
      <c r="A283" s="1" t="s">
        <v>38</v>
      </c>
      <c r="B283" s="7">
        <v>40766</v>
      </c>
      <c r="C283" s="1">
        <v>4</v>
      </c>
      <c r="D283" s="1">
        <v>195</v>
      </c>
      <c r="E283" s="1">
        <v>3</v>
      </c>
      <c r="F283" s="1">
        <v>81</v>
      </c>
      <c r="J283" s="3">
        <v>0</v>
      </c>
      <c r="K283" s="3">
        <v>1</v>
      </c>
    </row>
    <row r="284" spans="1:43" x14ac:dyDescent="0.3">
      <c r="A284" s="1" t="s">
        <v>38</v>
      </c>
      <c r="B284" s="7">
        <v>40766</v>
      </c>
      <c r="C284" s="1">
        <v>4</v>
      </c>
      <c r="D284" s="1">
        <v>195</v>
      </c>
      <c r="E284" s="1">
        <v>3</v>
      </c>
      <c r="F284" s="1">
        <v>82</v>
      </c>
      <c r="J284" s="1">
        <v>1</v>
      </c>
    </row>
    <row r="285" spans="1:43" x14ac:dyDescent="0.3">
      <c r="A285" s="1" t="s">
        <v>38</v>
      </c>
      <c r="B285" s="7">
        <v>40766</v>
      </c>
      <c r="C285" s="1">
        <v>4</v>
      </c>
      <c r="D285" s="1">
        <v>195</v>
      </c>
      <c r="E285" s="1">
        <v>3</v>
      </c>
      <c r="F285" s="1">
        <v>83</v>
      </c>
      <c r="J285" s="3">
        <v>0</v>
      </c>
      <c r="K285" s="3">
        <v>1</v>
      </c>
    </row>
    <row r="286" spans="1:43" x14ac:dyDescent="0.3">
      <c r="A286" s="1" t="s">
        <v>38</v>
      </c>
      <c r="B286" s="7">
        <v>40766</v>
      </c>
      <c r="C286" s="1">
        <v>4</v>
      </c>
      <c r="D286" s="1">
        <v>195</v>
      </c>
      <c r="E286" s="1">
        <v>3</v>
      </c>
      <c r="F286" s="1">
        <v>84</v>
      </c>
      <c r="H286" s="1">
        <v>1</v>
      </c>
      <c r="J286" s="1">
        <v>1</v>
      </c>
    </row>
    <row r="287" spans="1:43" x14ac:dyDescent="0.3">
      <c r="A287" s="1" t="s">
        <v>38</v>
      </c>
      <c r="B287" s="7">
        <v>40766</v>
      </c>
      <c r="C287" s="1">
        <v>4</v>
      </c>
      <c r="D287" s="1">
        <v>195</v>
      </c>
      <c r="E287" s="1">
        <v>3</v>
      </c>
      <c r="F287" s="1">
        <v>85</v>
      </c>
      <c r="J287" s="1">
        <v>1</v>
      </c>
      <c r="AQ287" s="1">
        <v>1</v>
      </c>
    </row>
    <row r="288" spans="1:43" x14ac:dyDescent="0.3">
      <c r="A288" s="1" t="s">
        <v>38</v>
      </c>
      <c r="B288" s="7">
        <v>40766</v>
      </c>
      <c r="C288" s="1">
        <v>4</v>
      </c>
      <c r="D288" s="1">
        <v>195</v>
      </c>
      <c r="E288" s="1">
        <v>3</v>
      </c>
      <c r="F288" s="1">
        <v>86</v>
      </c>
      <c r="J288" s="1">
        <v>1</v>
      </c>
    </row>
    <row r="289" spans="1:61" x14ac:dyDescent="0.3">
      <c r="A289" s="1" t="s">
        <v>38</v>
      </c>
      <c r="B289" s="7">
        <v>40766</v>
      </c>
      <c r="C289" s="1">
        <v>4</v>
      </c>
      <c r="D289" s="1">
        <v>195</v>
      </c>
      <c r="E289" s="1">
        <v>3</v>
      </c>
      <c r="F289" s="1">
        <v>87</v>
      </c>
      <c r="AQ289" s="1">
        <v>1</v>
      </c>
      <c r="BI289" s="1">
        <v>1</v>
      </c>
    </row>
    <row r="290" spans="1:61" x14ac:dyDescent="0.3">
      <c r="A290" s="1" t="s">
        <v>38</v>
      </c>
      <c r="B290" s="7">
        <v>40766</v>
      </c>
      <c r="C290" s="1">
        <v>4</v>
      </c>
      <c r="D290" s="1">
        <v>195</v>
      </c>
      <c r="E290" s="1">
        <v>3</v>
      </c>
      <c r="F290" s="1">
        <v>88</v>
      </c>
      <c r="J290" s="1">
        <v>1</v>
      </c>
    </row>
    <row r="291" spans="1:61" x14ac:dyDescent="0.3">
      <c r="A291" s="1" t="s">
        <v>38</v>
      </c>
      <c r="B291" s="7">
        <v>40766</v>
      </c>
      <c r="C291" s="1">
        <v>4</v>
      </c>
      <c r="D291" s="1">
        <v>195</v>
      </c>
      <c r="E291" s="1">
        <v>3</v>
      </c>
      <c r="F291" s="1">
        <v>89</v>
      </c>
      <c r="J291" s="1">
        <v>1</v>
      </c>
    </row>
    <row r="292" spans="1:61" x14ac:dyDescent="0.3">
      <c r="A292" s="1" t="s">
        <v>38</v>
      </c>
      <c r="B292" s="7">
        <v>40766</v>
      </c>
      <c r="C292" s="1">
        <v>4</v>
      </c>
      <c r="D292" s="1">
        <v>195</v>
      </c>
      <c r="E292" s="1">
        <v>3</v>
      </c>
      <c r="F292" s="1">
        <v>90</v>
      </c>
      <c r="J292" s="1">
        <v>1</v>
      </c>
    </row>
    <row r="293" spans="1:61" x14ac:dyDescent="0.3">
      <c r="A293" s="1" t="s">
        <v>38</v>
      </c>
      <c r="B293" s="7">
        <v>40766</v>
      </c>
      <c r="C293" s="1">
        <v>4</v>
      </c>
      <c r="D293" s="1">
        <v>195</v>
      </c>
      <c r="E293" s="1">
        <v>3</v>
      </c>
      <c r="F293" s="1">
        <v>91</v>
      </c>
      <c r="J293" s="1">
        <v>1</v>
      </c>
    </row>
    <row r="294" spans="1:61" x14ac:dyDescent="0.3">
      <c r="A294" s="1" t="s">
        <v>38</v>
      </c>
      <c r="B294" s="7">
        <v>40766</v>
      </c>
      <c r="C294" s="1">
        <v>4</v>
      </c>
      <c r="D294" s="1">
        <v>195</v>
      </c>
      <c r="E294" s="1">
        <v>3</v>
      </c>
      <c r="F294" s="1">
        <v>92</v>
      </c>
      <c r="J294" s="1">
        <v>1</v>
      </c>
    </row>
    <row r="295" spans="1:61" x14ac:dyDescent="0.3">
      <c r="A295" s="1" t="s">
        <v>38</v>
      </c>
      <c r="B295" s="7">
        <v>40766</v>
      </c>
      <c r="C295" s="1">
        <v>4</v>
      </c>
      <c r="D295" s="1">
        <v>195</v>
      </c>
      <c r="E295" s="1">
        <v>3</v>
      </c>
      <c r="F295" s="1">
        <v>93</v>
      </c>
      <c r="I295" s="1">
        <v>1</v>
      </c>
      <c r="J295" s="1">
        <v>1</v>
      </c>
    </row>
    <row r="296" spans="1:61" x14ac:dyDescent="0.3">
      <c r="A296" s="1" t="s">
        <v>38</v>
      </c>
      <c r="B296" s="7">
        <v>40766</v>
      </c>
      <c r="C296" s="1">
        <v>4</v>
      </c>
      <c r="D296" s="1">
        <v>195</v>
      </c>
      <c r="E296" s="1">
        <v>3</v>
      </c>
      <c r="F296" s="1">
        <v>94</v>
      </c>
      <c r="J296" s="1">
        <v>1</v>
      </c>
    </row>
    <row r="297" spans="1:61" x14ac:dyDescent="0.3">
      <c r="A297" s="1" t="s">
        <v>38</v>
      </c>
      <c r="B297" s="7">
        <v>40766</v>
      </c>
      <c r="C297" s="1">
        <v>4</v>
      </c>
      <c r="D297" s="1">
        <v>195</v>
      </c>
      <c r="E297" s="1">
        <v>3</v>
      </c>
      <c r="F297" s="1">
        <v>95</v>
      </c>
      <c r="J297" s="1">
        <v>1</v>
      </c>
    </row>
    <row r="298" spans="1:61" x14ac:dyDescent="0.3">
      <c r="A298" s="1" t="s">
        <v>38</v>
      </c>
      <c r="B298" s="7">
        <v>40766</v>
      </c>
      <c r="C298" s="1">
        <v>4</v>
      </c>
      <c r="D298" s="1">
        <v>195</v>
      </c>
      <c r="E298" s="1">
        <v>3</v>
      </c>
      <c r="F298" s="1">
        <v>96</v>
      </c>
    </row>
    <row r="299" spans="1:61" x14ac:dyDescent="0.3">
      <c r="A299" s="1" t="s">
        <v>38</v>
      </c>
      <c r="B299" s="7">
        <v>40766</v>
      </c>
      <c r="C299" s="1">
        <v>4</v>
      </c>
      <c r="D299" s="1">
        <v>195</v>
      </c>
      <c r="E299" s="1">
        <v>3</v>
      </c>
      <c r="F299" s="1">
        <v>97</v>
      </c>
      <c r="AQ299" s="1">
        <v>1</v>
      </c>
    </row>
    <row r="300" spans="1:61" x14ac:dyDescent="0.3">
      <c r="A300" s="1" t="s">
        <v>38</v>
      </c>
      <c r="B300" s="7">
        <v>40766</v>
      </c>
      <c r="C300" s="1">
        <v>4</v>
      </c>
      <c r="D300" s="1">
        <v>195</v>
      </c>
      <c r="E300" s="1">
        <v>3</v>
      </c>
      <c r="F300" s="1">
        <v>98</v>
      </c>
    </row>
    <row r="301" spans="1:61" x14ac:dyDescent="0.3">
      <c r="A301" s="1" t="s">
        <v>38</v>
      </c>
      <c r="B301" s="7">
        <v>40766</v>
      </c>
      <c r="C301" s="1">
        <v>4</v>
      </c>
      <c r="D301" s="1">
        <v>195</v>
      </c>
      <c r="E301" s="1">
        <v>3</v>
      </c>
      <c r="F301" s="1">
        <v>99</v>
      </c>
      <c r="G301" s="1">
        <v>1</v>
      </c>
    </row>
    <row r="302" spans="1:61" x14ac:dyDescent="0.3">
      <c r="A302" s="1" t="s">
        <v>38</v>
      </c>
      <c r="B302" s="7">
        <v>40766</v>
      </c>
      <c r="C302" s="1">
        <v>4</v>
      </c>
      <c r="D302" s="1">
        <v>195</v>
      </c>
      <c r="E302" s="1">
        <v>3</v>
      </c>
      <c r="F302" s="1">
        <v>100</v>
      </c>
      <c r="G302" s="1">
        <v>1</v>
      </c>
    </row>
    <row r="303" spans="1:61" x14ac:dyDescent="0.3">
      <c r="A303" s="1" t="s">
        <v>38</v>
      </c>
      <c r="B303" s="7">
        <v>40757</v>
      </c>
      <c r="C303" s="1">
        <v>6</v>
      </c>
      <c r="D303" s="1">
        <v>195</v>
      </c>
      <c r="E303" s="1">
        <v>3</v>
      </c>
      <c r="F303" s="1">
        <v>1</v>
      </c>
      <c r="L303" s="1">
        <v>1</v>
      </c>
      <c r="R303" s="1">
        <v>1</v>
      </c>
    </row>
    <row r="304" spans="1:61" x14ac:dyDescent="0.3">
      <c r="A304" s="1" t="s">
        <v>38</v>
      </c>
      <c r="B304" s="7">
        <v>40757</v>
      </c>
      <c r="C304" s="1">
        <v>6</v>
      </c>
      <c r="D304" s="1">
        <v>195</v>
      </c>
      <c r="E304" s="1">
        <v>3</v>
      </c>
      <c r="F304" s="1">
        <v>2</v>
      </c>
      <c r="G304" s="1">
        <v>1</v>
      </c>
    </row>
    <row r="305" spans="1:41" x14ac:dyDescent="0.3">
      <c r="A305" s="1" t="s">
        <v>38</v>
      </c>
      <c r="B305" s="7">
        <v>40757</v>
      </c>
      <c r="C305" s="1">
        <v>6</v>
      </c>
      <c r="D305" s="1">
        <v>195</v>
      </c>
      <c r="E305" s="1">
        <v>3</v>
      </c>
      <c r="F305" s="1">
        <v>3</v>
      </c>
      <c r="G305" s="1">
        <v>1</v>
      </c>
    </row>
    <row r="306" spans="1:41" x14ac:dyDescent="0.3">
      <c r="A306" s="1" t="s">
        <v>38</v>
      </c>
      <c r="B306" s="7">
        <v>40757</v>
      </c>
      <c r="C306" s="1">
        <v>6</v>
      </c>
      <c r="D306" s="1">
        <v>195</v>
      </c>
      <c r="E306" s="1">
        <v>3</v>
      </c>
      <c r="F306" s="1">
        <v>4</v>
      </c>
      <c r="G306" s="1">
        <v>1</v>
      </c>
      <c r="I306" s="1">
        <v>1</v>
      </c>
    </row>
    <row r="307" spans="1:41" x14ac:dyDescent="0.3">
      <c r="A307" s="1" t="s">
        <v>38</v>
      </c>
      <c r="B307" s="7">
        <v>40757</v>
      </c>
      <c r="C307" s="1">
        <v>6</v>
      </c>
      <c r="D307" s="1">
        <v>195</v>
      </c>
      <c r="E307" s="1">
        <v>3</v>
      </c>
      <c r="F307" s="1">
        <v>5</v>
      </c>
      <c r="T307" s="1">
        <v>1</v>
      </c>
    </row>
    <row r="308" spans="1:41" x14ac:dyDescent="0.3">
      <c r="A308" s="1" t="s">
        <v>38</v>
      </c>
      <c r="B308" s="7">
        <v>40757</v>
      </c>
      <c r="C308" s="1">
        <v>6</v>
      </c>
      <c r="D308" s="1">
        <v>195</v>
      </c>
      <c r="E308" s="1">
        <v>3</v>
      </c>
      <c r="F308" s="1">
        <v>6</v>
      </c>
      <c r="L308" s="1">
        <v>1</v>
      </c>
    </row>
    <row r="309" spans="1:41" x14ac:dyDescent="0.3">
      <c r="A309" s="1" t="s">
        <v>38</v>
      </c>
      <c r="B309" s="7">
        <v>40757</v>
      </c>
      <c r="C309" s="1">
        <v>6</v>
      </c>
      <c r="D309" s="1">
        <v>195</v>
      </c>
      <c r="E309" s="1">
        <v>3</v>
      </c>
      <c r="F309" s="1">
        <v>7</v>
      </c>
      <c r="I309" s="1">
        <v>1</v>
      </c>
    </row>
    <row r="310" spans="1:41" x14ac:dyDescent="0.3">
      <c r="A310" s="1" t="s">
        <v>38</v>
      </c>
      <c r="B310" s="7">
        <v>40757</v>
      </c>
      <c r="C310" s="1">
        <v>6</v>
      </c>
      <c r="D310" s="1">
        <v>195</v>
      </c>
      <c r="E310" s="1">
        <v>3</v>
      </c>
      <c r="F310" s="1">
        <v>8</v>
      </c>
      <c r="AB310" s="1">
        <v>1</v>
      </c>
    </row>
    <row r="311" spans="1:41" x14ac:dyDescent="0.3">
      <c r="A311" s="1" t="s">
        <v>38</v>
      </c>
      <c r="B311" s="7">
        <v>40757</v>
      </c>
      <c r="C311" s="1">
        <v>6</v>
      </c>
      <c r="D311" s="1">
        <v>195</v>
      </c>
      <c r="E311" s="1">
        <v>3</v>
      </c>
      <c r="F311" s="1">
        <v>9</v>
      </c>
      <c r="L311" s="1">
        <v>1</v>
      </c>
      <c r="AO311" s="1">
        <v>1</v>
      </c>
    </row>
    <row r="312" spans="1:41" x14ac:dyDescent="0.3">
      <c r="A312" s="1" t="s">
        <v>38</v>
      </c>
      <c r="B312" s="7">
        <v>40757</v>
      </c>
      <c r="C312" s="1">
        <v>6</v>
      </c>
      <c r="D312" s="1">
        <v>195</v>
      </c>
      <c r="E312" s="1">
        <v>3</v>
      </c>
      <c r="F312" s="1">
        <v>10</v>
      </c>
      <c r="I312" s="1">
        <v>1</v>
      </c>
      <c r="L312" s="1">
        <v>1</v>
      </c>
    </row>
    <row r="313" spans="1:41" x14ac:dyDescent="0.3">
      <c r="A313" s="1" t="s">
        <v>38</v>
      </c>
      <c r="B313" s="7">
        <v>40757</v>
      </c>
      <c r="C313" s="1">
        <v>6</v>
      </c>
      <c r="D313" s="1">
        <v>195</v>
      </c>
      <c r="E313" s="1">
        <v>3</v>
      </c>
      <c r="F313" s="1">
        <v>11</v>
      </c>
      <c r="G313" s="1">
        <v>1</v>
      </c>
    </row>
    <row r="314" spans="1:41" x14ac:dyDescent="0.3">
      <c r="A314" s="1" t="s">
        <v>38</v>
      </c>
      <c r="B314" s="7">
        <v>40757</v>
      </c>
      <c r="C314" s="1">
        <v>6</v>
      </c>
      <c r="D314" s="1">
        <v>195</v>
      </c>
      <c r="E314" s="1">
        <v>3</v>
      </c>
      <c r="F314" s="1">
        <v>12</v>
      </c>
      <c r="G314" s="1">
        <v>1</v>
      </c>
    </row>
    <row r="315" spans="1:41" x14ac:dyDescent="0.3">
      <c r="A315" s="1" t="s">
        <v>38</v>
      </c>
      <c r="B315" s="7">
        <v>40757</v>
      </c>
      <c r="C315" s="1">
        <v>6</v>
      </c>
      <c r="D315" s="1">
        <v>195</v>
      </c>
      <c r="E315" s="1">
        <v>3</v>
      </c>
      <c r="F315" s="1">
        <v>13</v>
      </c>
      <c r="G315" s="1">
        <v>1</v>
      </c>
    </row>
    <row r="316" spans="1:41" x14ac:dyDescent="0.3">
      <c r="A316" s="1" t="s">
        <v>38</v>
      </c>
      <c r="B316" s="7">
        <v>40757</v>
      </c>
      <c r="C316" s="1">
        <v>6</v>
      </c>
      <c r="D316" s="1">
        <v>195</v>
      </c>
      <c r="E316" s="1">
        <v>3</v>
      </c>
      <c r="F316" s="1">
        <v>14</v>
      </c>
      <c r="AO316" s="1">
        <v>1</v>
      </c>
    </row>
    <row r="317" spans="1:41" x14ac:dyDescent="0.3">
      <c r="A317" s="1" t="s">
        <v>38</v>
      </c>
      <c r="B317" s="7">
        <v>40757</v>
      </c>
      <c r="C317" s="1">
        <v>6</v>
      </c>
      <c r="D317" s="1">
        <v>195</v>
      </c>
      <c r="E317" s="1">
        <v>3</v>
      </c>
      <c r="F317" s="1">
        <v>15</v>
      </c>
      <c r="T317" s="1">
        <v>1</v>
      </c>
    </row>
    <row r="318" spans="1:41" x14ac:dyDescent="0.3">
      <c r="A318" s="1" t="s">
        <v>38</v>
      </c>
      <c r="B318" s="7">
        <v>40757</v>
      </c>
      <c r="C318" s="1">
        <v>6</v>
      </c>
      <c r="D318" s="1">
        <v>195</v>
      </c>
      <c r="E318" s="1">
        <v>3</v>
      </c>
      <c r="F318" s="1">
        <v>16</v>
      </c>
    </row>
    <row r="319" spans="1:41" x14ac:dyDescent="0.3">
      <c r="A319" s="1" t="s">
        <v>38</v>
      </c>
      <c r="B319" s="7">
        <v>40757</v>
      </c>
      <c r="C319" s="1">
        <v>6</v>
      </c>
      <c r="D319" s="1">
        <v>195</v>
      </c>
      <c r="E319" s="1">
        <v>3</v>
      </c>
      <c r="F319" s="1">
        <v>17</v>
      </c>
    </row>
    <row r="320" spans="1:41" x14ac:dyDescent="0.3">
      <c r="A320" s="1" t="s">
        <v>38</v>
      </c>
      <c r="B320" s="7">
        <v>40757</v>
      </c>
      <c r="C320" s="1">
        <v>6</v>
      </c>
      <c r="D320" s="1">
        <v>195</v>
      </c>
      <c r="E320" s="1">
        <v>3</v>
      </c>
      <c r="F320" s="1">
        <v>18</v>
      </c>
    </row>
    <row r="321" spans="1:61" x14ac:dyDescent="0.3">
      <c r="A321" s="1" t="s">
        <v>38</v>
      </c>
      <c r="B321" s="7">
        <v>40757</v>
      </c>
      <c r="C321" s="1">
        <v>6</v>
      </c>
      <c r="D321" s="1">
        <v>195</v>
      </c>
      <c r="E321" s="1">
        <v>3</v>
      </c>
      <c r="F321" s="1">
        <v>19</v>
      </c>
      <c r="L321" s="1">
        <v>1</v>
      </c>
    </row>
    <row r="322" spans="1:61" x14ac:dyDescent="0.3">
      <c r="A322" s="1" t="s">
        <v>38</v>
      </c>
      <c r="B322" s="7">
        <v>40757</v>
      </c>
      <c r="C322" s="1">
        <v>6</v>
      </c>
      <c r="D322" s="1">
        <v>195</v>
      </c>
      <c r="E322" s="1">
        <v>3</v>
      </c>
      <c r="F322" s="1">
        <v>20</v>
      </c>
      <c r="J322" s="1">
        <v>1</v>
      </c>
    </row>
    <row r="323" spans="1:61" x14ac:dyDescent="0.3">
      <c r="A323" s="1" t="s">
        <v>38</v>
      </c>
      <c r="B323" s="7">
        <v>40757</v>
      </c>
      <c r="C323" s="1">
        <v>6</v>
      </c>
      <c r="D323" s="1">
        <v>195</v>
      </c>
      <c r="E323" s="1">
        <v>3</v>
      </c>
      <c r="F323" s="1">
        <v>21</v>
      </c>
      <c r="G323" s="1">
        <v>1</v>
      </c>
    </row>
    <row r="324" spans="1:61" x14ac:dyDescent="0.3">
      <c r="A324" s="1" t="s">
        <v>38</v>
      </c>
      <c r="B324" s="7">
        <v>40757</v>
      </c>
      <c r="C324" s="1">
        <v>6</v>
      </c>
      <c r="D324" s="1">
        <v>195</v>
      </c>
      <c r="E324" s="1">
        <v>3</v>
      </c>
      <c r="F324" s="1">
        <v>22</v>
      </c>
      <c r="G324" s="1">
        <v>1</v>
      </c>
    </row>
    <row r="325" spans="1:61" x14ac:dyDescent="0.3">
      <c r="A325" s="1" t="s">
        <v>38</v>
      </c>
      <c r="B325" s="7">
        <v>40757</v>
      </c>
      <c r="C325" s="1">
        <v>6</v>
      </c>
      <c r="D325" s="1">
        <v>195</v>
      </c>
      <c r="E325" s="1">
        <v>3</v>
      </c>
      <c r="F325" s="1">
        <v>23</v>
      </c>
      <c r="G325" s="1">
        <v>1</v>
      </c>
    </row>
    <row r="326" spans="1:61" x14ac:dyDescent="0.3">
      <c r="A326" s="1" t="s">
        <v>38</v>
      </c>
      <c r="B326" s="7">
        <v>40757</v>
      </c>
      <c r="C326" s="1">
        <v>6</v>
      </c>
      <c r="D326" s="1">
        <v>195</v>
      </c>
      <c r="E326" s="1">
        <v>3</v>
      </c>
      <c r="F326" s="1">
        <v>24</v>
      </c>
      <c r="G326" s="1">
        <v>1</v>
      </c>
      <c r="T326" s="1">
        <v>1</v>
      </c>
    </row>
    <row r="327" spans="1:61" x14ac:dyDescent="0.3">
      <c r="A327" s="1" t="s">
        <v>38</v>
      </c>
      <c r="B327" s="7">
        <v>40757</v>
      </c>
      <c r="C327" s="1">
        <v>6</v>
      </c>
      <c r="D327" s="1">
        <v>195</v>
      </c>
      <c r="E327" s="1">
        <v>3</v>
      </c>
      <c r="F327" s="1">
        <v>25</v>
      </c>
      <c r="T327" s="1">
        <v>1</v>
      </c>
    </row>
    <row r="328" spans="1:61" x14ac:dyDescent="0.3">
      <c r="A328" s="1" t="s">
        <v>38</v>
      </c>
      <c r="B328" s="7">
        <v>40757</v>
      </c>
      <c r="C328" s="1">
        <v>6</v>
      </c>
      <c r="D328" s="1">
        <v>195</v>
      </c>
      <c r="E328" s="1">
        <v>3</v>
      </c>
      <c r="F328" s="1">
        <v>26</v>
      </c>
      <c r="L328" s="1">
        <v>1</v>
      </c>
      <c r="AY328" s="1">
        <v>1</v>
      </c>
    </row>
    <row r="329" spans="1:61" x14ac:dyDescent="0.3">
      <c r="A329" s="1" t="s">
        <v>38</v>
      </c>
      <c r="B329" s="7">
        <v>40757</v>
      </c>
      <c r="C329" s="1">
        <v>6</v>
      </c>
      <c r="D329" s="1">
        <v>195</v>
      </c>
      <c r="E329" s="1">
        <v>3</v>
      </c>
      <c r="F329" s="1">
        <v>27</v>
      </c>
      <c r="AO329" s="1">
        <v>1</v>
      </c>
    </row>
    <row r="330" spans="1:61" x14ac:dyDescent="0.3">
      <c r="A330" s="1" t="s">
        <v>38</v>
      </c>
      <c r="B330" s="7">
        <v>40757</v>
      </c>
      <c r="C330" s="1">
        <v>6</v>
      </c>
      <c r="D330" s="1">
        <v>195</v>
      </c>
      <c r="E330" s="1">
        <v>3</v>
      </c>
      <c r="F330" s="1">
        <v>28</v>
      </c>
      <c r="AU330" s="1">
        <v>1</v>
      </c>
    </row>
    <row r="331" spans="1:61" x14ac:dyDescent="0.3">
      <c r="A331" s="1" t="s">
        <v>38</v>
      </c>
      <c r="B331" s="7">
        <v>40757</v>
      </c>
      <c r="C331" s="1">
        <v>6</v>
      </c>
      <c r="D331" s="1">
        <v>195</v>
      </c>
      <c r="E331" s="1">
        <v>3</v>
      </c>
      <c r="F331" s="1">
        <v>29</v>
      </c>
      <c r="L331" s="1">
        <v>1</v>
      </c>
      <c r="AB331" s="1">
        <v>1</v>
      </c>
    </row>
    <row r="332" spans="1:61" x14ac:dyDescent="0.3">
      <c r="A332" s="1" t="s">
        <v>38</v>
      </c>
      <c r="B332" s="7">
        <v>40757</v>
      </c>
      <c r="C332" s="1">
        <v>6</v>
      </c>
      <c r="D332" s="1">
        <v>195</v>
      </c>
      <c r="E332" s="1">
        <v>3</v>
      </c>
      <c r="F332" s="1">
        <v>30</v>
      </c>
      <c r="J332" s="1">
        <v>1</v>
      </c>
    </row>
    <row r="333" spans="1:61" x14ac:dyDescent="0.3">
      <c r="A333" s="1" t="s">
        <v>38</v>
      </c>
      <c r="B333" s="7">
        <v>40757</v>
      </c>
      <c r="C333" s="1">
        <v>6</v>
      </c>
      <c r="D333" s="1">
        <v>195</v>
      </c>
      <c r="E333" s="1">
        <v>3</v>
      </c>
      <c r="F333" s="1">
        <v>31</v>
      </c>
      <c r="G333" s="1">
        <v>1</v>
      </c>
    </row>
    <row r="334" spans="1:61" x14ac:dyDescent="0.3">
      <c r="A334" s="1" t="s">
        <v>38</v>
      </c>
      <c r="B334" s="7">
        <v>40757</v>
      </c>
      <c r="C334" s="1">
        <v>6</v>
      </c>
      <c r="D334" s="1">
        <v>195</v>
      </c>
      <c r="E334" s="1">
        <v>3</v>
      </c>
      <c r="F334" s="1">
        <v>32</v>
      </c>
      <c r="AB334" s="1">
        <v>1</v>
      </c>
      <c r="AI334" s="1">
        <v>1</v>
      </c>
    </row>
    <row r="335" spans="1:61" x14ac:dyDescent="0.3">
      <c r="A335" s="1" t="s">
        <v>38</v>
      </c>
      <c r="B335" s="7">
        <v>40757</v>
      </c>
      <c r="C335" s="1">
        <v>6</v>
      </c>
      <c r="D335" s="1">
        <v>195</v>
      </c>
      <c r="E335" s="1">
        <v>3</v>
      </c>
      <c r="F335" s="1">
        <v>33</v>
      </c>
      <c r="I335" s="1">
        <v>1</v>
      </c>
      <c r="AI335" s="1">
        <v>1</v>
      </c>
      <c r="BI335" s="1">
        <v>1</v>
      </c>
    </row>
    <row r="336" spans="1:61" x14ac:dyDescent="0.3">
      <c r="A336" s="1" t="s">
        <v>38</v>
      </c>
      <c r="B336" s="7">
        <v>40757</v>
      </c>
      <c r="C336" s="1">
        <v>6</v>
      </c>
      <c r="D336" s="1">
        <v>195</v>
      </c>
      <c r="E336" s="1">
        <v>3</v>
      </c>
      <c r="F336" s="1">
        <v>34</v>
      </c>
      <c r="R336" s="1">
        <v>1</v>
      </c>
      <c r="T336" s="1">
        <v>1</v>
      </c>
    </row>
    <row r="337" spans="1:47" x14ac:dyDescent="0.3">
      <c r="A337" s="1" t="s">
        <v>38</v>
      </c>
      <c r="B337" s="7">
        <v>40757</v>
      </c>
      <c r="C337" s="1">
        <v>6</v>
      </c>
      <c r="D337" s="1">
        <v>195</v>
      </c>
      <c r="E337" s="1">
        <v>3</v>
      </c>
      <c r="F337" s="1">
        <v>35</v>
      </c>
      <c r="I337" s="1">
        <v>1</v>
      </c>
    </row>
    <row r="338" spans="1:47" x14ac:dyDescent="0.3">
      <c r="A338" s="1" t="s">
        <v>38</v>
      </c>
      <c r="B338" s="7">
        <v>40757</v>
      </c>
      <c r="C338" s="1">
        <v>6</v>
      </c>
      <c r="D338" s="1">
        <v>195</v>
      </c>
      <c r="E338" s="1">
        <v>3</v>
      </c>
      <c r="F338" s="1">
        <v>36</v>
      </c>
      <c r="I338" s="1">
        <v>1</v>
      </c>
    </row>
    <row r="339" spans="1:47" x14ac:dyDescent="0.3">
      <c r="A339" s="1" t="s">
        <v>38</v>
      </c>
      <c r="B339" s="7">
        <v>40757</v>
      </c>
      <c r="C339" s="1">
        <v>6</v>
      </c>
      <c r="D339" s="1">
        <v>195</v>
      </c>
      <c r="E339" s="1">
        <v>3</v>
      </c>
      <c r="F339" s="1">
        <v>37</v>
      </c>
      <c r="L339" s="1">
        <v>1</v>
      </c>
      <c r="T339" s="1">
        <v>1</v>
      </c>
      <c r="AB339" s="1">
        <v>1</v>
      </c>
    </row>
    <row r="340" spans="1:47" x14ac:dyDescent="0.3">
      <c r="A340" s="1" t="s">
        <v>38</v>
      </c>
      <c r="B340" s="7">
        <v>40757</v>
      </c>
      <c r="C340" s="1">
        <v>6</v>
      </c>
      <c r="D340" s="1">
        <v>195</v>
      </c>
      <c r="E340" s="1">
        <v>3</v>
      </c>
      <c r="F340" s="1">
        <v>38</v>
      </c>
      <c r="L340" s="1">
        <v>1</v>
      </c>
      <c r="AB340" s="1">
        <v>1</v>
      </c>
      <c r="AU340" s="1">
        <v>1</v>
      </c>
    </row>
    <row r="341" spans="1:47" x14ac:dyDescent="0.3">
      <c r="A341" s="1" t="s">
        <v>38</v>
      </c>
      <c r="B341" s="7">
        <v>40757</v>
      </c>
      <c r="C341" s="1">
        <v>6</v>
      </c>
      <c r="D341" s="1">
        <v>195</v>
      </c>
      <c r="E341" s="1">
        <v>3</v>
      </c>
      <c r="F341" s="1">
        <v>39</v>
      </c>
      <c r="AB341" s="1">
        <v>1</v>
      </c>
    </row>
    <row r="342" spans="1:47" x14ac:dyDescent="0.3">
      <c r="A342" s="1" t="s">
        <v>38</v>
      </c>
      <c r="B342" s="7">
        <v>40757</v>
      </c>
      <c r="C342" s="1">
        <v>6</v>
      </c>
      <c r="D342" s="1">
        <v>195</v>
      </c>
      <c r="E342" s="1">
        <v>3</v>
      </c>
      <c r="F342" s="1">
        <v>40</v>
      </c>
      <c r="L342" s="1">
        <v>1</v>
      </c>
    </row>
    <row r="343" spans="1:47" x14ac:dyDescent="0.3">
      <c r="A343" s="1" t="s">
        <v>38</v>
      </c>
      <c r="B343" s="7">
        <v>40757</v>
      </c>
      <c r="C343" s="1">
        <v>6</v>
      </c>
      <c r="D343" s="1">
        <v>195</v>
      </c>
      <c r="E343" s="1">
        <v>3</v>
      </c>
      <c r="F343" s="1">
        <v>41</v>
      </c>
      <c r="G343" s="1">
        <v>1</v>
      </c>
    </row>
    <row r="344" spans="1:47" x14ac:dyDescent="0.3">
      <c r="A344" s="1" t="s">
        <v>38</v>
      </c>
      <c r="B344" s="7">
        <v>40757</v>
      </c>
      <c r="C344" s="1">
        <v>6</v>
      </c>
      <c r="D344" s="1">
        <v>195</v>
      </c>
      <c r="E344" s="1">
        <v>3</v>
      </c>
      <c r="F344" s="1">
        <v>42</v>
      </c>
      <c r="G344" s="1">
        <v>1</v>
      </c>
    </row>
    <row r="345" spans="1:47" x14ac:dyDescent="0.3">
      <c r="A345" s="1" t="s">
        <v>38</v>
      </c>
      <c r="B345" s="7">
        <v>40757</v>
      </c>
      <c r="C345" s="1">
        <v>6</v>
      </c>
      <c r="D345" s="1">
        <v>195</v>
      </c>
      <c r="E345" s="1">
        <v>3</v>
      </c>
      <c r="F345" s="1">
        <v>43</v>
      </c>
      <c r="G345" s="1">
        <v>1</v>
      </c>
    </row>
    <row r="346" spans="1:47" x14ac:dyDescent="0.3">
      <c r="A346" s="1" t="s">
        <v>38</v>
      </c>
      <c r="B346" s="7">
        <v>40757</v>
      </c>
      <c r="C346" s="1">
        <v>6</v>
      </c>
      <c r="D346" s="1">
        <v>195</v>
      </c>
      <c r="E346" s="1">
        <v>3</v>
      </c>
      <c r="F346" s="1">
        <v>44</v>
      </c>
      <c r="I346" s="1">
        <v>1</v>
      </c>
      <c r="L346" s="1">
        <v>1</v>
      </c>
    </row>
    <row r="347" spans="1:47" x14ac:dyDescent="0.3">
      <c r="A347" s="1" t="s">
        <v>38</v>
      </c>
      <c r="B347" s="7">
        <v>40757</v>
      </c>
      <c r="C347" s="1">
        <v>6</v>
      </c>
      <c r="D347" s="1">
        <v>195</v>
      </c>
      <c r="E347" s="1">
        <v>3</v>
      </c>
      <c r="F347" s="1">
        <v>45</v>
      </c>
    </row>
    <row r="348" spans="1:47" x14ac:dyDescent="0.3">
      <c r="A348" s="1" t="s">
        <v>38</v>
      </c>
      <c r="B348" s="7">
        <v>40757</v>
      </c>
      <c r="C348" s="1">
        <v>6</v>
      </c>
      <c r="D348" s="1">
        <v>195</v>
      </c>
      <c r="E348" s="1">
        <v>3</v>
      </c>
      <c r="F348" s="1">
        <v>46</v>
      </c>
      <c r="I348" s="1">
        <v>1</v>
      </c>
    </row>
    <row r="349" spans="1:47" x14ac:dyDescent="0.3">
      <c r="A349" s="1" t="s">
        <v>38</v>
      </c>
      <c r="B349" s="7">
        <v>40757</v>
      </c>
      <c r="C349" s="1">
        <v>6</v>
      </c>
      <c r="D349" s="1">
        <v>195</v>
      </c>
      <c r="E349" s="1">
        <v>3</v>
      </c>
      <c r="F349" s="1">
        <v>47</v>
      </c>
      <c r="I349" s="1">
        <v>1</v>
      </c>
    </row>
    <row r="350" spans="1:47" x14ac:dyDescent="0.3">
      <c r="A350" s="1" t="s">
        <v>38</v>
      </c>
      <c r="B350" s="7">
        <v>40757</v>
      </c>
      <c r="C350" s="1">
        <v>6</v>
      </c>
      <c r="D350" s="1">
        <v>195</v>
      </c>
      <c r="E350" s="1">
        <v>3</v>
      </c>
      <c r="F350" s="1">
        <v>48</v>
      </c>
      <c r="J350" s="1">
        <v>1</v>
      </c>
      <c r="L350" s="1">
        <v>1</v>
      </c>
    </row>
    <row r="351" spans="1:47" x14ac:dyDescent="0.3">
      <c r="A351" s="1" t="s">
        <v>38</v>
      </c>
      <c r="B351" s="7">
        <v>40757</v>
      </c>
      <c r="C351" s="1">
        <v>6</v>
      </c>
      <c r="D351" s="1">
        <v>195</v>
      </c>
      <c r="E351" s="1">
        <v>3</v>
      </c>
      <c r="F351" s="1">
        <v>49</v>
      </c>
      <c r="AO351" s="1">
        <v>1</v>
      </c>
    </row>
    <row r="352" spans="1:47" x14ac:dyDescent="0.3">
      <c r="A352" s="1" t="s">
        <v>38</v>
      </c>
      <c r="B352" s="7">
        <v>40757</v>
      </c>
      <c r="C352" s="1">
        <v>6</v>
      </c>
      <c r="D352" s="1">
        <v>195</v>
      </c>
      <c r="E352" s="1">
        <v>3</v>
      </c>
      <c r="F352" s="1">
        <v>50</v>
      </c>
      <c r="R352" s="1">
        <v>1</v>
      </c>
    </row>
    <row r="353" spans="1:61" x14ac:dyDescent="0.3">
      <c r="A353" s="1" t="s">
        <v>38</v>
      </c>
      <c r="B353" s="7">
        <v>40757</v>
      </c>
      <c r="C353" s="1">
        <v>6</v>
      </c>
      <c r="D353" s="1">
        <v>195</v>
      </c>
      <c r="E353" s="1">
        <v>3</v>
      </c>
      <c r="F353" s="1">
        <v>51</v>
      </c>
      <c r="G353" s="1">
        <v>1</v>
      </c>
    </row>
    <row r="354" spans="1:61" x14ac:dyDescent="0.3">
      <c r="A354" s="1" t="s">
        <v>38</v>
      </c>
      <c r="B354" s="7">
        <v>40757</v>
      </c>
      <c r="C354" s="1">
        <v>6</v>
      </c>
      <c r="D354" s="1">
        <v>195</v>
      </c>
      <c r="E354" s="1">
        <v>3</v>
      </c>
      <c r="F354" s="1">
        <v>52</v>
      </c>
      <c r="I354" s="1">
        <v>1</v>
      </c>
    </row>
    <row r="355" spans="1:61" x14ac:dyDescent="0.3">
      <c r="A355" s="1" t="s">
        <v>38</v>
      </c>
      <c r="B355" s="7">
        <v>40757</v>
      </c>
      <c r="C355" s="1">
        <v>6</v>
      </c>
      <c r="D355" s="1">
        <v>195</v>
      </c>
      <c r="E355" s="1">
        <v>3</v>
      </c>
      <c r="F355" s="1">
        <v>53</v>
      </c>
      <c r="W355" s="1">
        <v>1</v>
      </c>
      <c r="AB355" s="1">
        <v>1</v>
      </c>
      <c r="AI355" s="3">
        <v>0</v>
      </c>
      <c r="AJ355" s="3">
        <v>1</v>
      </c>
    </row>
    <row r="356" spans="1:61" x14ac:dyDescent="0.3">
      <c r="A356" s="1" t="s">
        <v>38</v>
      </c>
      <c r="B356" s="7">
        <v>40757</v>
      </c>
      <c r="C356" s="1">
        <v>6</v>
      </c>
      <c r="D356" s="1">
        <v>195</v>
      </c>
      <c r="E356" s="1">
        <v>3</v>
      </c>
      <c r="F356" s="1">
        <v>54</v>
      </c>
    </row>
    <row r="357" spans="1:61" x14ac:dyDescent="0.3">
      <c r="A357" s="1" t="s">
        <v>38</v>
      </c>
      <c r="B357" s="7">
        <v>40757</v>
      </c>
      <c r="C357" s="1">
        <v>6</v>
      </c>
      <c r="D357" s="1">
        <v>195</v>
      </c>
      <c r="E357" s="1">
        <v>3</v>
      </c>
      <c r="F357" s="1">
        <v>55</v>
      </c>
    </row>
    <row r="358" spans="1:61" x14ac:dyDescent="0.3">
      <c r="A358" s="1" t="s">
        <v>38</v>
      </c>
      <c r="B358" s="7">
        <v>40757</v>
      </c>
      <c r="C358" s="1">
        <v>6</v>
      </c>
      <c r="D358" s="1">
        <v>195</v>
      </c>
      <c r="E358" s="1">
        <v>3</v>
      </c>
      <c r="F358" s="1">
        <v>56</v>
      </c>
      <c r="J358" s="1">
        <v>1</v>
      </c>
    </row>
    <row r="359" spans="1:61" x14ac:dyDescent="0.3">
      <c r="A359" s="1" t="s">
        <v>38</v>
      </c>
      <c r="B359" s="7">
        <v>40757</v>
      </c>
      <c r="C359" s="1">
        <v>6</v>
      </c>
      <c r="D359" s="1">
        <v>195</v>
      </c>
      <c r="E359" s="1">
        <v>3</v>
      </c>
      <c r="F359" s="1">
        <v>57</v>
      </c>
      <c r="J359" s="1">
        <v>1</v>
      </c>
    </row>
    <row r="360" spans="1:61" x14ac:dyDescent="0.3">
      <c r="A360" s="1" t="s">
        <v>38</v>
      </c>
      <c r="B360" s="7">
        <v>40757</v>
      </c>
      <c r="C360" s="1">
        <v>6</v>
      </c>
      <c r="D360" s="1">
        <v>195</v>
      </c>
      <c r="E360" s="1">
        <v>3</v>
      </c>
      <c r="F360" s="1">
        <v>58</v>
      </c>
      <c r="J360" s="1">
        <v>1</v>
      </c>
      <c r="AO360" s="1">
        <v>1</v>
      </c>
    </row>
    <row r="361" spans="1:61" x14ac:dyDescent="0.3">
      <c r="A361" s="1" t="s">
        <v>38</v>
      </c>
      <c r="B361" s="7">
        <v>40757</v>
      </c>
      <c r="C361" s="1">
        <v>6</v>
      </c>
      <c r="D361" s="1">
        <v>195</v>
      </c>
      <c r="E361" s="1">
        <v>3</v>
      </c>
      <c r="F361" s="1">
        <v>59</v>
      </c>
      <c r="J361" s="1">
        <v>1</v>
      </c>
    </row>
    <row r="362" spans="1:61" x14ac:dyDescent="0.3">
      <c r="A362" s="1" t="s">
        <v>38</v>
      </c>
      <c r="B362" s="7">
        <v>40757</v>
      </c>
      <c r="C362" s="1">
        <v>6</v>
      </c>
      <c r="D362" s="1">
        <v>195</v>
      </c>
      <c r="E362" s="1">
        <v>3</v>
      </c>
      <c r="F362" s="1">
        <v>60</v>
      </c>
      <c r="J362" s="1">
        <v>1</v>
      </c>
    </row>
    <row r="363" spans="1:61" x14ac:dyDescent="0.3">
      <c r="A363" s="1" t="s">
        <v>38</v>
      </c>
      <c r="B363" s="7">
        <v>40757</v>
      </c>
      <c r="C363" s="1">
        <v>6</v>
      </c>
      <c r="D363" s="1">
        <v>195</v>
      </c>
      <c r="E363" s="1">
        <v>3</v>
      </c>
      <c r="F363" s="1">
        <v>61</v>
      </c>
      <c r="BI363" s="1">
        <v>1</v>
      </c>
    </row>
    <row r="364" spans="1:61" x14ac:dyDescent="0.3">
      <c r="A364" s="1" t="s">
        <v>38</v>
      </c>
      <c r="B364" s="7">
        <v>40757</v>
      </c>
      <c r="C364" s="1">
        <v>6</v>
      </c>
      <c r="D364" s="1">
        <v>195</v>
      </c>
      <c r="E364" s="1">
        <v>3</v>
      </c>
      <c r="F364" s="1">
        <v>62</v>
      </c>
      <c r="L364" s="3">
        <v>0</v>
      </c>
      <c r="M364" s="3">
        <v>1</v>
      </c>
    </row>
    <row r="365" spans="1:61" x14ac:dyDescent="0.3">
      <c r="A365" s="1" t="s">
        <v>38</v>
      </c>
      <c r="B365" s="7">
        <v>40757</v>
      </c>
      <c r="C365" s="1">
        <v>6</v>
      </c>
      <c r="D365" s="1">
        <v>195</v>
      </c>
      <c r="E365" s="1">
        <v>3</v>
      </c>
      <c r="F365" s="1">
        <v>63</v>
      </c>
    </row>
    <row r="366" spans="1:61" x14ac:dyDescent="0.3">
      <c r="A366" s="1" t="s">
        <v>38</v>
      </c>
      <c r="B366" s="7">
        <v>40757</v>
      </c>
      <c r="C366" s="1">
        <v>6</v>
      </c>
      <c r="D366" s="1">
        <v>195</v>
      </c>
      <c r="E366" s="1">
        <v>3</v>
      </c>
      <c r="F366" s="1">
        <v>64</v>
      </c>
      <c r="J366" s="1">
        <v>1</v>
      </c>
    </row>
    <row r="367" spans="1:61" x14ac:dyDescent="0.3">
      <c r="A367" s="1" t="s">
        <v>38</v>
      </c>
      <c r="B367" s="7">
        <v>40757</v>
      </c>
      <c r="C367" s="1">
        <v>6</v>
      </c>
      <c r="D367" s="1">
        <v>195</v>
      </c>
      <c r="E367" s="1">
        <v>3</v>
      </c>
      <c r="F367" s="1">
        <v>65</v>
      </c>
    </row>
    <row r="368" spans="1:61" x14ac:dyDescent="0.3">
      <c r="A368" s="1" t="s">
        <v>38</v>
      </c>
      <c r="B368" s="7">
        <v>40757</v>
      </c>
      <c r="C368" s="1">
        <v>6</v>
      </c>
      <c r="D368" s="1">
        <v>195</v>
      </c>
      <c r="E368" s="1">
        <v>3</v>
      </c>
      <c r="F368" s="1">
        <v>66</v>
      </c>
      <c r="AB368" s="1">
        <v>1</v>
      </c>
    </row>
    <row r="369" spans="1:86" x14ac:dyDescent="0.3">
      <c r="A369" s="1" t="s">
        <v>38</v>
      </c>
      <c r="B369" s="7">
        <v>40757</v>
      </c>
      <c r="C369" s="1">
        <v>6</v>
      </c>
      <c r="D369" s="1">
        <v>195</v>
      </c>
      <c r="E369" s="1">
        <v>3</v>
      </c>
      <c r="F369" s="1">
        <v>67</v>
      </c>
      <c r="J369" s="1">
        <v>1</v>
      </c>
    </row>
    <row r="370" spans="1:86" x14ac:dyDescent="0.3">
      <c r="A370" s="1" t="s">
        <v>38</v>
      </c>
      <c r="B370" s="7">
        <v>40757</v>
      </c>
      <c r="C370" s="1">
        <v>6</v>
      </c>
      <c r="D370" s="1">
        <v>195</v>
      </c>
      <c r="E370" s="1">
        <v>3</v>
      </c>
      <c r="F370" s="1">
        <v>68</v>
      </c>
      <c r="J370" s="1">
        <v>1</v>
      </c>
    </row>
    <row r="371" spans="1:86" x14ac:dyDescent="0.3">
      <c r="A371" s="1" t="s">
        <v>38</v>
      </c>
      <c r="B371" s="7">
        <v>40757</v>
      </c>
      <c r="C371" s="1">
        <v>6</v>
      </c>
      <c r="D371" s="1">
        <v>195</v>
      </c>
      <c r="E371" s="1">
        <v>3</v>
      </c>
      <c r="F371" s="1">
        <v>69</v>
      </c>
      <c r="J371" s="1">
        <v>1</v>
      </c>
    </row>
    <row r="372" spans="1:86" x14ac:dyDescent="0.3">
      <c r="A372" s="1" t="s">
        <v>38</v>
      </c>
      <c r="B372" s="7">
        <v>40757</v>
      </c>
      <c r="C372" s="1">
        <v>6</v>
      </c>
      <c r="D372" s="1">
        <v>195</v>
      </c>
      <c r="E372" s="1">
        <v>3</v>
      </c>
      <c r="F372" s="1">
        <v>70</v>
      </c>
      <c r="J372" s="1">
        <v>1</v>
      </c>
      <c r="V372" s="1">
        <v>1</v>
      </c>
    </row>
    <row r="373" spans="1:86" x14ac:dyDescent="0.3">
      <c r="A373" s="1" t="s">
        <v>38</v>
      </c>
      <c r="B373" s="7">
        <v>40757</v>
      </c>
      <c r="C373" s="1">
        <v>6</v>
      </c>
      <c r="D373" s="1">
        <v>195</v>
      </c>
      <c r="E373" s="1">
        <v>3</v>
      </c>
      <c r="F373" s="1">
        <v>71</v>
      </c>
    </row>
    <row r="374" spans="1:86" x14ac:dyDescent="0.3">
      <c r="A374" s="1" t="s">
        <v>38</v>
      </c>
      <c r="B374" s="7">
        <v>40757</v>
      </c>
      <c r="C374" s="1">
        <v>6</v>
      </c>
      <c r="D374" s="1">
        <v>195</v>
      </c>
      <c r="E374" s="1">
        <v>3</v>
      </c>
      <c r="F374" s="1">
        <v>72</v>
      </c>
      <c r="AB374" s="1">
        <v>1</v>
      </c>
    </row>
    <row r="375" spans="1:86" x14ac:dyDescent="0.3">
      <c r="A375" s="1" t="s">
        <v>38</v>
      </c>
      <c r="B375" s="7">
        <v>40757</v>
      </c>
      <c r="C375" s="1">
        <v>6</v>
      </c>
      <c r="D375" s="1">
        <v>195</v>
      </c>
      <c r="E375" s="1">
        <v>3</v>
      </c>
      <c r="F375" s="1">
        <v>73</v>
      </c>
    </row>
    <row r="376" spans="1:86" x14ac:dyDescent="0.3">
      <c r="A376" s="1" t="s">
        <v>38</v>
      </c>
      <c r="B376" s="7">
        <v>40757</v>
      </c>
      <c r="C376" s="1">
        <v>6</v>
      </c>
      <c r="D376" s="1">
        <v>195</v>
      </c>
      <c r="E376" s="1">
        <v>3</v>
      </c>
      <c r="F376" s="1">
        <v>74</v>
      </c>
      <c r="J376" s="1">
        <v>1</v>
      </c>
    </row>
    <row r="377" spans="1:86" x14ac:dyDescent="0.3">
      <c r="A377" s="1" t="s">
        <v>38</v>
      </c>
      <c r="B377" s="7">
        <v>40757</v>
      </c>
      <c r="C377" s="1">
        <v>6</v>
      </c>
      <c r="D377" s="1">
        <v>195</v>
      </c>
      <c r="E377" s="1">
        <v>3</v>
      </c>
      <c r="F377" s="1">
        <v>75</v>
      </c>
      <c r="CH377" s="1">
        <v>1</v>
      </c>
    </row>
    <row r="378" spans="1:86" x14ac:dyDescent="0.3">
      <c r="A378" s="1" t="s">
        <v>38</v>
      </c>
      <c r="B378" s="7">
        <v>40757</v>
      </c>
      <c r="C378" s="1">
        <v>6</v>
      </c>
      <c r="D378" s="1">
        <v>195</v>
      </c>
      <c r="E378" s="1">
        <v>3</v>
      </c>
      <c r="F378" s="1">
        <v>76</v>
      </c>
    </row>
    <row r="379" spans="1:86" x14ac:dyDescent="0.3">
      <c r="A379" s="1" t="s">
        <v>38</v>
      </c>
      <c r="B379" s="7">
        <v>40757</v>
      </c>
      <c r="C379" s="1">
        <v>6</v>
      </c>
      <c r="D379" s="1">
        <v>195</v>
      </c>
      <c r="E379" s="1">
        <v>3</v>
      </c>
      <c r="F379" s="1">
        <v>77</v>
      </c>
      <c r="J379" s="3">
        <v>0</v>
      </c>
      <c r="K379" s="3">
        <v>1</v>
      </c>
    </row>
    <row r="380" spans="1:86" x14ac:dyDescent="0.3">
      <c r="A380" s="1" t="s">
        <v>38</v>
      </c>
      <c r="B380" s="7">
        <v>40757</v>
      </c>
      <c r="C380" s="1">
        <v>6</v>
      </c>
      <c r="D380" s="1">
        <v>195</v>
      </c>
      <c r="E380" s="1">
        <v>3</v>
      </c>
      <c r="F380" s="1">
        <v>78</v>
      </c>
      <c r="J380" s="1">
        <v>1</v>
      </c>
      <c r="L380" s="1">
        <v>1</v>
      </c>
    </row>
    <row r="381" spans="1:86" x14ac:dyDescent="0.3">
      <c r="A381" s="1" t="s">
        <v>38</v>
      </c>
      <c r="B381" s="7">
        <v>40757</v>
      </c>
      <c r="C381" s="1">
        <v>6</v>
      </c>
      <c r="D381" s="1">
        <v>195</v>
      </c>
      <c r="E381" s="1">
        <v>3</v>
      </c>
      <c r="F381" s="1">
        <v>79</v>
      </c>
      <c r="H381" s="1">
        <v>1</v>
      </c>
      <c r="J381" s="3">
        <v>0</v>
      </c>
      <c r="K381" s="3">
        <v>1</v>
      </c>
    </row>
    <row r="382" spans="1:86" x14ac:dyDescent="0.3">
      <c r="A382" s="1" t="s">
        <v>38</v>
      </c>
      <c r="B382" s="7">
        <v>40757</v>
      </c>
      <c r="C382" s="1">
        <v>6</v>
      </c>
      <c r="D382" s="1">
        <v>195</v>
      </c>
      <c r="E382" s="1">
        <v>3</v>
      </c>
      <c r="F382" s="1">
        <v>80</v>
      </c>
      <c r="J382" s="1">
        <v>1</v>
      </c>
    </row>
    <row r="383" spans="1:86" x14ac:dyDescent="0.3">
      <c r="A383" s="1" t="s">
        <v>38</v>
      </c>
      <c r="B383" s="7">
        <v>40757</v>
      </c>
      <c r="C383" s="1">
        <v>6</v>
      </c>
      <c r="D383" s="1">
        <v>195</v>
      </c>
      <c r="E383" s="1">
        <v>3</v>
      </c>
      <c r="F383" s="1">
        <v>81</v>
      </c>
      <c r="AO383" s="1">
        <v>1</v>
      </c>
    </row>
    <row r="384" spans="1:86" x14ac:dyDescent="0.3">
      <c r="A384" s="1" t="s">
        <v>38</v>
      </c>
      <c r="B384" s="7">
        <v>40757</v>
      </c>
      <c r="C384" s="1">
        <v>6</v>
      </c>
      <c r="D384" s="1">
        <v>195</v>
      </c>
      <c r="E384" s="1">
        <v>3</v>
      </c>
      <c r="F384" s="1">
        <v>82</v>
      </c>
      <c r="AO384" s="1">
        <v>1</v>
      </c>
    </row>
    <row r="385" spans="1:63" x14ac:dyDescent="0.3">
      <c r="A385" s="1" t="s">
        <v>38</v>
      </c>
      <c r="B385" s="7">
        <v>40757</v>
      </c>
      <c r="C385" s="1">
        <v>6</v>
      </c>
      <c r="D385" s="1">
        <v>195</v>
      </c>
      <c r="E385" s="1">
        <v>3</v>
      </c>
      <c r="F385" s="1">
        <v>83</v>
      </c>
    </row>
    <row r="386" spans="1:63" x14ac:dyDescent="0.3">
      <c r="A386" s="1" t="s">
        <v>38</v>
      </c>
      <c r="B386" s="7">
        <v>40757</v>
      </c>
      <c r="C386" s="1">
        <v>6</v>
      </c>
      <c r="D386" s="1">
        <v>195</v>
      </c>
      <c r="E386" s="1">
        <v>3</v>
      </c>
      <c r="F386" s="1">
        <v>84</v>
      </c>
      <c r="J386" s="1">
        <v>1</v>
      </c>
      <c r="AB386" s="1">
        <v>1</v>
      </c>
    </row>
    <row r="387" spans="1:63" x14ac:dyDescent="0.3">
      <c r="A387" s="1" t="s">
        <v>38</v>
      </c>
      <c r="B387" s="7">
        <v>40757</v>
      </c>
      <c r="C387" s="1">
        <v>6</v>
      </c>
      <c r="D387" s="1">
        <v>195</v>
      </c>
      <c r="E387" s="1">
        <v>3</v>
      </c>
      <c r="F387" s="1">
        <v>85</v>
      </c>
      <c r="J387" s="1">
        <v>1</v>
      </c>
      <c r="AO387" s="1">
        <v>1</v>
      </c>
    </row>
    <row r="388" spans="1:63" x14ac:dyDescent="0.3">
      <c r="A388" s="1" t="s">
        <v>38</v>
      </c>
      <c r="B388" s="7">
        <v>40757</v>
      </c>
      <c r="C388" s="1">
        <v>6</v>
      </c>
      <c r="D388" s="1">
        <v>195</v>
      </c>
      <c r="E388" s="1">
        <v>3</v>
      </c>
      <c r="F388" s="1">
        <v>86</v>
      </c>
      <c r="AO388" s="1">
        <v>1</v>
      </c>
    </row>
    <row r="389" spans="1:63" x14ac:dyDescent="0.3">
      <c r="A389" s="1" t="s">
        <v>38</v>
      </c>
      <c r="B389" s="7">
        <v>40757</v>
      </c>
      <c r="C389" s="1">
        <v>6</v>
      </c>
      <c r="D389" s="1">
        <v>195</v>
      </c>
      <c r="E389" s="1">
        <v>3</v>
      </c>
      <c r="F389" s="1">
        <v>87</v>
      </c>
      <c r="J389" s="1">
        <v>1</v>
      </c>
    </row>
    <row r="390" spans="1:63" x14ac:dyDescent="0.3">
      <c r="A390" s="1" t="s">
        <v>38</v>
      </c>
      <c r="B390" s="7">
        <v>40757</v>
      </c>
      <c r="C390" s="1">
        <v>6</v>
      </c>
      <c r="D390" s="1">
        <v>195</v>
      </c>
      <c r="E390" s="1">
        <v>3</v>
      </c>
      <c r="F390" s="1">
        <v>88</v>
      </c>
      <c r="J390" s="1">
        <v>1</v>
      </c>
      <c r="AO390" s="3">
        <v>0</v>
      </c>
      <c r="AP390" s="3">
        <v>1</v>
      </c>
    </row>
    <row r="391" spans="1:63" x14ac:dyDescent="0.3">
      <c r="A391" s="1" t="s">
        <v>38</v>
      </c>
      <c r="B391" s="7">
        <v>40757</v>
      </c>
      <c r="C391" s="1">
        <v>6</v>
      </c>
      <c r="D391" s="1">
        <v>195</v>
      </c>
      <c r="E391" s="1">
        <v>3</v>
      </c>
      <c r="F391" s="1">
        <v>89</v>
      </c>
      <c r="J391" s="1">
        <v>1</v>
      </c>
    </row>
    <row r="392" spans="1:63" x14ac:dyDescent="0.3">
      <c r="A392" s="1" t="s">
        <v>38</v>
      </c>
      <c r="B392" s="7">
        <v>40757</v>
      </c>
      <c r="C392" s="1">
        <v>6</v>
      </c>
      <c r="D392" s="1">
        <v>195</v>
      </c>
      <c r="E392" s="1">
        <v>3</v>
      </c>
      <c r="F392" s="1">
        <v>90</v>
      </c>
      <c r="J392" s="1">
        <v>1</v>
      </c>
    </row>
    <row r="393" spans="1:63" x14ac:dyDescent="0.3">
      <c r="A393" s="1" t="s">
        <v>38</v>
      </c>
      <c r="B393" s="7">
        <v>40757</v>
      </c>
      <c r="C393" s="1">
        <v>6</v>
      </c>
      <c r="D393" s="1">
        <v>195</v>
      </c>
      <c r="E393" s="1">
        <v>3</v>
      </c>
      <c r="F393" s="1">
        <v>91</v>
      </c>
    </row>
    <row r="394" spans="1:63" x14ac:dyDescent="0.3">
      <c r="A394" s="1" t="s">
        <v>38</v>
      </c>
      <c r="B394" s="7">
        <v>40757</v>
      </c>
      <c r="C394" s="1">
        <v>6</v>
      </c>
      <c r="D394" s="1">
        <v>195</v>
      </c>
      <c r="E394" s="1">
        <v>3</v>
      </c>
      <c r="F394" s="1">
        <v>92</v>
      </c>
    </row>
    <row r="395" spans="1:63" x14ac:dyDescent="0.3">
      <c r="A395" s="1" t="s">
        <v>38</v>
      </c>
      <c r="B395" s="7">
        <v>40757</v>
      </c>
      <c r="C395" s="1">
        <v>6</v>
      </c>
      <c r="D395" s="1">
        <v>195</v>
      </c>
      <c r="E395" s="1">
        <v>3</v>
      </c>
      <c r="F395" s="1">
        <v>93</v>
      </c>
      <c r="AO395" s="1">
        <v>1</v>
      </c>
    </row>
    <row r="396" spans="1:63" x14ac:dyDescent="0.3">
      <c r="A396" s="1" t="s">
        <v>38</v>
      </c>
      <c r="B396" s="7">
        <v>40757</v>
      </c>
      <c r="C396" s="1">
        <v>6</v>
      </c>
      <c r="D396" s="1">
        <v>195</v>
      </c>
      <c r="E396" s="1">
        <v>3</v>
      </c>
      <c r="F396" s="1">
        <v>94</v>
      </c>
      <c r="AO396" s="1">
        <v>1</v>
      </c>
    </row>
    <row r="397" spans="1:63" x14ac:dyDescent="0.3">
      <c r="A397" s="1" t="s">
        <v>38</v>
      </c>
      <c r="B397" s="7">
        <v>40757</v>
      </c>
      <c r="C397" s="1">
        <v>6</v>
      </c>
      <c r="D397" s="1">
        <v>195</v>
      </c>
      <c r="E397" s="1">
        <v>3</v>
      </c>
      <c r="F397" s="1">
        <v>95</v>
      </c>
      <c r="BK397" s="1">
        <v>1</v>
      </c>
    </row>
    <row r="398" spans="1:63" x14ac:dyDescent="0.3">
      <c r="A398" s="1" t="s">
        <v>38</v>
      </c>
      <c r="B398" s="7">
        <v>40757</v>
      </c>
      <c r="C398" s="1">
        <v>6</v>
      </c>
      <c r="D398" s="1">
        <v>195</v>
      </c>
      <c r="E398" s="1">
        <v>3</v>
      </c>
      <c r="F398" s="1">
        <v>96</v>
      </c>
    </row>
    <row r="399" spans="1:63" x14ac:dyDescent="0.3">
      <c r="A399" s="1" t="s">
        <v>38</v>
      </c>
      <c r="B399" s="7">
        <v>40757</v>
      </c>
      <c r="C399" s="1">
        <v>6</v>
      </c>
      <c r="D399" s="1">
        <v>195</v>
      </c>
      <c r="E399" s="1">
        <v>3</v>
      </c>
      <c r="F399" s="1">
        <v>97</v>
      </c>
      <c r="G399" s="1">
        <v>1</v>
      </c>
    </row>
    <row r="400" spans="1:63" x14ac:dyDescent="0.3">
      <c r="A400" s="1" t="s">
        <v>38</v>
      </c>
      <c r="B400" s="7">
        <v>40757</v>
      </c>
      <c r="C400" s="1">
        <v>6</v>
      </c>
      <c r="D400" s="1">
        <v>195</v>
      </c>
      <c r="E400" s="1">
        <v>3</v>
      </c>
      <c r="F400" s="1">
        <v>98</v>
      </c>
      <c r="J400" s="1">
        <v>1</v>
      </c>
    </row>
    <row r="401" spans="1:90" x14ac:dyDescent="0.3">
      <c r="A401" s="1" t="s">
        <v>38</v>
      </c>
      <c r="B401" s="7">
        <v>40757</v>
      </c>
      <c r="C401" s="1">
        <v>6</v>
      </c>
      <c r="D401" s="1">
        <v>195</v>
      </c>
      <c r="E401" s="1">
        <v>3</v>
      </c>
      <c r="F401" s="1">
        <v>99</v>
      </c>
      <c r="J401" s="3">
        <v>0</v>
      </c>
      <c r="K401" s="3">
        <v>1</v>
      </c>
    </row>
    <row r="402" spans="1:90" x14ac:dyDescent="0.3">
      <c r="A402" s="1" t="s">
        <v>38</v>
      </c>
      <c r="B402" s="7">
        <v>40757</v>
      </c>
      <c r="C402" s="1">
        <v>6</v>
      </c>
      <c r="D402" s="1">
        <v>195</v>
      </c>
      <c r="E402" s="1">
        <v>3</v>
      </c>
      <c r="F402" s="1">
        <v>100</v>
      </c>
    </row>
    <row r="403" spans="1:90" s="12" customFormat="1" x14ac:dyDescent="0.3">
      <c r="A403" s="14" t="s">
        <v>38</v>
      </c>
      <c r="B403" s="13"/>
      <c r="G403" s="12">
        <f>SUM(G203:G402)</f>
        <v>20</v>
      </c>
      <c r="H403" s="12">
        <f t="shared" ref="H403" si="27">SUM(H203:H402)</f>
        <v>17</v>
      </c>
      <c r="I403" s="12">
        <f t="shared" ref="I403" si="28">SUM(I203:I402)</f>
        <v>18</v>
      </c>
      <c r="J403" s="12">
        <f t="shared" ref="J403" si="29">SUM(J203:J402)</f>
        <v>71</v>
      </c>
      <c r="K403" s="12">
        <f t="shared" ref="K403" si="30">SUM(K203:K402)</f>
        <v>11</v>
      </c>
      <c r="L403" s="12">
        <f t="shared" ref="L403" si="31">SUM(L203:L402)</f>
        <v>22</v>
      </c>
      <c r="M403" s="12">
        <f t="shared" ref="M403" si="32">SUM(M203:M402)</f>
        <v>1</v>
      </c>
      <c r="N403" s="12">
        <f t="shared" ref="N403" si="33">SUM(N203:N402)</f>
        <v>4</v>
      </c>
      <c r="O403" s="12">
        <f t="shared" ref="O403" si="34">SUM(O203:O402)</f>
        <v>0</v>
      </c>
      <c r="P403" s="12">
        <f t="shared" ref="P403" si="35">SUM(P203:P402)</f>
        <v>0</v>
      </c>
      <c r="Q403" s="12">
        <f t="shared" ref="Q403" si="36">SUM(Q203:Q402)</f>
        <v>0</v>
      </c>
      <c r="R403" s="12">
        <f t="shared" ref="R403" si="37">SUM(R203:R402)</f>
        <v>3</v>
      </c>
      <c r="S403" s="12">
        <f t="shared" ref="S403" si="38">SUM(S203:S402)</f>
        <v>0</v>
      </c>
      <c r="T403" s="12">
        <f t="shared" ref="T403" si="39">SUM(T203:T402)</f>
        <v>6</v>
      </c>
      <c r="U403" s="12">
        <f t="shared" ref="U403" si="40">SUM(U203:U402)</f>
        <v>0</v>
      </c>
      <c r="V403" s="12">
        <f t="shared" ref="V403" si="41">SUM(V203:V402)</f>
        <v>1</v>
      </c>
      <c r="W403" s="12">
        <f t="shared" ref="W403" si="42">SUM(W203:W402)</f>
        <v>1</v>
      </c>
      <c r="X403" s="12">
        <f t="shared" ref="X403" si="43">SUM(X203:X402)</f>
        <v>0</v>
      </c>
      <c r="Y403" s="12">
        <f t="shared" ref="Y403" si="44">SUM(Y203:Y402)</f>
        <v>0</v>
      </c>
      <c r="Z403" s="12">
        <f t="shared" ref="Z403" si="45">SUM(Z203:Z402)</f>
        <v>0</v>
      </c>
      <c r="AA403" s="12">
        <f t="shared" ref="AA403" si="46">SUM(AA203:AA402)</f>
        <v>0</v>
      </c>
      <c r="AB403" s="12">
        <f t="shared" ref="AB403" si="47">SUM(AB203:AB402)</f>
        <v>13</v>
      </c>
      <c r="AC403" s="12">
        <f t="shared" ref="AC403" si="48">SUM(AC203:AC402)</f>
        <v>0</v>
      </c>
      <c r="AD403" s="12">
        <f t="shared" ref="AD403" si="49">SUM(AD203:AD402)</f>
        <v>0</v>
      </c>
      <c r="AE403" s="12">
        <f t="shared" ref="AE403" si="50">SUM(AE203:AE402)</f>
        <v>0</v>
      </c>
      <c r="AF403" s="12">
        <f t="shared" ref="AF403" si="51">SUM(AF203:AF402)</f>
        <v>0</v>
      </c>
      <c r="AG403" s="12">
        <f t="shared" ref="AG403" si="52">SUM(AG203:AG402)</f>
        <v>0</v>
      </c>
      <c r="AH403" s="12">
        <f t="shared" ref="AH403" si="53">SUM(AH203:AH402)</f>
        <v>0</v>
      </c>
      <c r="AI403" s="12">
        <f t="shared" ref="AI403" si="54">SUM(AI203:AI402)</f>
        <v>2</v>
      </c>
      <c r="AJ403" s="12">
        <f t="shared" ref="AJ403" si="55">SUM(AJ203:AJ402)</f>
        <v>1</v>
      </c>
      <c r="AK403" s="12">
        <f t="shared" ref="AK403" si="56">SUM(AK203:AK402)</f>
        <v>0</v>
      </c>
      <c r="AL403" s="12">
        <f t="shared" ref="AL403" si="57">SUM(AL203:AL402)</f>
        <v>0</v>
      </c>
      <c r="AM403" s="12">
        <f t="shared" ref="AM403" si="58">SUM(AM203:AM402)</f>
        <v>7</v>
      </c>
      <c r="AN403" s="12">
        <f t="shared" ref="AN403" si="59">SUM(AN203:AN402)</f>
        <v>1</v>
      </c>
      <c r="AO403" s="12">
        <f t="shared" ref="AO403" si="60">SUM(AO203:AO402)</f>
        <v>11</v>
      </c>
      <c r="AP403" s="12">
        <f t="shared" ref="AP403" si="61">SUM(AP203:AP402)</f>
        <v>1</v>
      </c>
      <c r="AQ403" s="12">
        <f t="shared" ref="AQ403" si="62">SUM(AQ203:AQ402)</f>
        <v>37</v>
      </c>
      <c r="AR403" s="12">
        <f t="shared" ref="AR403" si="63">SUM(AR203:AR402)</f>
        <v>1</v>
      </c>
      <c r="AS403" s="12">
        <f t="shared" ref="AS403" si="64">SUM(AS203:AS402)</f>
        <v>0</v>
      </c>
      <c r="AT403" s="12">
        <f t="shared" ref="AT403" si="65">SUM(AT203:AT402)</f>
        <v>0</v>
      </c>
      <c r="AU403" s="12">
        <f t="shared" ref="AU403" si="66">SUM(AU203:AU402)</f>
        <v>2</v>
      </c>
      <c r="AV403" s="12">
        <f t="shared" ref="AV403" si="67">SUM(AV203:AV402)</f>
        <v>0</v>
      </c>
      <c r="AW403" s="12">
        <f t="shared" ref="AW403" si="68">SUM(AW203:AW402)</f>
        <v>0</v>
      </c>
      <c r="AX403" s="12">
        <f t="shared" ref="AX403" si="69">SUM(AX203:AX402)</f>
        <v>0</v>
      </c>
      <c r="AY403" s="12">
        <f t="shared" ref="AY403" si="70">SUM(AY203:AY402)</f>
        <v>1</v>
      </c>
      <c r="AZ403" s="12">
        <f t="shared" ref="AZ403" si="71">SUM(AZ203:AZ402)</f>
        <v>0</v>
      </c>
      <c r="BA403" s="12">
        <f t="shared" ref="BA403" si="72">SUM(BA203:BA402)</f>
        <v>0</v>
      </c>
      <c r="BB403" s="12">
        <f t="shared" ref="BB403" si="73">SUM(BB203:BB402)</f>
        <v>0</v>
      </c>
      <c r="BC403" s="12">
        <f t="shared" ref="BC403" si="74">SUM(BC203:BC402)</f>
        <v>0</v>
      </c>
      <c r="BD403" s="12">
        <f t="shared" ref="BD403" si="75">SUM(BD203:BD402)</f>
        <v>0</v>
      </c>
      <c r="BE403" s="12">
        <f t="shared" ref="BE403" si="76">SUM(BE203:BE402)</f>
        <v>0</v>
      </c>
      <c r="BF403" s="12">
        <f t="shared" ref="BF403" si="77">SUM(BF203:BF402)</f>
        <v>0</v>
      </c>
      <c r="BG403" s="12">
        <f t="shared" ref="BG403" si="78">SUM(BG203:BG402)</f>
        <v>0</v>
      </c>
      <c r="BH403" s="12">
        <f t="shared" ref="BH403" si="79">SUM(BH203:BH402)</f>
        <v>0</v>
      </c>
      <c r="BI403" s="12">
        <f t="shared" ref="BI403" si="80">SUM(BI203:BI402)</f>
        <v>5</v>
      </c>
      <c r="BJ403" s="12">
        <f t="shared" ref="BJ403" si="81">SUM(BJ203:BJ402)</f>
        <v>0</v>
      </c>
      <c r="BK403" s="12">
        <f t="shared" ref="BK403" si="82">SUM(BK203:BK402)</f>
        <v>4</v>
      </c>
      <c r="BL403" s="12">
        <f t="shared" ref="BL403" si="83">SUM(BL203:BL402)</f>
        <v>0</v>
      </c>
      <c r="BM403" s="12">
        <f t="shared" ref="BM403" si="84">SUM(BM203:BM402)</f>
        <v>0</v>
      </c>
      <c r="BN403" s="12">
        <f t="shared" ref="BN403" si="85">SUM(BN203:BN402)</f>
        <v>0</v>
      </c>
      <c r="BO403" s="12">
        <f t="shared" ref="BO403" si="86">SUM(BO203:BO402)</f>
        <v>0</v>
      </c>
      <c r="BP403" s="12">
        <f t="shared" ref="BP403" si="87">SUM(BP203:BP402)</f>
        <v>0</v>
      </c>
      <c r="BQ403" s="12">
        <f t="shared" ref="BQ403" si="88">SUM(BQ203:BQ402)</f>
        <v>0</v>
      </c>
      <c r="BR403" s="12">
        <f t="shared" ref="BR403" si="89">SUM(BR203:BR402)</f>
        <v>0</v>
      </c>
      <c r="BS403" s="12">
        <f t="shared" ref="BS403" si="90">SUM(BS203:BS402)</f>
        <v>0</v>
      </c>
      <c r="BT403" s="12">
        <f t="shared" ref="BT403" si="91">SUM(BT203:BT402)</f>
        <v>0</v>
      </c>
      <c r="BU403" s="12">
        <f t="shared" ref="BU403" si="92">SUM(BU203:BU402)</f>
        <v>0</v>
      </c>
      <c r="BV403" s="12">
        <f t="shared" ref="BV403" si="93">SUM(BV203:BV402)</f>
        <v>0</v>
      </c>
      <c r="BW403" s="12">
        <f t="shared" ref="BW403" si="94">SUM(BW203:BW402)</f>
        <v>0</v>
      </c>
      <c r="BX403" s="12">
        <f t="shared" ref="BX403" si="95">SUM(BX203:BX402)</f>
        <v>0</v>
      </c>
      <c r="BY403" s="12">
        <f t="shared" ref="BY403" si="96">SUM(BY203:BY402)</f>
        <v>0</v>
      </c>
      <c r="BZ403" s="12">
        <f t="shared" ref="BZ403" si="97">SUM(BZ203:BZ402)</f>
        <v>0</v>
      </c>
      <c r="CA403" s="12">
        <f t="shared" ref="CA403" si="98">SUM(CA203:CA402)</f>
        <v>0</v>
      </c>
      <c r="CB403" s="12">
        <f t="shared" ref="CB403" si="99">SUM(CB203:CB402)</f>
        <v>0</v>
      </c>
      <c r="CC403" s="12">
        <f t="shared" ref="CC403" si="100">SUM(CC203:CC402)</f>
        <v>0</v>
      </c>
      <c r="CD403" s="12">
        <f t="shared" ref="CD403" si="101">SUM(CD203:CD402)</f>
        <v>0</v>
      </c>
      <c r="CE403" s="12">
        <f t="shared" ref="CE403" si="102">SUM(CE203:CE402)</f>
        <v>0</v>
      </c>
      <c r="CF403" s="12">
        <f t="shared" ref="CF403" si="103">SUM(CF203:CF402)</f>
        <v>0</v>
      </c>
      <c r="CG403" s="12">
        <f t="shared" ref="CG403" si="104">SUM(CG203:CG402)</f>
        <v>0</v>
      </c>
      <c r="CH403" s="12">
        <f t="shared" ref="CH403" si="105">SUM(CH203:CH402)</f>
        <v>1</v>
      </c>
      <c r="CI403" s="12">
        <f t="shared" ref="CI403" si="106">SUM(CI203:CI402)</f>
        <v>0</v>
      </c>
      <c r="CJ403" s="12">
        <f t="shared" ref="CJ403" si="107">SUM(CJ203:CJ402)</f>
        <v>0</v>
      </c>
      <c r="CK403" s="12">
        <f t="shared" ref="CK403" si="108">SUM(CK203:CK402)</f>
        <v>0</v>
      </c>
      <c r="CL403" s="12">
        <f t="shared" ref="CL403" si="109">SUM(CL203:CL402)</f>
        <v>0</v>
      </c>
    </row>
    <row r="404" spans="1:90" x14ac:dyDescent="0.3">
      <c r="A404" s="1" t="s">
        <v>118</v>
      </c>
      <c r="B404" s="7">
        <v>40757</v>
      </c>
      <c r="C404" s="1">
        <v>7</v>
      </c>
      <c r="D404" s="1">
        <v>107</v>
      </c>
      <c r="E404" s="1">
        <v>4</v>
      </c>
      <c r="F404" s="1">
        <v>1</v>
      </c>
      <c r="J404" s="3">
        <v>0</v>
      </c>
      <c r="K404" s="3">
        <v>1</v>
      </c>
      <c r="L404" s="1">
        <v>1</v>
      </c>
      <c r="T404" s="1">
        <v>1</v>
      </c>
    </row>
    <row r="405" spans="1:90" x14ac:dyDescent="0.3">
      <c r="A405" s="1" t="s">
        <v>118</v>
      </c>
      <c r="B405" s="7">
        <v>40757</v>
      </c>
      <c r="C405" s="1">
        <v>7</v>
      </c>
      <c r="D405" s="1">
        <v>107</v>
      </c>
      <c r="E405" s="1">
        <v>4</v>
      </c>
      <c r="F405" s="1">
        <v>2</v>
      </c>
      <c r="J405" s="1">
        <v>1</v>
      </c>
    </row>
    <row r="406" spans="1:90" x14ac:dyDescent="0.3">
      <c r="A406" s="1" t="s">
        <v>118</v>
      </c>
      <c r="B406" s="7">
        <v>40757</v>
      </c>
      <c r="C406" s="1">
        <v>7</v>
      </c>
      <c r="D406" s="1">
        <v>107</v>
      </c>
      <c r="E406" s="1">
        <v>4</v>
      </c>
      <c r="F406" s="1">
        <v>3</v>
      </c>
      <c r="J406" s="1">
        <v>1</v>
      </c>
      <c r="T406" s="1">
        <v>1</v>
      </c>
    </row>
    <row r="407" spans="1:90" x14ac:dyDescent="0.3">
      <c r="A407" s="1" t="s">
        <v>118</v>
      </c>
      <c r="B407" s="7">
        <v>40757</v>
      </c>
      <c r="C407" s="1">
        <v>7</v>
      </c>
      <c r="D407" s="1">
        <v>107</v>
      </c>
      <c r="E407" s="1">
        <v>4</v>
      </c>
      <c r="F407" s="1">
        <v>4</v>
      </c>
      <c r="J407" s="1">
        <v>1</v>
      </c>
    </row>
    <row r="408" spans="1:90" x14ac:dyDescent="0.3">
      <c r="A408" s="1" t="s">
        <v>118</v>
      </c>
      <c r="B408" s="7">
        <v>40757</v>
      </c>
      <c r="C408" s="1">
        <v>7</v>
      </c>
      <c r="D408" s="1">
        <v>107</v>
      </c>
      <c r="E408" s="1">
        <v>4</v>
      </c>
      <c r="F408" s="1">
        <v>5</v>
      </c>
      <c r="J408" s="1">
        <v>1</v>
      </c>
    </row>
    <row r="409" spans="1:90" x14ac:dyDescent="0.3">
      <c r="A409" s="1" t="s">
        <v>118</v>
      </c>
      <c r="B409" s="7">
        <v>40757</v>
      </c>
      <c r="C409" s="1">
        <v>7</v>
      </c>
      <c r="D409" s="1">
        <v>107</v>
      </c>
      <c r="E409" s="1">
        <v>4</v>
      </c>
      <c r="F409" s="1">
        <v>6</v>
      </c>
      <c r="J409" s="3">
        <v>0</v>
      </c>
      <c r="K409" s="3">
        <v>1</v>
      </c>
      <c r="T409" s="1">
        <v>1</v>
      </c>
    </row>
    <row r="410" spans="1:90" x14ac:dyDescent="0.3">
      <c r="A410" s="1" t="s">
        <v>118</v>
      </c>
      <c r="B410" s="7">
        <v>40757</v>
      </c>
      <c r="C410" s="1">
        <v>7</v>
      </c>
      <c r="D410" s="1">
        <v>107</v>
      </c>
      <c r="E410" s="1">
        <v>4</v>
      </c>
      <c r="F410" s="1">
        <v>7</v>
      </c>
    </row>
    <row r="411" spans="1:90" x14ac:dyDescent="0.3">
      <c r="A411" s="1" t="s">
        <v>118</v>
      </c>
      <c r="B411" s="7">
        <v>40757</v>
      </c>
      <c r="C411" s="1">
        <v>7</v>
      </c>
      <c r="D411" s="1">
        <v>107</v>
      </c>
      <c r="E411" s="1">
        <v>4</v>
      </c>
      <c r="F411" s="1">
        <v>8</v>
      </c>
      <c r="T411" s="1">
        <v>1</v>
      </c>
    </row>
    <row r="412" spans="1:90" x14ac:dyDescent="0.3">
      <c r="A412" s="1" t="s">
        <v>118</v>
      </c>
      <c r="B412" s="7">
        <v>40757</v>
      </c>
      <c r="C412" s="1">
        <v>7</v>
      </c>
      <c r="D412" s="1">
        <v>107</v>
      </c>
      <c r="E412" s="1">
        <v>4</v>
      </c>
      <c r="F412" s="1">
        <v>9</v>
      </c>
      <c r="AB412" s="1">
        <v>1</v>
      </c>
    </row>
    <row r="413" spans="1:90" x14ac:dyDescent="0.3">
      <c r="A413" s="1" t="s">
        <v>118</v>
      </c>
      <c r="B413" s="7">
        <v>40757</v>
      </c>
      <c r="C413" s="1">
        <v>7</v>
      </c>
      <c r="D413" s="1">
        <v>107</v>
      </c>
      <c r="E413" s="1">
        <v>4</v>
      </c>
      <c r="F413" s="1">
        <v>10</v>
      </c>
      <c r="T413" s="1">
        <v>1</v>
      </c>
    </row>
    <row r="414" spans="1:90" x14ac:dyDescent="0.3">
      <c r="A414" s="1" t="s">
        <v>118</v>
      </c>
      <c r="B414" s="7">
        <v>40757</v>
      </c>
      <c r="C414" s="1">
        <v>7</v>
      </c>
      <c r="D414" s="1">
        <v>107</v>
      </c>
      <c r="E414" s="1">
        <v>4</v>
      </c>
      <c r="F414" s="1">
        <v>11</v>
      </c>
      <c r="J414" s="1">
        <v>1</v>
      </c>
    </row>
    <row r="415" spans="1:90" x14ac:dyDescent="0.3">
      <c r="A415" s="1" t="s">
        <v>118</v>
      </c>
      <c r="B415" s="7">
        <v>40757</v>
      </c>
      <c r="C415" s="1">
        <v>7</v>
      </c>
      <c r="D415" s="1">
        <v>107</v>
      </c>
      <c r="E415" s="1">
        <v>4</v>
      </c>
      <c r="F415" s="1">
        <v>12</v>
      </c>
      <c r="J415" s="3">
        <v>0</v>
      </c>
      <c r="K415" s="3">
        <v>1</v>
      </c>
      <c r="T415" s="1">
        <v>1</v>
      </c>
    </row>
    <row r="416" spans="1:90" x14ac:dyDescent="0.3">
      <c r="A416" s="1" t="s">
        <v>118</v>
      </c>
      <c r="B416" s="7">
        <v>40757</v>
      </c>
      <c r="C416" s="1">
        <v>7</v>
      </c>
      <c r="D416" s="1">
        <v>107</v>
      </c>
      <c r="E416" s="1">
        <v>4</v>
      </c>
      <c r="F416" s="1">
        <v>13</v>
      </c>
      <c r="J416" s="1">
        <v>1</v>
      </c>
      <c r="T416" s="1">
        <v>1</v>
      </c>
    </row>
    <row r="417" spans="1:70" x14ac:dyDescent="0.3">
      <c r="A417" s="1" t="s">
        <v>118</v>
      </c>
      <c r="B417" s="7">
        <v>40757</v>
      </c>
      <c r="C417" s="1">
        <v>7</v>
      </c>
      <c r="D417" s="1">
        <v>107</v>
      </c>
      <c r="E417" s="1">
        <v>4</v>
      </c>
      <c r="F417" s="1">
        <v>14</v>
      </c>
      <c r="J417" s="1">
        <v>1</v>
      </c>
    </row>
    <row r="418" spans="1:70" x14ac:dyDescent="0.3">
      <c r="A418" s="1" t="s">
        <v>118</v>
      </c>
      <c r="B418" s="7">
        <v>40757</v>
      </c>
      <c r="C418" s="1">
        <v>7</v>
      </c>
      <c r="D418" s="1">
        <v>107</v>
      </c>
      <c r="E418" s="1">
        <v>4</v>
      </c>
      <c r="F418" s="1">
        <v>15</v>
      </c>
      <c r="T418" s="1">
        <v>1</v>
      </c>
    </row>
    <row r="419" spans="1:70" x14ac:dyDescent="0.3">
      <c r="A419" s="1" t="s">
        <v>118</v>
      </c>
      <c r="B419" s="7">
        <v>40757</v>
      </c>
      <c r="C419" s="1">
        <v>7</v>
      </c>
      <c r="D419" s="1">
        <v>107</v>
      </c>
      <c r="E419" s="1">
        <v>4</v>
      </c>
      <c r="F419" s="1">
        <v>16</v>
      </c>
      <c r="J419" s="1">
        <v>1</v>
      </c>
      <c r="L419" s="1">
        <v>1</v>
      </c>
      <c r="T419" s="1">
        <v>1</v>
      </c>
    </row>
    <row r="420" spans="1:70" x14ac:dyDescent="0.3">
      <c r="A420" s="1" t="s">
        <v>118</v>
      </c>
      <c r="B420" s="7">
        <v>40757</v>
      </c>
      <c r="C420" s="1">
        <v>7</v>
      </c>
      <c r="D420" s="1">
        <v>107</v>
      </c>
      <c r="E420" s="1">
        <v>4</v>
      </c>
      <c r="F420" s="1">
        <v>17</v>
      </c>
      <c r="J420" s="1">
        <v>1</v>
      </c>
    </row>
    <row r="421" spans="1:70" x14ac:dyDescent="0.3">
      <c r="A421" s="1" t="s">
        <v>118</v>
      </c>
      <c r="B421" s="7">
        <v>40757</v>
      </c>
      <c r="C421" s="1">
        <v>7</v>
      </c>
      <c r="D421" s="1">
        <v>107</v>
      </c>
      <c r="E421" s="1">
        <v>4</v>
      </c>
      <c r="F421" s="1">
        <v>18</v>
      </c>
      <c r="J421" s="1">
        <v>1</v>
      </c>
      <c r="AI421" s="1">
        <v>1</v>
      </c>
    </row>
    <row r="422" spans="1:70" x14ac:dyDescent="0.3">
      <c r="A422" s="1" t="s">
        <v>118</v>
      </c>
      <c r="B422" s="7">
        <v>40757</v>
      </c>
      <c r="C422" s="1">
        <v>7</v>
      </c>
      <c r="D422" s="1">
        <v>107</v>
      </c>
      <c r="E422" s="1">
        <v>4</v>
      </c>
      <c r="F422" s="1">
        <v>19</v>
      </c>
      <c r="I422" s="1">
        <v>1</v>
      </c>
      <c r="T422" s="1">
        <v>1</v>
      </c>
      <c r="AB422" s="1">
        <v>1</v>
      </c>
    </row>
    <row r="423" spans="1:70" x14ac:dyDescent="0.3">
      <c r="A423" s="1" t="s">
        <v>118</v>
      </c>
      <c r="B423" s="7">
        <v>40757</v>
      </c>
      <c r="C423" s="1">
        <v>7</v>
      </c>
      <c r="D423" s="1">
        <v>107</v>
      </c>
      <c r="E423" s="1">
        <v>4</v>
      </c>
      <c r="F423" s="1">
        <v>20</v>
      </c>
      <c r="T423" s="1">
        <v>1</v>
      </c>
    </row>
    <row r="424" spans="1:70" x14ac:dyDescent="0.3">
      <c r="A424" s="1" t="s">
        <v>118</v>
      </c>
      <c r="B424" s="7">
        <v>40757</v>
      </c>
      <c r="C424" s="1">
        <v>7</v>
      </c>
      <c r="D424" s="1">
        <v>107</v>
      </c>
      <c r="E424" s="1">
        <v>4</v>
      </c>
      <c r="F424" s="1">
        <v>21</v>
      </c>
      <c r="J424" s="3">
        <v>0</v>
      </c>
      <c r="K424" s="3">
        <v>1</v>
      </c>
      <c r="L424" s="1">
        <v>1</v>
      </c>
      <c r="R424" s="1">
        <v>1</v>
      </c>
    </row>
    <row r="425" spans="1:70" x14ac:dyDescent="0.3">
      <c r="A425" s="1" t="s">
        <v>118</v>
      </c>
      <c r="B425" s="7">
        <v>40757</v>
      </c>
      <c r="C425" s="1">
        <v>7</v>
      </c>
      <c r="D425" s="1">
        <v>107</v>
      </c>
      <c r="E425" s="1">
        <v>4</v>
      </c>
      <c r="F425" s="1">
        <v>22</v>
      </c>
      <c r="J425" s="1">
        <v>1</v>
      </c>
      <c r="T425" s="1">
        <v>1</v>
      </c>
    </row>
    <row r="426" spans="1:70" x14ac:dyDescent="0.3">
      <c r="A426" s="1" t="s">
        <v>118</v>
      </c>
      <c r="B426" s="7">
        <v>40757</v>
      </c>
      <c r="C426" s="1">
        <v>7</v>
      </c>
      <c r="D426" s="1">
        <v>107</v>
      </c>
      <c r="E426" s="1">
        <v>4</v>
      </c>
      <c r="F426" s="1">
        <v>23</v>
      </c>
      <c r="J426" s="1">
        <v>1</v>
      </c>
      <c r="T426" s="1">
        <v>1</v>
      </c>
    </row>
    <row r="427" spans="1:70" x14ac:dyDescent="0.3">
      <c r="A427" s="1" t="s">
        <v>118</v>
      </c>
      <c r="B427" s="7">
        <v>40757</v>
      </c>
      <c r="C427" s="1">
        <v>7</v>
      </c>
      <c r="D427" s="1">
        <v>107</v>
      </c>
      <c r="E427" s="1">
        <v>4</v>
      </c>
      <c r="F427" s="1">
        <v>24</v>
      </c>
      <c r="J427" s="1">
        <v>1</v>
      </c>
    </row>
    <row r="428" spans="1:70" x14ac:dyDescent="0.3">
      <c r="A428" s="1" t="s">
        <v>118</v>
      </c>
      <c r="B428" s="7">
        <v>40757</v>
      </c>
      <c r="C428" s="1">
        <v>7</v>
      </c>
      <c r="D428" s="1">
        <v>107</v>
      </c>
      <c r="E428" s="1">
        <v>4</v>
      </c>
      <c r="F428" s="1">
        <v>25</v>
      </c>
      <c r="J428" s="1">
        <v>1</v>
      </c>
      <c r="T428" s="1">
        <v>1</v>
      </c>
    </row>
    <row r="429" spans="1:70" x14ac:dyDescent="0.3">
      <c r="A429" s="1" t="s">
        <v>118</v>
      </c>
      <c r="B429" s="7">
        <v>40757</v>
      </c>
      <c r="C429" s="1">
        <v>7</v>
      </c>
      <c r="D429" s="1">
        <v>107</v>
      </c>
      <c r="E429" s="1">
        <v>4</v>
      </c>
      <c r="F429" s="1">
        <v>26</v>
      </c>
      <c r="J429" s="1">
        <v>1</v>
      </c>
      <c r="N429" s="1">
        <v>1</v>
      </c>
      <c r="T429" s="1">
        <v>1</v>
      </c>
    </row>
    <row r="430" spans="1:70" x14ac:dyDescent="0.3">
      <c r="A430" s="1" t="s">
        <v>118</v>
      </c>
      <c r="B430" s="7">
        <v>40757</v>
      </c>
      <c r="C430" s="1">
        <v>7</v>
      </c>
      <c r="D430" s="1">
        <v>107</v>
      </c>
      <c r="E430" s="1">
        <v>4</v>
      </c>
      <c r="F430" s="1">
        <v>27</v>
      </c>
      <c r="J430" s="1">
        <v>1</v>
      </c>
      <c r="BR430" s="1">
        <v>1</v>
      </c>
    </row>
    <row r="431" spans="1:70" x14ac:dyDescent="0.3">
      <c r="A431" s="1" t="s">
        <v>118</v>
      </c>
      <c r="B431" s="7">
        <v>40757</v>
      </c>
      <c r="C431" s="1">
        <v>7</v>
      </c>
      <c r="D431" s="1">
        <v>107</v>
      </c>
      <c r="E431" s="1">
        <v>4</v>
      </c>
      <c r="F431" s="1">
        <v>28</v>
      </c>
      <c r="T431" s="1">
        <v>1</v>
      </c>
    </row>
    <row r="432" spans="1:70" x14ac:dyDescent="0.3">
      <c r="A432" s="1" t="s">
        <v>118</v>
      </c>
      <c r="B432" s="7">
        <v>40757</v>
      </c>
      <c r="C432" s="1">
        <v>7</v>
      </c>
      <c r="D432" s="1">
        <v>107</v>
      </c>
      <c r="E432" s="1">
        <v>4</v>
      </c>
      <c r="F432" s="1">
        <v>29</v>
      </c>
      <c r="T432" s="1">
        <v>1</v>
      </c>
    </row>
    <row r="433" spans="1:63" x14ac:dyDescent="0.3">
      <c r="A433" s="1" t="s">
        <v>118</v>
      </c>
      <c r="B433" s="7">
        <v>40757</v>
      </c>
      <c r="C433" s="1">
        <v>7</v>
      </c>
      <c r="D433" s="1">
        <v>107</v>
      </c>
      <c r="E433" s="1">
        <v>4</v>
      </c>
      <c r="F433" s="1">
        <v>30</v>
      </c>
      <c r="T433" s="1">
        <v>1</v>
      </c>
    </row>
    <row r="434" spans="1:63" x14ac:dyDescent="0.3">
      <c r="A434" s="1" t="s">
        <v>118</v>
      </c>
      <c r="B434" s="7">
        <v>40757</v>
      </c>
      <c r="C434" s="1">
        <v>7</v>
      </c>
      <c r="D434" s="1">
        <v>107</v>
      </c>
      <c r="E434" s="1">
        <v>4</v>
      </c>
      <c r="F434" s="1">
        <v>31</v>
      </c>
      <c r="J434" s="1">
        <v>1</v>
      </c>
      <c r="T434" s="1">
        <v>1</v>
      </c>
    </row>
    <row r="435" spans="1:63" x14ac:dyDescent="0.3">
      <c r="A435" s="1" t="s">
        <v>118</v>
      </c>
      <c r="B435" s="7">
        <v>40757</v>
      </c>
      <c r="C435" s="1">
        <v>7</v>
      </c>
      <c r="D435" s="1">
        <v>107</v>
      </c>
      <c r="E435" s="1">
        <v>4</v>
      </c>
      <c r="F435" s="1">
        <v>32</v>
      </c>
      <c r="J435" s="3">
        <v>0</v>
      </c>
      <c r="K435" s="3">
        <v>1</v>
      </c>
      <c r="T435" s="1">
        <v>1</v>
      </c>
    </row>
    <row r="436" spans="1:63" x14ac:dyDescent="0.3">
      <c r="A436" s="1" t="s">
        <v>118</v>
      </c>
      <c r="B436" s="7">
        <v>40757</v>
      </c>
      <c r="C436" s="1">
        <v>7</v>
      </c>
      <c r="D436" s="1">
        <v>107</v>
      </c>
      <c r="E436" s="1">
        <v>4</v>
      </c>
      <c r="F436" s="1">
        <v>33</v>
      </c>
      <c r="J436" s="1">
        <v>1</v>
      </c>
    </row>
    <row r="437" spans="1:63" x14ac:dyDescent="0.3">
      <c r="A437" s="1" t="s">
        <v>118</v>
      </c>
      <c r="B437" s="7">
        <v>40757</v>
      </c>
      <c r="C437" s="1">
        <v>7</v>
      </c>
      <c r="D437" s="1">
        <v>107</v>
      </c>
      <c r="E437" s="1">
        <v>4</v>
      </c>
      <c r="F437" s="1">
        <v>34</v>
      </c>
      <c r="J437" s="1">
        <v>1</v>
      </c>
    </row>
    <row r="438" spans="1:63" x14ac:dyDescent="0.3">
      <c r="A438" s="1" t="s">
        <v>118</v>
      </c>
      <c r="B438" s="7">
        <v>40757</v>
      </c>
      <c r="C438" s="1">
        <v>7</v>
      </c>
      <c r="D438" s="1">
        <v>107</v>
      </c>
      <c r="E438" s="1">
        <v>4</v>
      </c>
      <c r="F438" s="1">
        <v>35</v>
      </c>
      <c r="J438" s="1">
        <v>1</v>
      </c>
      <c r="T438" s="1">
        <v>1</v>
      </c>
    </row>
    <row r="439" spans="1:63" x14ac:dyDescent="0.3">
      <c r="A439" s="1" t="s">
        <v>118</v>
      </c>
      <c r="B439" s="7">
        <v>40757</v>
      </c>
      <c r="C439" s="1">
        <v>7</v>
      </c>
      <c r="D439" s="1">
        <v>107</v>
      </c>
      <c r="E439" s="1">
        <v>4</v>
      </c>
      <c r="F439" s="1">
        <v>36</v>
      </c>
      <c r="J439" s="1">
        <v>1</v>
      </c>
      <c r="T439" s="1">
        <v>1</v>
      </c>
    </row>
    <row r="440" spans="1:63" x14ac:dyDescent="0.3">
      <c r="A440" s="1" t="s">
        <v>118</v>
      </c>
      <c r="B440" s="7">
        <v>40757</v>
      </c>
      <c r="C440" s="1">
        <v>7</v>
      </c>
      <c r="D440" s="1">
        <v>107</v>
      </c>
      <c r="E440" s="1">
        <v>4</v>
      </c>
      <c r="F440" s="1">
        <v>37</v>
      </c>
      <c r="J440" s="1">
        <v>1</v>
      </c>
      <c r="BI440" s="1">
        <v>1</v>
      </c>
    </row>
    <row r="441" spans="1:63" x14ac:dyDescent="0.3">
      <c r="A441" s="1" t="s">
        <v>118</v>
      </c>
      <c r="B441" s="7">
        <v>40757</v>
      </c>
      <c r="C441" s="1">
        <v>7</v>
      </c>
      <c r="D441" s="1">
        <v>107</v>
      </c>
      <c r="E441" s="1">
        <v>4</v>
      </c>
      <c r="F441" s="1">
        <v>38</v>
      </c>
      <c r="J441" s="3">
        <v>0</v>
      </c>
      <c r="K441" s="3">
        <v>1</v>
      </c>
    </row>
    <row r="442" spans="1:63" x14ac:dyDescent="0.3">
      <c r="A442" s="1" t="s">
        <v>118</v>
      </c>
      <c r="B442" s="7">
        <v>40757</v>
      </c>
      <c r="C442" s="1">
        <v>7</v>
      </c>
      <c r="D442" s="1">
        <v>107</v>
      </c>
      <c r="E442" s="1">
        <v>4</v>
      </c>
      <c r="F442" s="1">
        <v>39</v>
      </c>
      <c r="T442" s="1">
        <v>1</v>
      </c>
    </row>
    <row r="443" spans="1:63" x14ac:dyDescent="0.3">
      <c r="A443" s="1" t="s">
        <v>118</v>
      </c>
      <c r="B443" s="7">
        <v>40757</v>
      </c>
      <c r="C443" s="1">
        <v>7</v>
      </c>
      <c r="D443" s="1">
        <v>107</v>
      </c>
      <c r="E443" s="1">
        <v>4</v>
      </c>
      <c r="F443" s="1">
        <v>40</v>
      </c>
      <c r="T443" s="1">
        <v>1</v>
      </c>
    </row>
    <row r="444" spans="1:63" x14ac:dyDescent="0.3">
      <c r="A444" s="1" t="s">
        <v>118</v>
      </c>
      <c r="B444" s="7">
        <v>40757</v>
      </c>
      <c r="C444" s="1">
        <v>7</v>
      </c>
      <c r="D444" s="1">
        <v>107</v>
      </c>
      <c r="E444" s="1">
        <v>4</v>
      </c>
      <c r="F444" s="1">
        <v>41</v>
      </c>
      <c r="T444" s="1">
        <v>1</v>
      </c>
    </row>
    <row r="445" spans="1:63" x14ac:dyDescent="0.3">
      <c r="A445" s="1" t="s">
        <v>118</v>
      </c>
      <c r="B445" s="7">
        <v>40757</v>
      </c>
      <c r="C445" s="1">
        <v>7</v>
      </c>
      <c r="D445" s="1">
        <v>107</v>
      </c>
      <c r="E445" s="1">
        <v>4</v>
      </c>
      <c r="F445" s="1">
        <v>42</v>
      </c>
      <c r="J445" s="1">
        <v>1</v>
      </c>
      <c r="T445" s="1">
        <v>1</v>
      </c>
    </row>
    <row r="446" spans="1:63" x14ac:dyDescent="0.3">
      <c r="A446" s="1" t="s">
        <v>118</v>
      </c>
      <c r="B446" s="7">
        <v>40757</v>
      </c>
      <c r="C446" s="1">
        <v>7</v>
      </c>
      <c r="D446" s="1">
        <v>107</v>
      </c>
      <c r="E446" s="1">
        <v>4</v>
      </c>
      <c r="F446" s="1">
        <v>43</v>
      </c>
      <c r="J446" s="1">
        <v>1</v>
      </c>
      <c r="BK446" s="1">
        <v>1</v>
      </c>
    </row>
    <row r="447" spans="1:63" x14ac:dyDescent="0.3">
      <c r="A447" s="1" t="s">
        <v>118</v>
      </c>
      <c r="B447" s="7">
        <v>40757</v>
      </c>
      <c r="C447" s="1">
        <v>7</v>
      </c>
      <c r="D447" s="1">
        <v>107</v>
      </c>
      <c r="E447" s="1">
        <v>4</v>
      </c>
      <c r="F447" s="1">
        <v>44</v>
      </c>
    </row>
    <row r="448" spans="1:63" x14ac:dyDescent="0.3">
      <c r="A448" s="1" t="s">
        <v>118</v>
      </c>
      <c r="B448" s="7">
        <v>40757</v>
      </c>
      <c r="C448" s="1">
        <v>7</v>
      </c>
      <c r="D448" s="1">
        <v>107</v>
      </c>
      <c r="E448" s="1">
        <v>4</v>
      </c>
      <c r="F448" s="1">
        <v>45</v>
      </c>
      <c r="J448" s="1">
        <v>1</v>
      </c>
      <c r="T448" s="1">
        <v>1</v>
      </c>
    </row>
    <row r="449" spans="1:63" x14ac:dyDescent="0.3">
      <c r="A449" s="1" t="s">
        <v>118</v>
      </c>
      <c r="B449" s="7">
        <v>40757</v>
      </c>
      <c r="C449" s="1">
        <v>7</v>
      </c>
      <c r="D449" s="1">
        <v>107</v>
      </c>
      <c r="E449" s="1">
        <v>4</v>
      </c>
      <c r="F449" s="1">
        <v>46</v>
      </c>
      <c r="J449" s="1">
        <v>1</v>
      </c>
    </row>
    <row r="450" spans="1:63" x14ac:dyDescent="0.3">
      <c r="A450" s="1" t="s">
        <v>118</v>
      </c>
      <c r="B450" s="7">
        <v>40757</v>
      </c>
      <c r="C450" s="1">
        <v>7</v>
      </c>
      <c r="D450" s="1">
        <v>107</v>
      </c>
      <c r="E450" s="1">
        <v>4</v>
      </c>
      <c r="F450" s="1">
        <v>47</v>
      </c>
      <c r="J450" s="1">
        <v>1</v>
      </c>
      <c r="T450" s="1">
        <v>1</v>
      </c>
    </row>
    <row r="451" spans="1:63" x14ac:dyDescent="0.3">
      <c r="A451" s="1" t="s">
        <v>118</v>
      </c>
      <c r="B451" s="7">
        <v>40757</v>
      </c>
      <c r="C451" s="1">
        <v>7</v>
      </c>
      <c r="D451" s="1">
        <v>107</v>
      </c>
      <c r="E451" s="1">
        <v>4</v>
      </c>
      <c r="F451" s="1">
        <v>48</v>
      </c>
      <c r="J451" s="3">
        <v>0</v>
      </c>
      <c r="K451" s="3">
        <v>1</v>
      </c>
      <c r="T451" s="1">
        <v>1</v>
      </c>
    </row>
    <row r="452" spans="1:63" x14ac:dyDescent="0.3">
      <c r="A452" s="1" t="s">
        <v>118</v>
      </c>
      <c r="B452" s="7">
        <v>40757</v>
      </c>
      <c r="C452" s="1">
        <v>7</v>
      </c>
      <c r="D452" s="1">
        <v>107</v>
      </c>
      <c r="E452" s="1">
        <v>4</v>
      </c>
      <c r="F452" s="1">
        <v>49</v>
      </c>
      <c r="J452" s="1">
        <v>1</v>
      </c>
    </row>
    <row r="453" spans="1:63" x14ac:dyDescent="0.3">
      <c r="A453" s="1" t="s">
        <v>118</v>
      </c>
      <c r="B453" s="7">
        <v>40757</v>
      </c>
      <c r="C453" s="1">
        <v>7</v>
      </c>
      <c r="D453" s="1">
        <v>107</v>
      </c>
      <c r="E453" s="1">
        <v>4</v>
      </c>
      <c r="F453" s="1">
        <v>50</v>
      </c>
      <c r="J453" s="3">
        <v>0</v>
      </c>
      <c r="K453" s="3">
        <v>1</v>
      </c>
    </row>
    <row r="454" spans="1:63" x14ac:dyDescent="0.3">
      <c r="A454" s="1" t="s">
        <v>118</v>
      </c>
      <c r="B454" s="7">
        <v>40757</v>
      </c>
      <c r="C454" s="1">
        <v>7</v>
      </c>
      <c r="D454" s="1">
        <v>107</v>
      </c>
      <c r="E454" s="1">
        <v>4</v>
      </c>
      <c r="F454" s="1">
        <v>51</v>
      </c>
      <c r="J454" s="1">
        <v>1</v>
      </c>
    </row>
    <row r="455" spans="1:63" x14ac:dyDescent="0.3">
      <c r="A455" s="1" t="s">
        <v>118</v>
      </c>
      <c r="B455" s="7">
        <v>40757</v>
      </c>
      <c r="C455" s="1">
        <v>7</v>
      </c>
      <c r="D455" s="1">
        <v>107</v>
      </c>
      <c r="E455" s="1">
        <v>4</v>
      </c>
      <c r="F455" s="1">
        <v>52</v>
      </c>
      <c r="J455" s="1">
        <v>1</v>
      </c>
      <c r="L455" s="1">
        <v>1</v>
      </c>
      <c r="T455" s="1">
        <v>1</v>
      </c>
    </row>
    <row r="456" spans="1:63" x14ac:dyDescent="0.3">
      <c r="A456" s="1" t="s">
        <v>118</v>
      </c>
      <c r="B456" s="7">
        <v>40757</v>
      </c>
      <c r="C456" s="1">
        <v>7</v>
      </c>
      <c r="D456" s="1">
        <v>107</v>
      </c>
      <c r="E456" s="1">
        <v>4</v>
      </c>
      <c r="F456" s="1">
        <v>53</v>
      </c>
      <c r="J456" s="1">
        <v>1</v>
      </c>
    </row>
    <row r="457" spans="1:63" x14ac:dyDescent="0.3">
      <c r="A457" s="1" t="s">
        <v>118</v>
      </c>
      <c r="B457" s="7">
        <v>40757</v>
      </c>
      <c r="C457" s="1">
        <v>7</v>
      </c>
      <c r="D457" s="1">
        <v>107</v>
      </c>
      <c r="E457" s="1">
        <v>4</v>
      </c>
      <c r="F457" s="1">
        <v>54</v>
      </c>
      <c r="J457" s="1">
        <v>1</v>
      </c>
      <c r="T457" s="1">
        <v>1</v>
      </c>
    </row>
    <row r="458" spans="1:63" x14ac:dyDescent="0.3">
      <c r="A458" s="1" t="s">
        <v>118</v>
      </c>
      <c r="B458" s="7">
        <v>40757</v>
      </c>
      <c r="C458" s="1">
        <v>7</v>
      </c>
      <c r="D458" s="1">
        <v>107</v>
      </c>
      <c r="E458" s="1">
        <v>4</v>
      </c>
      <c r="F458" s="1">
        <v>55</v>
      </c>
      <c r="T458" s="1">
        <v>1</v>
      </c>
      <c r="BK458" s="1">
        <v>1</v>
      </c>
    </row>
    <row r="459" spans="1:63" x14ac:dyDescent="0.3">
      <c r="A459" s="1" t="s">
        <v>118</v>
      </c>
      <c r="B459" s="7">
        <v>40757</v>
      </c>
      <c r="C459" s="1">
        <v>7</v>
      </c>
      <c r="D459" s="1">
        <v>107</v>
      </c>
      <c r="E459" s="1">
        <v>4</v>
      </c>
      <c r="F459" s="1">
        <v>56</v>
      </c>
      <c r="J459" s="1">
        <v>1</v>
      </c>
      <c r="T459" s="3">
        <v>0</v>
      </c>
      <c r="U459" s="3">
        <v>1</v>
      </c>
      <c r="BK459" s="1">
        <v>1</v>
      </c>
    </row>
    <row r="460" spans="1:63" x14ac:dyDescent="0.3">
      <c r="A460" s="1" t="s">
        <v>118</v>
      </c>
      <c r="B460" s="7">
        <v>40757</v>
      </c>
      <c r="C460" s="1">
        <v>7</v>
      </c>
      <c r="D460" s="1">
        <v>107</v>
      </c>
      <c r="E460" s="1">
        <v>4</v>
      </c>
      <c r="F460" s="1">
        <v>57</v>
      </c>
      <c r="J460" s="3">
        <v>0</v>
      </c>
      <c r="K460" s="3">
        <v>1</v>
      </c>
      <c r="L460" s="1">
        <v>1</v>
      </c>
      <c r="T460" s="1">
        <v>1</v>
      </c>
    </row>
    <row r="461" spans="1:63" x14ac:dyDescent="0.3">
      <c r="A461" s="1" t="s">
        <v>118</v>
      </c>
      <c r="B461" s="7">
        <v>40757</v>
      </c>
      <c r="C461" s="1">
        <v>7</v>
      </c>
      <c r="D461" s="1">
        <v>107</v>
      </c>
      <c r="E461" s="1">
        <v>4</v>
      </c>
      <c r="F461" s="1">
        <v>58</v>
      </c>
      <c r="J461" s="1">
        <v>1</v>
      </c>
      <c r="L461" s="1">
        <v>1</v>
      </c>
    </row>
    <row r="462" spans="1:63" x14ac:dyDescent="0.3">
      <c r="A462" s="1" t="s">
        <v>118</v>
      </c>
      <c r="B462" s="7">
        <v>40757</v>
      </c>
      <c r="C462" s="1">
        <v>7</v>
      </c>
      <c r="D462" s="1">
        <v>107</v>
      </c>
      <c r="E462" s="1">
        <v>4</v>
      </c>
      <c r="F462" s="1">
        <v>59</v>
      </c>
      <c r="J462" s="3">
        <v>0</v>
      </c>
      <c r="K462" s="3">
        <v>1</v>
      </c>
    </row>
    <row r="463" spans="1:63" x14ac:dyDescent="0.3">
      <c r="A463" s="1" t="s">
        <v>118</v>
      </c>
      <c r="B463" s="7">
        <v>40757</v>
      </c>
      <c r="C463" s="1">
        <v>7</v>
      </c>
      <c r="D463" s="1">
        <v>107</v>
      </c>
      <c r="E463" s="1">
        <v>4</v>
      </c>
      <c r="F463" s="1">
        <v>60</v>
      </c>
      <c r="J463" s="1">
        <v>1</v>
      </c>
    </row>
    <row r="464" spans="1:63" x14ac:dyDescent="0.3">
      <c r="A464" s="1" t="s">
        <v>118</v>
      </c>
      <c r="B464" s="7">
        <v>40757</v>
      </c>
      <c r="C464" s="1">
        <v>7</v>
      </c>
      <c r="D464" s="1">
        <v>107</v>
      </c>
      <c r="E464" s="1">
        <v>4</v>
      </c>
      <c r="F464" s="1">
        <v>61</v>
      </c>
      <c r="I464" s="1">
        <v>1</v>
      </c>
      <c r="T464" s="1">
        <v>1</v>
      </c>
    </row>
    <row r="465" spans="1:70" x14ac:dyDescent="0.3">
      <c r="A465" s="1" t="s">
        <v>118</v>
      </c>
      <c r="B465" s="7">
        <v>40757</v>
      </c>
      <c r="C465" s="1">
        <v>7</v>
      </c>
      <c r="D465" s="1">
        <v>107</v>
      </c>
      <c r="E465" s="1">
        <v>4</v>
      </c>
      <c r="F465" s="1">
        <v>62</v>
      </c>
      <c r="J465" s="1">
        <v>1</v>
      </c>
      <c r="L465" s="1">
        <v>1</v>
      </c>
    </row>
    <row r="466" spans="1:70" x14ac:dyDescent="0.3">
      <c r="A466" s="1" t="s">
        <v>118</v>
      </c>
      <c r="B466" s="7">
        <v>40757</v>
      </c>
      <c r="C466" s="1">
        <v>7</v>
      </c>
      <c r="D466" s="1">
        <v>107</v>
      </c>
      <c r="E466" s="1">
        <v>4</v>
      </c>
      <c r="F466" s="1">
        <v>63</v>
      </c>
      <c r="J466" s="1">
        <v>1</v>
      </c>
      <c r="T466" s="1">
        <v>1</v>
      </c>
    </row>
    <row r="467" spans="1:70" x14ac:dyDescent="0.3">
      <c r="A467" s="1" t="s">
        <v>118</v>
      </c>
      <c r="B467" s="7">
        <v>40757</v>
      </c>
      <c r="C467" s="1">
        <v>7</v>
      </c>
      <c r="D467" s="1">
        <v>107</v>
      </c>
      <c r="E467" s="1">
        <v>4</v>
      </c>
      <c r="F467" s="1">
        <v>64</v>
      </c>
      <c r="AF467" s="1">
        <v>1</v>
      </c>
      <c r="BR467" s="1">
        <v>1</v>
      </c>
    </row>
    <row r="468" spans="1:70" x14ac:dyDescent="0.3">
      <c r="A468" s="1" t="s">
        <v>118</v>
      </c>
      <c r="B468" s="7">
        <v>40757</v>
      </c>
      <c r="C468" s="1">
        <v>7</v>
      </c>
      <c r="D468" s="1">
        <v>107</v>
      </c>
      <c r="E468" s="1">
        <v>4</v>
      </c>
      <c r="F468" s="1">
        <v>65</v>
      </c>
      <c r="J468" s="1">
        <v>1</v>
      </c>
    </row>
    <row r="469" spans="1:70" x14ac:dyDescent="0.3">
      <c r="A469" s="1" t="s">
        <v>118</v>
      </c>
      <c r="B469" s="7">
        <v>40757</v>
      </c>
      <c r="C469" s="1">
        <v>7</v>
      </c>
      <c r="D469" s="1">
        <v>107</v>
      </c>
      <c r="E469" s="1">
        <v>4</v>
      </c>
      <c r="F469" s="1">
        <v>66</v>
      </c>
      <c r="J469" s="1">
        <v>1</v>
      </c>
    </row>
    <row r="470" spans="1:70" x14ac:dyDescent="0.3">
      <c r="A470" s="1" t="s">
        <v>118</v>
      </c>
      <c r="B470" s="7">
        <v>40757</v>
      </c>
      <c r="C470" s="1">
        <v>7</v>
      </c>
      <c r="D470" s="1">
        <v>107</v>
      </c>
      <c r="E470" s="1">
        <v>4</v>
      </c>
      <c r="F470" s="1">
        <v>67</v>
      </c>
      <c r="J470" s="1">
        <v>1</v>
      </c>
      <c r="T470" s="1">
        <v>1</v>
      </c>
    </row>
    <row r="471" spans="1:70" x14ac:dyDescent="0.3">
      <c r="A471" s="1" t="s">
        <v>118</v>
      </c>
      <c r="B471" s="7">
        <v>40757</v>
      </c>
      <c r="C471" s="1">
        <v>7</v>
      </c>
      <c r="D471" s="1">
        <v>107</v>
      </c>
      <c r="E471" s="1">
        <v>4</v>
      </c>
      <c r="F471" s="1">
        <v>68</v>
      </c>
      <c r="J471" s="1">
        <v>1</v>
      </c>
    </row>
    <row r="472" spans="1:70" x14ac:dyDescent="0.3">
      <c r="A472" s="1" t="s">
        <v>118</v>
      </c>
      <c r="B472" s="7">
        <v>40757</v>
      </c>
      <c r="C472" s="1">
        <v>7</v>
      </c>
      <c r="D472" s="1">
        <v>107</v>
      </c>
      <c r="E472" s="1">
        <v>4</v>
      </c>
      <c r="F472" s="1">
        <v>69</v>
      </c>
      <c r="J472" s="1">
        <v>1</v>
      </c>
      <c r="L472" s="1">
        <v>1</v>
      </c>
      <c r="BI472" s="1">
        <v>1</v>
      </c>
    </row>
    <row r="473" spans="1:70" x14ac:dyDescent="0.3">
      <c r="A473" s="1" t="s">
        <v>118</v>
      </c>
      <c r="B473" s="7">
        <v>40757</v>
      </c>
      <c r="C473" s="1">
        <v>7</v>
      </c>
      <c r="D473" s="1">
        <v>107</v>
      </c>
      <c r="E473" s="1">
        <v>4</v>
      </c>
      <c r="F473" s="1">
        <v>70</v>
      </c>
      <c r="J473" s="1">
        <v>1</v>
      </c>
    </row>
    <row r="474" spans="1:70" x14ac:dyDescent="0.3">
      <c r="A474" s="1" t="s">
        <v>118</v>
      </c>
      <c r="B474" s="7">
        <v>40757</v>
      </c>
      <c r="C474" s="1">
        <v>7</v>
      </c>
      <c r="D474" s="1">
        <v>107</v>
      </c>
      <c r="E474" s="1">
        <v>4</v>
      </c>
      <c r="F474" s="1">
        <v>71</v>
      </c>
      <c r="T474" s="1">
        <v>1</v>
      </c>
    </row>
    <row r="475" spans="1:70" x14ac:dyDescent="0.3">
      <c r="A475" s="1" t="s">
        <v>118</v>
      </c>
      <c r="B475" s="7">
        <v>40757</v>
      </c>
      <c r="C475" s="1">
        <v>7</v>
      </c>
      <c r="D475" s="1">
        <v>107</v>
      </c>
      <c r="E475" s="1">
        <v>4</v>
      </c>
      <c r="F475" s="1">
        <v>72</v>
      </c>
      <c r="J475" s="1">
        <v>1</v>
      </c>
      <c r="T475" s="1">
        <v>1</v>
      </c>
    </row>
    <row r="476" spans="1:70" x14ac:dyDescent="0.3">
      <c r="A476" s="1" t="s">
        <v>118</v>
      </c>
      <c r="B476" s="7">
        <v>40757</v>
      </c>
      <c r="C476" s="1">
        <v>7</v>
      </c>
      <c r="D476" s="1">
        <v>107</v>
      </c>
      <c r="E476" s="1">
        <v>4</v>
      </c>
      <c r="F476" s="1">
        <v>73</v>
      </c>
      <c r="J476" s="1">
        <v>1</v>
      </c>
      <c r="T476" s="1">
        <v>1</v>
      </c>
    </row>
    <row r="477" spans="1:70" x14ac:dyDescent="0.3">
      <c r="A477" s="1" t="s">
        <v>118</v>
      </c>
      <c r="B477" s="7">
        <v>40757</v>
      </c>
      <c r="C477" s="1">
        <v>7</v>
      </c>
      <c r="D477" s="1">
        <v>107</v>
      </c>
      <c r="E477" s="1">
        <v>4</v>
      </c>
      <c r="F477" s="1">
        <v>74</v>
      </c>
      <c r="T477" s="1">
        <v>1</v>
      </c>
    </row>
    <row r="478" spans="1:70" x14ac:dyDescent="0.3">
      <c r="A478" s="1" t="s">
        <v>118</v>
      </c>
      <c r="B478" s="7">
        <v>40757</v>
      </c>
      <c r="C478" s="1">
        <v>7</v>
      </c>
      <c r="D478" s="1">
        <v>107</v>
      </c>
      <c r="E478" s="1">
        <v>4</v>
      </c>
      <c r="F478" s="1">
        <v>75</v>
      </c>
      <c r="J478" s="1">
        <v>1</v>
      </c>
      <c r="T478" s="1">
        <v>1</v>
      </c>
    </row>
    <row r="479" spans="1:70" x14ac:dyDescent="0.3">
      <c r="A479" s="1" t="s">
        <v>118</v>
      </c>
      <c r="B479" s="7">
        <v>40757</v>
      </c>
      <c r="C479" s="1">
        <v>7</v>
      </c>
      <c r="D479" s="1">
        <v>107</v>
      </c>
      <c r="E479" s="1">
        <v>4</v>
      </c>
      <c r="F479" s="1">
        <v>76</v>
      </c>
      <c r="J479" s="1">
        <v>1</v>
      </c>
    </row>
    <row r="480" spans="1:70" x14ac:dyDescent="0.3">
      <c r="A480" s="1" t="s">
        <v>118</v>
      </c>
      <c r="B480" s="7">
        <v>40757</v>
      </c>
      <c r="C480" s="1">
        <v>7</v>
      </c>
      <c r="D480" s="1">
        <v>107</v>
      </c>
      <c r="E480" s="1">
        <v>4</v>
      </c>
      <c r="F480" s="1">
        <v>77</v>
      </c>
      <c r="J480" s="1">
        <v>1</v>
      </c>
      <c r="T480" s="1">
        <v>1</v>
      </c>
    </row>
    <row r="481" spans="1:61" x14ac:dyDescent="0.3">
      <c r="A481" s="1" t="s">
        <v>118</v>
      </c>
      <c r="B481" s="7">
        <v>40757</v>
      </c>
      <c r="C481" s="1">
        <v>7</v>
      </c>
      <c r="D481" s="1">
        <v>107</v>
      </c>
      <c r="E481" s="1">
        <v>4</v>
      </c>
      <c r="F481" s="1">
        <v>78</v>
      </c>
      <c r="J481" s="1">
        <v>1</v>
      </c>
      <c r="T481" s="1">
        <v>1</v>
      </c>
    </row>
    <row r="482" spans="1:61" x14ac:dyDescent="0.3">
      <c r="A482" s="1" t="s">
        <v>118</v>
      </c>
      <c r="B482" s="7">
        <v>40757</v>
      </c>
      <c r="C482" s="1">
        <v>7</v>
      </c>
      <c r="D482" s="1">
        <v>107</v>
      </c>
      <c r="E482" s="1">
        <v>4</v>
      </c>
      <c r="F482" s="1">
        <v>79</v>
      </c>
      <c r="J482" s="1">
        <v>1</v>
      </c>
      <c r="N482" s="1">
        <v>1</v>
      </c>
    </row>
    <row r="483" spans="1:61" x14ac:dyDescent="0.3">
      <c r="A483" s="1" t="s">
        <v>118</v>
      </c>
      <c r="B483" s="7">
        <v>40757</v>
      </c>
      <c r="C483" s="1">
        <v>7</v>
      </c>
      <c r="D483" s="1">
        <v>107</v>
      </c>
      <c r="E483" s="1">
        <v>4</v>
      </c>
      <c r="F483" s="1">
        <v>80</v>
      </c>
      <c r="L483" s="1">
        <v>1</v>
      </c>
    </row>
    <row r="484" spans="1:61" x14ac:dyDescent="0.3">
      <c r="A484" s="1" t="s">
        <v>118</v>
      </c>
      <c r="B484" s="7">
        <v>40757</v>
      </c>
      <c r="C484" s="1">
        <v>7</v>
      </c>
      <c r="D484" s="1">
        <v>107</v>
      </c>
      <c r="E484" s="1">
        <v>4</v>
      </c>
      <c r="F484" s="1">
        <v>81</v>
      </c>
    </row>
    <row r="485" spans="1:61" x14ac:dyDescent="0.3">
      <c r="A485" s="1" t="s">
        <v>118</v>
      </c>
      <c r="B485" s="7">
        <v>40757</v>
      </c>
      <c r="C485" s="1">
        <v>7</v>
      </c>
      <c r="D485" s="1">
        <v>107</v>
      </c>
      <c r="E485" s="1">
        <v>4</v>
      </c>
      <c r="F485" s="1">
        <v>82</v>
      </c>
      <c r="J485" s="1">
        <v>1</v>
      </c>
    </row>
    <row r="486" spans="1:61" x14ac:dyDescent="0.3">
      <c r="A486" s="1" t="s">
        <v>118</v>
      </c>
      <c r="B486" s="7">
        <v>40757</v>
      </c>
      <c r="C486" s="1">
        <v>7</v>
      </c>
      <c r="D486" s="1">
        <v>107</v>
      </c>
      <c r="E486" s="1">
        <v>4</v>
      </c>
      <c r="F486" s="1">
        <v>83</v>
      </c>
      <c r="J486" s="1">
        <v>1</v>
      </c>
      <c r="T486" s="1">
        <v>1</v>
      </c>
      <c r="AF486" s="1">
        <v>1</v>
      </c>
    </row>
    <row r="487" spans="1:61" x14ac:dyDescent="0.3">
      <c r="A487" s="1" t="s">
        <v>118</v>
      </c>
      <c r="B487" s="7">
        <v>40757</v>
      </c>
      <c r="C487" s="1">
        <v>7</v>
      </c>
      <c r="D487" s="1">
        <v>107</v>
      </c>
      <c r="E487" s="1">
        <v>4</v>
      </c>
      <c r="F487" s="1">
        <v>84</v>
      </c>
      <c r="J487" s="1">
        <v>1</v>
      </c>
      <c r="T487" s="1">
        <v>1</v>
      </c>
      <c r="V487" s="1">
        <v>1</v>
      </c>
    </row>
    <row r="488" spans="1:61" x14ac:dyDescent="0.3">
      <c r="A488" s="1" t="s">
        <v>118</v>
      </c>
      <c r="B488" s="7">
        <v>40757</v>
      </c>
      <c r="C488" s="1">
        <v>7</v>
      </c>
      <c r="D488" s="1">
        <v>107</v>
      </c>
      <c r="E488" s="1">
        <v>4</v>
      </c>
      <c r="F488" s="1">
        <v>85</v>
      </c>
      <c r="J488" s="1">
        <v>1</v>
      </c>
    </row>
    <row r="489" spans="1:61" x14ac:dyDescent="0.3">
      <c r="A489" s="1" t="s">
        <v>118</v>
      </c>
      <c r="B489" s="7">
        <v>40757</v>
      </c>
      <c r="C489" s="1">
        <v>7</v>
      </c>
      <c r="D489" s="1">
        <v>107</v>
      </c>
      <c r="E489" s="1">
        <v>4</v>
      </c>
      <c r="F489" s="1">
        <v>86</v>
      </c>
      <c r="J489" s="1">
        <v>1</v>
      </c>
      <c r="L489" s="1">
        <v>1</v>
      </c>
    </row>
    <row r="490" spans="1:61" x14ac:dyDescent="0.3">
      <c r="A490" s="1" t="s">
        <v>118</v>
      </c>
      <c r="B490" s="7">
        <v>40757</v>
      </c>
      <c r="C490" s="1">
        <v>7</v>
      </c>
      <c r="D490" s="1">
        <v>107</v>
      </c>
      <c r="E490" s="1">
        <v>4</v>
      </c>
      <c r="F490" s="1">
        <v>87</v>
      </c>
      <c r="J490" s="1">
        <v>1</v>
      </c>
    </row>
    <row r="491" spans="1:61" x14ac:dyDescent="0.3">
      <c r="A491" s="1" t="s">
        <v>118</v>
      </c>
      <c r="B491" s="7">
        <v>40757</v>
      </c>
      <c r="C491" s="1">
        <v>7</v>
      </c>
      <c r="D491" s="1">
        <v>107</v>
      </c>
      <c r="E491" s="1">
        <v>4</v>
      </c>
      <c r="F491" s="1">
        <v>88</v>
      </c>
    </row>
    <row r="492" spans="1:61" x14ac:dyDescent="0.3">
      <c r="A492" s="1" t="s">
        <v>118</v>
      </c>
      <c r="B492" s="7">
        <v>40757</v>
      </c>
      <c r="C492" s="1">
        <v>7</v>
      </c>
      <c r="D492" s="1">
        <v>107</v>
      </c>
      <c r="E492" s="1">
        <v>4</v>
      </c>
      <c r="F492" s="1">
        <v>89</v>
      </c>
      <c r="J492" s="1">
        <v>1</v>
      </c>
    </row>
    <row r="493" spans="1:61" x14ac:dyDescent="0.3">
      <c r="A493" s="1" t="s">
        <v>118</v>
      </c>
      <c r="B493" s="7">
        <v>40757</v>
      </c>
      <c r="C493" s="1">
        <v>7</v>
      </c>
      <c r="D493" s="1">
        <v>107</v>
      </c>
      <c r="E493" s="1">
        <v>4</v>
      </c>
      <c r="F493" s="1">
        <v>90</v>
      </c>
      <c r="J493" s="1">
        <v>1</v>
      </c>
      <c r="L493" s="1">
        <v>1</v>
      </c>
    </row>
    <row r="494" spans="1:61" x14ac:dyDescent="0.3">
      <c r="A494" s="1" t="s">
        <v>118</v>
      </c>
      <c r="B494" s="7">
        <v>40757</v>
      </c>
      <c r="C494" s="1">
        <v>7</v>
      </c>
      <c r="D494" s="1">
        <v>107</v>
      </c>
      <c r="E494" s="1">
        <v>4</v>
      </c>
      <c r="F494" s="1">
        <v>91</v>
      </c>
      <c r="J494" s="1">
        <v>1</v>
      </c>
      <c r="T494" s="1">
        <v>1</v>
      </c>
      <c r="V494" s="1">
        <v>1</v>
      </c>
    </row>
    <row r="495" spans="1:61" x14ac:dyDescent="0.3">
      <c r="A495" s="1" t="s">
        <v>118</v>
      </c>
      <c r="B495" s="7">
        <v>40757</v>
      </c>
      <c r="C495" s="1">
        <v>7</v>
      </c>
      <c r="D495" s="1">
        <v>107</v>
      </c>
      <c r="E495" s="1">
        <v>4</v>
      </c>
      <c r="F495" s="1">
        <v>92</v>
      </c>
      <c r="J495" s="1">
        <v>1</v>
      </c>
      <c r="AF495" s="1">
        <v>1</v>
      </c>
    </row>
    <row r="496" spans="1:61" x14ac:dyDescent="0.3">
      <c r="A496" s="1" t="s">
        <v>118</v>
      </c>
      <c r="B496" s="7">
        <v>40757</v>
      </c>
      <c r="C496" s="1">
        <v>7</v>
      </c>
      <c r="D496" s="1">
        <v>107</v>
      </c>
      <c r="E496" s="1">
        <v>4</v>
      </c>
      <c r="F496" s="1">
        <v>93</v>
      </c>
      <c r="J496" s="1">
        <v>1</v>
      </c>
      <c r="T496" s="1">
        <v>1</v>
      </c>
      <c r="V496" s="1">
        <v>1</v>
      </c>
      <c r="BI496" s="1">
        <v>1</v>
      </c>
    </row>
    <row r="497" spans="1:61" x14ac:dyDescent="0.3">
      <c r="A497" s="1" t="s">
        <v>118</v>
      </c>
      <c r="B497" s="7">
        <v>40757</v>
      </c>
      <c r="C497" s="1">
        <v>7</v>
      </c>
      <c r="D497" s="1">
        <v>107</v>
      </c>
      <c r="E497" s="1">
        <v>4</v>
      </c>
      <c r="F497" s="1">
        <v>94</v>
      </c>
      <c r="I497" s="1">
        <v>1</v>
      </c>
      <c r="J497" s="1">
        <v>1</v>
      </c>
      <c r="V497" s="1">
        <v>1</v>
      </c>
    </row>
    <row r="498" spans="1:61" x14ac:dyDescent="0.3">
      <c r="A498" s="1" t="s">
        <v>118</v>
      </c>
      <c r="B498" s="7">
        <v>40757</v>
      </c>
      <c r="C498" s="1">
        <v>7</v>
      </c>
      <c r="D498" s="1">
        <v>107</v>
      </c>
      <c r="E498" s="1">
        <v>4</v>
      </c>
      <c r="F498" s="1">
        <v>95</v>
      </c>
      <c r="J498" s="1">
        <v>1</v>
      </c>
      <c r="L498" s="1">
        <v>1</v>
      </c>
      <c r="T498" s="1">
        <v>1</v>
      </c>
      <c r="BG498" s="3">
        <v>0</v>
      </c>
      <c r="BH498" s="3">
        <v>1</v>
      </c>
    </row>
    <row r="499" spans="1:61" x14ac:dyDescent="0.3">
      <c r="A499" s="1" t="s">
        <v>118</v>
      </c>
      <c r="B499" s="7">
        <v>40757</v>
      </c>
      <c r="C499" s="1">
        <v>7</v>
      </c>
      <c r="D499" s="1">
        <v>107</v>
      </c>
      <c r="E499" s="1">
        <v>4</v>
      </c>
      <c r="F499" s="1">
        <v>96</v>
      </c>
      <c r="J499" s="3">
        <v>0</v>
      </c>
      <c r="K499" s="3">
        <v>1</v>
      </c>
    </row>
    <row r="500" spans="1:61" x14ac:dyDescent="0.3">
      <c r="A500" s="1" t="s">
        <v>118</v>
      </c>
      <c r="B500" s="7">
        <v>40757</v>
      </c>
      <c r="C500" s="1">
        <v>7</v>
      </c>
      <c r="D500" s="1">
        <v>107</v>
      </c>
      <c r="E500" s="1">
        <v>4</v>
      </c>
      <c r="F500" s="1">
        <v>97</v>
      </c>
      <c r="J500" s="1">
        <v>1</v>
      </c>
    </row>
    <row r="501" spans="1:61" x14ac:dyDescent="0.3">
      <c r="A501" s="1" t="s">
        <v>118</v>
      </c>
      <c r="B501" s="7">
        <v>40757</v>
      </c>
      <c r="C501" s="1">
        <v>7</v>
      </c>
      <c r="D501" s="1">
        <v>107</v>
      </c>
      <c r="E501" s="1">
        <v>4</v>
      </c>
      <c r="F501" s="1">
        <v>98</v>
      </c>
    </row>
    <row r="502" spans="1:61" x14ac:dyDescent="0.3">
      <c r="A502" s="1" t="s">
        <v>118</v>
      </c>
      <c r="B502" s="7">
        <v>40757</v>
      </c>
      <c r="C502" s="1">
        <v>7</v>
      </c>
      <c r="D502" s="1">
        <v>107</v>
      </c>
      <c r="E502" s="1">
        <v>4</v>
      </c>
      <c r="F502" s="1">
        <v>99</v>
      </c>
      <c r="J502" s="1">
        <v>1</v>
      </c>
      <c r="L502" s="1">
        <v>1</v>
      </c>
    </row>
    <row r="503" spans="1:61" x14ac:dyDescent="0.3">
      <c r="A503" s="1" t="s">
        <v>118</v>
      </c>
      <c r="B503" s="7">
        <v>40757</v>
      </c>
      <c r="C503" s="1">
        <v>7</v>
      </c>
      <c r="D503" s="1">
        <v>107</v>
      </c>
      <c r="E503" s="1">
        <v>4</v>
      </c>
      <c r="F503" s="1">
        <v>100</v>
      </c>
      <c r="J503" s="1">
        <v>1</v>
      </c>
      <c r="N503" s="1">
        <v>1</v>
      </c>
      <c r="T503" s="1">
        <v>1</v>
      </c>
    </row>
    <row r="504" spans="1:61" x14ac:dyDescent="0.3">
      <c r="A504" s="1" t="s">
        <v>118</v>
      </c>
      <c r="B504" s="7">
        <v>40757</v>
      </c>
      <c r="C504" s="1">
        <v>15.5</v>
      </c>
      <c r="D504" s="1">
        <v>183</v>
      </c>
      <c r="E504" s="1">
        <v>1</v>
      </c>
      <c r="F504" s="1">
        <v>1</v>
      </c>
      <c r="L504" s="1">
        <v>1</v>
      </c>
      <c r="AA504" s="1">
        <v>1</v>
      </c>
    </row>
    <row r="505" spans="1:61" x14ac:dyDescent="0.3">
      <c r="A505" s="1" t="s">
        <v>118</v>
      </c>
      <c r="B505" s="7">
        <v>40757</v>
      </c>
      <c r="C505" s="1">
        <v>15.5</v>
      </c>
      <c r="D505" s="1">
        <v>183</v>
      </c>
      <c r="E505" s="1">
        <v>1</v>
      </c>
      <c r="F505" s="1">
        <v>2</v>
      </c>
      <c r="L505" s="1">
        <v>1</v>
      </c>
      <c r="AS505" s="1">
        <v>1</v>
      </c>
    </row>
    <row r="506" spans="1:61" x14ac:dyDescent="0.3">
      <c r="A506" s="1" t="s">
        <v>118</v>
      </c>
      <c r="B506" s="7">
        <v>40757</v>
      </c>
      <c r="C506" s="1">
        <v>15.5</v>
      </c>
      <c r="D506" s="1">
        <v>183</v>
      </c>
      <c r="E506" s="1">
        <v>1</v>
      </c>
      <c r="F506" s="1">
        <v>3</v>
      </c>
      <c r="L506" s="1">
        <v>1</v>
      </c>
      <c r="AA506" s="1">
        <v>1</v>
      </c>
      <c r="AS506" s="1">
        <v>1</v>
      </c>
    </row>
    <row r="507" spans="1:61" x14ac:dyDescent="0.3">
      <c r="A507" s="1" t="s">
        <v>118</v>
      </c>
      <c r="B507" s="7">
        <v>40757</v>
      </c>
      <c r="C507" s="1">
        <v>15.5</v>
      </c>
      <c r="D507" s="1">
        <v>183</v>
      </c>
      <c r="E507" s="1">
        <v>1</v>
      </c>
      <c r="F507" s="1">
        <v>4</v>
      </c>
      <c r="L507" s="1">
        <v>1</v>
      </c>
      <c r="AA507" s="1">
        <v>1</v>
      </c>
      <c r="AS507" s="1">
        <v>1</v>
      </c>
    </row>
    <row r="508" spans="1:61" x14ac:dyDescent="0.3">
      <c r="A508" s="1" t="s">
        <v>118</v>
      </c>
      <c r="B508" s="7">
        <v>40757</v>
      </c>
      <c r="C508" s="1">
        <v>15.5</v>
      </c>
      <c r="D508" s="1">
        <v>183</v>
      </c>
      <c r="E508" s="1">
        <v>1</v>
      </c>
      <c r="F508" s="1">
        <v>5</v>
      </c>
      <c r="L508" s="1">
        <v>1</v>
      </c>
    </row>
    <row r="509" spans="1:61" x14ac:dyDescent="0.3">
      <c r="A509" s="1" t="s">
        <v>118</v>
      </c>
      <c r="B509" s="7">
        <v>40757</v>
      </c>
      <c r="C509" s="1">
        <v>15.5</v>
      </c>
      <c r="D509" s="1">
        <v>183</v>
      </c>
      <c r="E509" s="1">
        <v>1</v>
      </c>
      <c r="F509" s="1">
        <v>6</v>
      </c>
      <c r="L509" s="1">
        <v>1</v>
      </c>
    </row>
    <row r="510" spans="1:61" x14ac:dyDescent="0.3">
      <c r="A510" s="1" t="s">
        <v>118</v>
      </c>
      <c r="B510" s="7">
        <v>40757</v>
      </c>
      <c r="C510" s="1">
        <v>15.5</v>
      </c>
      <c r="D510" s="1">
        <v>183</v>
      </c>
      <c r="E510" s="1">
        <v>1</v>
      </c>
      <c r="F510" s="1">
        <v>7</v>
      </c>
      <c r="BI510" s="1">
        <v>1</v>
      </c>
    </row>
    <row r="511" spans="1:61" x14ac:dyDescent="0.3">
      <c r="A511" s="1" t="s">
        <v>118</v>
      </c>
      <c r="B511" s="7">
        <v>40757</v>
      </c>
      <c r="C511" s="1">
        <v>15.5</v>
      </c>
      <c r="D511" s="1">
        <v>183</v>
      </c>
      <c r="E511" s="1">
        <v>1</v>
      </c>
      <c r="F511" s="1">
        <v>8</v>
      </c>
    </row>
    <row r="512" spans="1:61" x14ac:dyDescent="0.3">
      <c r="A512" s="1" t="s">
        <v>118</v>
      </c>
      <c r="B512" s="7">
        <v>40757</v>
      </c>
      <c r="C512" s="1">
        <v>15.5</v>
      </c>
      <c r="D512" s="1">
        <v>183</v>
      </c>
      <c r="E512" s="1">
        <v>1</v>
      </c>
      <c r="F512" s="1">
        <v>9</v>
      </c>
      <c r="L512" s="1">
        <v>1</v>
      </c>
    </row>
    <row r="513" spans="1:82" x14ac:dyDescent="0.3">
      <c r="A513" s="1" t="s">
        <v>118</v>
      </c>
      <c r="B513" s="7">
        <v>40757</v>
      </c>
      <c r="C513" s="1">
        <v>15.5</v>
      </c>
      <c r="D513" s="1">
        <v>183</v>
      </c>
      <c r="E513" s="1">
        <v>1</v>
      </c>
      <c r="F513" s="1">
        <v>10</v>
      </c>
      <c r="L513" s="1">
        <v>1</v>
      </c>
    </row>
    <row r="514" spans="1:82" x14ac:dyDescent="0.3">
      <c r="A514" s="1" t="s">
        <v>118</v>
      </c>
      <c r="B514" s="7">
        <v>40757</v>
      </c>
      <c r="C514" s="1">
        <v>15.5</v>
      </c>
      <c r="D514" s="1">
        <v>183</v>
      </c>
      <c r="E514" s="1">
        <v>1</v>
      </c>
      <c r="F514" s="1">
        <v>11</v>
      </c>
      <c r="L514" s="1">
        <v>1</v>
      </c>
      <c r="BI514" s="1">
        <v>1</v>
      </c>
    </row>
    <row r="515" spans="1:82" x14ac:dyDescent="0.3">
      <c r="A515" s="1" t="s">
        <v>118</v>
      </c>
      <c r="B515" s="7">
        <v>40757</v>
      </c>
      <c r="C515" s="1">
        <v>15.5</v>
      </c>
      <c r="D515" s="1">
        <v>183</v>
      </c>
      <c r="E515" s="1">
        <v>1</v>
      </c>
      <c r="F515" s="1">
        <v>12</v>
      </c>
      <c r="L515" s="1">
        <v>1</v>
      </c>
      <c r="AS515" s="1">
        <v>1</v>
      </c>
    </row>
    <row r="516" spans="1:82" x14ac:dyDescent="0.3">
      <c r="A516" s="1" t="s">
        <v>118</v>
      </c>
      <c r="B516" s="7">
        <v>40757</v>
      </c>
      <c r="C516" s="1">
        <v>15.5</v>
      </c>
      <c r="D516" s="1">
        <v>183</v>
      </c>
      <c r="E516" s="1">
        <v>1</v>
      </c>
      <c r="F516" s="1">
        <v>13</v>
      </c>
      <c r="L516" s="1">
        <v>1</v>
      </c>
      <c r="AS516" s="1">
        <v>1</v>
      </c>
    </row>
    <row r="517" spans="1:82" x14ac:dyDescent="0.3">
      <c r="A517" s="1" t="s">
        <v>118</v>
      </c>
      <c r="B517" s="7">
        <v>40757</v>
      </c>
      <c r="C517" s="1">
        <v>15.5</v>
      </c>
      <c r="D517" s="1">
        <v>183</v>
      </c>
      <c r="E517" s="1">
        <v>1</v>
      </c>
      <c r="F517" s="1">
        <v>14</v>
      </c>
      <c r="L517" s="1">
        <v>1</v>
      </c>
      <c r="AS517" s="1">
        <v>1</v>
      </c>
    </row>
    <row r="518" spans="1:82" x14ac:dyDescent="0.3">
      <c r="A518" s="1" t="s">
        <v>118</v>
      </c>
      <c r="B518" s="7">
        <v>40757</v>
      </c>
      <c r="C518" s="1">
        <v>15.5</v>
      </c>
      <c r="D518" s="1">
        <v>183</v>
      </c>
      <c r="E518" s="1">
        <v>1</v>
      </c>
      <c r="F518" s="1">
        <v>15</v>
      </c>
      <c r="L518" s="1">
        <v>1</v>
      </c>
    </row>
    <row r="519" spans="1:82" x14ac:dyDescent="0.3">
      <c r="A519" s="1" t="s">
        <v>118</v>
      </c>
      <c r="B519" s="7">
        <v>40757</v>
      </c>
      <c r="C519" s="1">
        <v>15.5</v>
      </c>
      <c r="D519" s="1">
        <v>183</v>
      </c>
      <c r="E519" s="1">
        <v>1</v>
      </c>
      <c r="F519" s="1">
        <v>16</v>
      </c>
      <c r="L519" s="1">
        <v>1</v>
      </c>
      <c r="AF519" s="1">
        <v>1</v>
      </c>
    </row>
    <row r="520" spans="1:82" x14ac:dyDescent="0.3">
      <c r="A520" s="1" t="s">
        <v>118</v>
      </c>
      <c r="B520" s="7">
        <v>40757</v>
      </c>
      <c r="C520" s="1">
        <v>15.5</v>
      </c>
      <c r="D520" s="1">
        <v>183</v>
      </c>
      <c r="E520" s="1">
        <v>1</v>
      </c>
      <c r="F520" s="1">
        <v>17</v>
      </c>
      <c r="L520" s="1">
        <v>1</v>
      </c>
    </row>
    <row r="521" spans="1:82" x14ac:dyDescent="0.3">
      <c r="A521" s="1" t="s">
        <v>118</v>
      </c>
      <c r="B521" s="7">
        <v>40757</v>
      </c>
      <c r="C521" s="1">
        <v>15.5</v>
      </c>
      <c r="D521" s="1">
        <v>183</v>
      </c>
      <c r="E521" s="1">
        <v>1</v>
      </c>
      <c r="F521" s="1">
        <v>18</v>
      </c>
      <c r="L521" s="1">
        <v>1</v>
      </c>
      <c r="AB521" s="1">
        <v>1</v>
      </c>
    </row>
    <row r="522" spans="1:82" x14ac:dyDescent="0.3">
      <c r="A522" s="1" t="s">
        <v>118</v>
      </c>
      <c r="B522" s="7">
        <v>40757</v>
      </c>
      <c r="C522" s="1">
        <v>15.5</v>
      </c>
      <c r="D522" s="1">
        <v>183</v>
      </c>
      <c r="E522" s="1">
        <v>1</v>
      </c>
      <c r="F522" s="1">
        <v>19</v>
      </c>
      <c r="L522" s="1">
        <v>1</v>
      </c>
      <c r="CD522" s="1">
        <v>1</v>
      </c>
    </row>
    <row r="523" spans="1:82" x14ac:dyDescent="0.3">
      <c r="A523" s="1" t="s">
        <v>118</v>
      </c>
      <c r="B523" s="7">
        <v>40757</v>
      </c>
      <c r="C523" s="1">
        <v>15.5</v>
      </c>
      <c r="D523" s="1">
        <v>183</v>
      </c>
      <c r="E523" s="1">
        <v>1</v>
      </c>
      <c r="F523" s="1">
        <v>20</v>
      </c>
      <c r="L523" s="1">
        <v>1</v>
      </c>
      <c r="AB523" s="1">
        <v>1</v>
      </c>
    </row>
    <row r="524" spans="1:82" x14ac:dyDescent="0.3">
      <c r="A524" s="1" t="s">
        <v>118</v>
      </c>
      <c r="B524" s="7">
        <v>40757</v>
      </c>
      <c r="C524" s="1">
        <v>15.5</v>
      </c>
      <c r="D524" s="1">
        <v>183</v>
      </c>
      <c r="E524" s="1">
        <v>1</v>
      </c>
      <c r="F524" s="1">
        <v>21</v>
      </c>
      <c r="L524" s="1">
        <v>1</v>
      </c>
      <c r="AS524" s="1">
        <v>1</v>
      </c>
    </row>
    <row r="525" spans="1:82" x14ac:dyDescent="0.3">
      <c r="A525" s="1" t="s">
        <v>118</v>
      </c>
      <c r="B525" s="7">
        <v>40757</v>
      </c>
      <c r="C525" s="1">
        <v>15.5</v>
      </c>
      <c r="D525" s="1">
        <v>183</v>
      </c>
      <c r="E525" s="1">
        <v>1</v>
      </c>
      <c r="F525" s="1">
        <v>22</v>
      </c>
      <c r="H525" s="1">
        <v>1</v>
      </c>
      <c r="L525" s="1">
        <v>1</v>
      </c>
    </row>
    <row r="526" spans="1:82" x14ac:dyDescent="0.3">
      <c r="A526" s="1" t="s">
        <v>118</v>
      </c>
      <c r="B526" s="7">
        <v>40757</v>
      </c>
      <c r="C526" s="1">
        <v>15.5</v>
      </c>
      <c r="D526" s="1">
        <v>183</v>
      </c>
      <c r="E526" s="1">
        <v>1</v>
      </c>
      <c r="F526" s="1">
        <v>23</v>
      </c>
      <c r="L526" s="1">
        <v>1</v>
      </c>
      <c r="AS526" s="1">
        <v>1</v>
      </c>
    </row>
    <row r="527" spans="1:82" x14ac:dyDescent="0.3">
      <c r="A527" s="1" t="s">
        <v>118</v>
      </c>
      <c r="B527" s="7">
        <v>40757</v>
      </c>
      <c r="C527" s="1">
        <v>15.5</v>
      </c>
      <c r="D527" s="1">
        <v>183</v>
      </c>
      <c r="E527" s="1">
        <v>1</v>
      </c>
      <c r="F527" s="1">
        <v>24</v>
      </c>
      <c r="AS527" s="1">
        <v>1</v>
      </c>
    </row>
    <row r="528" spans="1:82" x14ac:dyDescent="0.3">
      <c r="A528" s="1" t="s">
        <v>118</v>
      </c>
      <c r="B528" s="7">
        <v>40757</v>
      </c>
      <c r="C528" s="1">
        <v>15.5</v>
      </c>
      <c r="D528" s="1">
        <v>183</v>
      </c>
      <c r="E528" s="1">
        <v>1</v>
      </c>
      <c r="F528" s="1">
        <v>25</v>
      </c>
      <c r="BW528" s="9">
        <v>0</v>
      </c>
      <c r="BX528" s="9">
        <v>1</v>
      </c>
    </row>
    <row r="529" spans="1:88" x14ac:dyDescent="0.3">
      <c r="A529" s="1" t="s">
        <v>118</v>
      </c>
      <c r="B529" s="7">
        <v>40757</v>
      </c>
      <c r="C529" s="1">
        <v>15.5</v>
      </c>
      <c r="D529" s="1">
        <v>183</v>
      </c>
      <c r="E529" s="1">
        <v>1</v>
      </c>
      <c r="F529" s="1">
        <v>26</v>
      </c>
    </row>
    <row r="530" spans="1:88" x14ac:dyDescent="0.3">
      <c r="A530" s="1" t="s">
        <v>118</v>
      </c>
      <c r="B530" s="7">
        <v>40757</v>
      </c>
      <c r="C530" s="1">
        <v>15.5</v>
      </c>
      <c r="D530" s="1">
        <v>183</v>
      </c>
      <c r="E530" s="1">
        <v>1</v>
      </c>
      <c r="F530" s="1">
        <v>27</v>
      </c>
      <c r="H530" s="1">
        <v>1</v>
      </c>
      <c r="L530" s="1">
        <v>1</v>
      </c>
    </row>
    <row r="531" spans="1:88" x14ac:dyDescent="0.3">
      <c r="A531" s="1" t="s">
        <v>118</v>
      </c>
      <c r="B531" s="7">
        <v>40757</v>
      </c>
      <c r="C531" s="1">
        <v>15.5</v>
      </c>
      <c r="D531" s="1">
        <v>183</v>
      </c>
      <c r="E531" s="1">
        <v>1</v>
      </c>
      <c r="F531" s="1">
        <v>28</v>
      </c>
      <c r="L531" s="1">
        <v>1</v>
      </c>
    </row>
    <row r="532" spans="1:88" x14ac:dyDescent="0.3">
      <c r="A532" s="1" t="s">
        <v>118</v>
      </c>
      <c r="B532" s="7">
        <v>40757</v>
      </c>
      <c r="C532" s="1">
        <v>15.5</v>
      </c>
      <c r="D532" s="1">
        <v>183</v>
      </c>
      <c r="E532" s="1">
        <v>1</v>
      </c>
      <c r="F532" s="1">
        <v>29</v>
      </c>
      <c r="L532" s="1">
        <v>1</v>
      </c>
      <c r="AB532" s="1">
        <v>1</v>
      </c>
    </row>
    <row r="533" spans="1:88" x14ac:dyDescent="0.3">
      <c r="A533" s="1" t="s">
        <v>118</v>
      </c>
      <c r="B533" s="7">
        <v>40757</v>
      </c>
      <c r="C533" s="1">
        <v>15.5</v>
      </c>
      <c r="D533" s="1">
        <v>183</v>
      </c>
      <c r="E533" s="1">
        <v>1</v>
      </c>
      <c r="F533" s="1">
        <v>30</v>
      </c>
      <c r="L533" s="1">
        <v>1</v>
      </c>
      <c r="AB533" s="1">
        <v>1</v>
      </c>
      <c r="CD533" s="1">
        <v>1</v>
      </c>
    </row>
    <row r="534" spans="1:88" x14ac:dyDescent="0.3">
      <c r="A534" s="1" t="s">
        <v>118</v>
      </c>
      <c r="B534" s="7">
        <v>40757</v>
      </c>
      <c r="C534" s="1">
        <v>15.5</v>
      </c>
      <c r="D534" s="1">
        <v>183</v>
      </c>
      <c r="E534" s="1">
        <v>1</v>
      </c>
      <c r="F534" s="1">
        <v>31</v>
      </c>
      <c r="L534" s="1">
        <v>1</v>
      </c>
    </row>
    <row r="535" spans="1:88" x14ac:dyDescent="0.3">
      <c r="A535" s="1" t="s">
        <v>118</v>
      </c>
      <c r="B535" s="7">
        <v>40757</v>
      </c>
      <c r="C535" s="1">
        <v>15.5</v>
      </c>
      <c r="D535" s="1">
        <v>183</v>
      </c>
      <c r="E535" s="1">
        <v>1</v>
      </c>
      <c r="F535" s="1">
        <v>32</v>
      </c>
      <c r="H535" s="1">
        <v>1</v>
      </c>
      <c r="AB535" s="1">
        <v>1</v>
      </c>
    </row>
    <row r="536" spans="1:88" x14ac:dyDescent="0.3">
      <c r="A536" s="1" t="s">
        <v>118</v>
      </c>
      <c r="B536" s="7">
        <v>40757</v>
      </c>
      <c r="C536" s="1">
        <v>15.5</v>
      </c>
      <c r="D536" s="1">
        <v>183</v>
      </c>
      <c r="E536" s="1">
        <v>1</v>
      </c>
      <c r="F536" s="1">
        <v>33</v>
      </c>
      <c r="AA536" s="1">
        <v>1</v>
      </c>
      <c r="AS536" s="1">
        <v>1</v>
      </c>
    </row>
    <row r="537" spans="1:88" x14ac:dyDescent="0.3">
      <c r="A537" s="1" t="s">
        <v>118</v>
      </c>
      <c r="B537" s="7">
        <v>40757</v>
      </c>
      <c r="C537" s="1">
        <v>15.5</v>
      </c>
      <c r="D537" s="1">
        <v>183</v>
      </c>
      <c r="E537" s="1">
        <v>1</v>
      </c>
      <c r="F537" s="1">
        <v>34</v>
      </c>
      <c r="AB537" s="1">
        <v>1</v>
      </c>
    </row>
    <row r="538" spans="1:88" x14ac:dyDescent="0.3">
      <c r="A538" s="1" t="s">
        <v>118</v>
      </c>
      <c r="B538" s="7">
        <v>40757</v>
      </c>
      <c r="C538" s="1">
        <v>15.5</v>
      </c>
      <c r="D538" s="1">
        <v>183</v>
      </c>
      <c r="E538" s="1">
        <v>1</v>
      </c>
      <c r="F538" s="1">
        <v>35</v>
      </c>
      <c r="H538" s="1">
        <v>1</v>
      </c>
    </row>
    <row r="539" spans="1:88" x14ac:dyDescent="0.3">
      <c r="A539" s="1" t="s">
        <v>118</v>
      </c>
      <c r="B539" s="7">
        <v>40757</v>
      </c>
      <c r="C539" s="1">
        <v>15.5</v>
      </c>
      <c r="D539" s="1">
        <v>183</v>
      </c>
      <c r="E539" s="1">
        <v>1</v>
      </c>
      <c r="F539" s="1">
        <v>36</v>
      </c>
      <c r="L539" s="1">
        <v>1</v>
      </c>
      <c r="BW539" s="1">
        <v>1</v>
      </c>
    </row>
    <row r="540" spans="1:88" x14ac:dyDescent="0.3">
      <c r="A540" s="1" t="s">
        <v>118</v>
      </c>
      <c r="B540" s="7">
        <v>40757</v>
      </c>
      <c r="C540" s="1">
        <v>15.5</v>
      </c>
      <c r="D540" s="1">
        <v>183</v>
      </c>
      <c r="E540" s="1">
        <v>1</v>
      </c>
      <c r="F540" s="1">
        <v>37</v>
      </c>
      <c r="CJ540" s="1">
        <v>1</v>
      </c>
    </row>
    <row r="541" spans="1:88" x14ac:dyDescent="0.3">
      <c r="A541" s="1" t="s">
        <v>118</v>
      </c>
      <c r="B541" s="7">
        <v>40757</v>
      </c>
      <c r="C541" s="1">
        <v>15.5</v>
      </c>
      <c r="D541" s="1">
        <v>183</v>
      </c>
      <c r="E541" s="1">
        <v>1</v>
      </c>
      <c r="F541" s="1">
        <v>38</v>
      </c>
      <c r="L541" s="1">
        <v>1</v>
      </c>
    </row>
    <row r="542" spans="1:88" x14ac:dyDescent="0.3">
      <c r="A542" s="1" t="s">
        <v>118</v>
      </c>
      <c r="B542" s="7">
        <v>40757</v>
      </c>
      <c r="C542" s="1">
        <v>15.5</v>
      </c>
      <c r="D542" s="1">
        <v>183</v>
      </c>
      <c r="E542" s="1">
        <v>1</v>
      </c>
      <c r="F542" s="1">
        <v>39</v>
      </c>
      <c r="AA542" s="1">
        <v>1</v>
      </c>
      <c r="AB542" s="1">
        <v>1</v>
      </c>
    </row>
    <row r="543" spans="1:88" x14ac:dyDescent="0.3">
      <c r="A543" s="1" t="s">
        <v>118</v>
      </c>
      <c r="B543" s="7">
        <v>40757</v>
      </c>
      <c r="C543" s="1">
        <v>15.5</v>
      </c>
      <c r="D543" s="1">
        <v>183</v>
      </c>
      <c r="E543" s="1">
        <v>1</v>
      </c>
      <c r="F543" s="1">
        <v>40</v>
      </c>
      <c r="R543" s="3">
        <v>0</v>
      </c>
      <c r="S543" s="3">
        <v>1</v>
      </c>
    </row>
    <row r="544" spans="1:88" x14ac:dyDescent="0.3">
      <c r="A544" s="1" t="s">
        <v>118</v>
      </c>
      <c r="B544" s="7">
        <v>40757</v>
      </c>
      <c r="C544" s="1">
        <v>15.5</v>
      </c>
      <c r="D544" s="1">
        <v>183</v>
      </c>
      <c r="E544" s="1">
        <v>1</v>
      </c>
      <c r="F544" s="1">
        <v>41</v>
      </c>
      <c r="L544" s="1">
        <v>1</v>
      </c>
      <c r="AS544" s="1">
        <v>1</v>
      </c>
    </row>
    <row r="545" spans="1:76" x14ac:dyDescent="0.3">
      <c r="A545" s="1" t="s">
        <v>118</v>
      </c>
      <c r="B545" s="7">
        <v>40757</v>
      </c>
      <c r="C545" s="1">
        <v>15.5</v>
      </c>
      <c r="D545" s="1">
        <v>183</v>
      </c>
      <c r="E545" s="1">
        <v>1</v>
      </c>
      <c r="F545" s="1">
        <v>42</v>
      </c>
      <c r="I545" s="1">
        <v>1</v>
      </c>
      <c r="AS545" s="1">
        <v>1</v>
      </c>
    </row>
    <row r="546" spans="1:76" x14ac:dyDescent="0.3">
      <c r="A546" s="1" t="s">
        <v>118</v>
      </c>
      <c r="B546" s="7">
        <v>40757</v>
      </c>
      <c r="C546" s="1">
        <v>15.5</v>
      </c>
      <c r="D546" s="1">
        <v>183</v>
      </c>
      <c r="E546" s="1">
        <v>1</v>
      </c>
      <c r="F546" s="1">
        <v>43</v>
      </c>
      <c r="AA546" s="1">
        <v>1</v>
      </c>
      <c r="AS546" s="1">
        <v>1</v>
      </c>
      <c r="BI546" s="1">
        <v>1</v>
      </c>
    </row>
    <row r="547" spans="1:76" x14ac:dyDescent="0.3">
      <c r="A547" s="1" t="s">
        <v>118</v>
      </c>
      <c r="B547" s="7">
        <v>40757</v>
      </c>
      <c r="C547" s="1">
        <v>15.5</v>
      </c>
      <c r="D547" s="1">
        <v>183</v>
      </c>
      <c r="E547" s="1">
        <v>1</v>
      </c>
      <c r="F547" s="1">
        <v>44</v>
      </c>
      <c r="AS547" s="1">
        <v>1</v>
      </c>
    </row>
    <row r="548" spans="1:76" x14ac:dyDescent="0.3">
      <c r="A548" s="1" t="s">
        <v>118</v>
      </c>
      <c r="B548" s="7">
        <v>40757</v>
      </c>
      <c r="C548" s="1">
        <v>15.5</v>
      </c>
      <c r="D548" s="1">
        <v>183</v>
      </c>
      <c r="E548" s="1">
        <v>1</v>
      </c>
      <c r="F548" s="1">
        <v>45</v>
      </c>
      <c r="H548" s="1">
        <v>1</v>
      </c>
      <c r="L548" s="1">
        <v>1</v>
      </c>
    </row>
    <row r="549" spans="1:76" x14ac:dyDescent="0.3">
      <c r="A549" s="1" t="s">
        <v>118</v>
      </c>
      <c r="B549" s="7">
        <v>40757</v>
      </c>
      <c r="C549" s="1">
        <v>15.5</v>
      </c>
      <c r="D549" s="1">
        <v>183</v>
      </c>
      <c r="E549" s="1">
        <v>1</v>
      </c>
      <c r="F549" s="1">
        <v>46</v>
      </c>
      <c r="H549" s="1">
        <v>1</v>
      </c>
      <c r="L549" s="1">
        <v>1</v>
      </c>
    </row>
    <row r="550" spans="1:76" x14ac:dyDescent="0.3">
      <c r="A550" s="1" t="s">
        <v>118</v>
      </c>
      <c r="B550" s="7">
        <v>40757</v>
      </c>
      <c r="C550" s="1">
        <v>15.5</v>
      </c>
      <c r="D550" s="1">
        <v>183</v>
      </c>
      <c r="E550" s="1">
        <v>1</v>
      </c>
      <c r="F550" s="1">
        <v>47</v>
      </c>
      <c r="H550" s="1">
        <v>1</v>
      </c>
      <c r="L550" s="1">
        <v>1</v>
      </c>
    </row>
    <row r="551" spans="1:76" x14ac:dyDescent="0.3">
      <c r="A551" s="1" t="s">
        <v>118</v>
      </c>
      <c r="B551" s="7">
        <v>40757</v>
      </c>
      <c r="C551" s="1">
        <v>15.5</v>
      </c>
      <c r="D551" s="1">
        <v>183</v>
      </c>
      <c r="E551" s="1">
        <v>1</v>
      </c>
      <c r="F551" s="1">
        <v>48</v>
      </c>
      <c r="L551" s="1">
        <v>1</v>
      </c>
    </row>
    <row r="552" spans="1:76" x14ac:dyDescent="0.3">
      <c r="A552" s="1" t="s">
        <v>118</v>
      </c>
      <c r="B552" s="7">
        <v>40757</v>
      </c>
      <c r="C552" s="1">
        <v>15.5</v>
      </c>
      <c r="D552" s="1">
        <v>183</v>
      </c>
      <c r="E552" s="1">
        <v>1</v>
      </c>
      <c r="F552" s="1">
        <v>49</v>
      </c>
      <c r="H552" s="1">
        <v>1</v>
      </c>
      <c r="AA552" s="1">
        <v>1</v>
      </c>
      <c r="AB552" s="1">
        <v>1</v>
      </c>
    </row>
    <row r="553" spans="1:76" x14ac:dyDescent="0.3">
      <c r="A553" s="1" t="s">
        <v>118</v>
      </c>
      <c r="B553" s="7">
        <v>40757</v>
      </c>
      <c r="C553" s="1">
        <v>15.5</v>
      </c>
      <c r="D553" s="1">
        <v>183</v>
      </c>
      <c r="E553" s="1">
        <v>1</v>
      </c>
      <c r="F553" s="1">
        <v>50</v>
      </c>
      <c r="H553" s="1">
        <v>1</v>
      </c>
      <c r="L553" s="1">
        <v>1</v>
      </c>
    </row>
    <row r="554" spans="1:76" x14ac:dyDescent="0.3">
      <c r="A554" s="1" t="s">
        <v>118</v>
      </c>
      <c r="B554" s="7">
        <v>40757</v>
      </c>
      <c r="C554" s="1">
        <v>15.5</v>
      </c>
      <c r="D554" s="1">
        <v>183</v>
      </c>
      <c r="E554" s="1">
        <v>1</v>
      </c>
      <c r="F554" s="1">
        <v>51</v>
      </c>
      <c r="L554" s="1">
        <v>1</v>
      </c>
    </row>
    <row r="555" spans="1:76" x14ac:dyDescent="0.3">
      <c r="A555" s="1" t="s">
        <v>118</v>
      </c>
      <c r="B555" s="7">
        <v>40757</v>
      </c>
      <c r="C555" s="1">
        <v>15.5</v>
      </c>
      <c r="D555" s="1">
        <v>183</v>
      </c>
      <c r="E555" s="1">
        <v>1</v>
      </c>
      <c r="F555" s="1">
        <v>52</v>
      </c>
      <c r="AA555" s="1">
        <v>1</v>
      </c>
    </row>
    <row r="556" spans="1:76" x14ac:dyDescent="0.3">
      <c r="A556" s="1" t="s">
        <v>118</v>
      </c>
      <c r="B556" s="7">
        <v>40757</v>
      </c>
      <c r="C556" s="1">
        <v>15.5</v>
      </c>
      <c r="D556" s="1">
        <v>183</v>
      </c>
      <c r="E556" s="1">
        <v>1</v>
      </c>
      <c r="F556" s="1">
        <v>53</v>
      </c>
      <c r="L556" s="1">
        <v>1</v>
      </c>
      <c r="BE556" s="1">
        <v>1</v>
      </c>
    </row>
    <row r="557" spans="1:76" x14ac:dyDescent="0.3">
      <c r="A557" s="1" t="s">
        <v>118</v>
      </c>
      <c r="B557" s="7">
        <v>40757</v>
      </c>
      <c r="C557" s="1">
        <v>15.5</v>
      </c>
      <c r="D557" s="1">
        <v>183</v>
      </c>
      <c r="E557" s="1">
        <v>1</v>
      </c>
      <c r="F557" s="1">
        <v>54</v>
      </c>
      <c r="AF557" s="1">
        <v>1</v>
      </c>
      <c r="BE557" s="1">
        <v>1</v>
      </c>
    </row>
    <row r="558" spans="1:76" x14ac:dyDescent="0.3">
      <c r="A558" s="1" t="s">
        <v>118</v>
      </c>
      <c r="B558" s="7">
        <v>40757</v>
      </c>
      <c r="C558" s="1">
        <v>15.5</v>
      </c>
      <c r="D558" s="1">
        <v>183</v>
      </c>
      <c r="E558" s="1">
        <v>1</v>
      </c>
      <c r="F558" s="1">
        <v>55</v>
      </c>
      <c r="H558" s="1">
        <v>1</v>
      </c>
      <c r="BW558" s="9">
        <v>0</v>
      </c>
      <c r="BX558" s="9">
        <v>1</v>
      </c>
    </row>
    <row r="559" spans="1:76" x14ac:dyDescent="0.3">
      <c r="A559" s="1" t="s">
        <v>118</v>
      </c>
      <c r="B559" s="7">
        <v>40757</v>
      </c>
      <c r="C559" s="1">
        <v>15.5</v>
      </c>
      <c r="D559" s="1">
        <v>183</v>
      </c>
      <c r="E559" s="1">
        <v>1</v>
      </c>
      <c r="F559" s="1">
        <v>56</v>
      </c>
      <c r="G559" s="1">
        <v>1</v>
      </c>
    </row>
    <row r="560" spans="1:76" x14ac:dyDescent="0.3">
      <c r="A560" s="1" t="s">
        <v>118</v>
      </c>
      <c r="B560" s="7">
        <v>40757</v>
      </c>
      <c r="C560" s="1">
        <v>15.5</v>
      </c>
      <c r="D560" s="1">
        <v>183</v>
      </c>
      <c r="E560" s="1">
        <v>1</v>
      </c>
      <c r="F560" s="1">
        <v>57</v>
      </c>
      <c r="AB560" s="1">
        <v>1</v>
      </c>
    </row>
    <row r="561" spans="1:75" x14ac:dyDescent="0.3">
      <c r="A561" s="1" t="s">
        <v>118</v>
      </c>
      <c r="B561" s="7">
        <v>40757</v>
      </c>
      <c r="C561" s="1">
        <v>15.5</v>
      </c>
      <c r="D561" s="1">
        <v>183</v>
      </c>
      <c r="E561" s="1">
        <v>1</v>
      </c>
      <c r="F561" s="1">
        <v>58</v>
      </c>
      <c r="I561" s="1">
        <v>1</v>
      </c>
      <c r="R561" s="3">
        <v>0</v>
      </c>
      <c r="S561" s="3">
        <v>1</v>
      </c>
    </row>
    <row r="562" spans="1:75" x14ac:dyDescent="0.3">
      <c r="A562" s="1" t="s">
        <v>118</v>
      </c>
      <c r="B562" s="7">
        <v>40757</v>
      </c>
      <c r="C562" s="1">
        <v>15.5</v>
      </c>
      <c r="D562" s="1">
        <v>183</v>
      </c>
      <c r="E562" s="1">
        <v>1</v>
      </c>
      <c r="F562" s="1">
        <v>59</v>
      </c>
      <c r="L562" s="1">
        <v>1</v>
      </c>
    </row>
    <row r="563" spans="1:75" x14ac:dyDescent="0.3">
      <c r="A563" s="1" t="s">
        <v>118</v>
      </c>
      <c r="B563" s="7">
        <v>40757</v>
      </c>
      <c r="C563" s="1">
        <v>15.5</v>
      </c>
      <c r="D563" s="1">
        <v>183</v>
      </c>
      <c r="E563" s="1">
        <v>1</v>
      </c>
      <c r="F563" s="1">
        <v>60</v>
      </c>
      <c r="L563" s="1">
        <v>1</v>
      </c>
      <c r="AB563" s="1">
        <v>1</v>
      </c>
    </row>
    <row r="564" spans="1:75" x14ac:dyDescent="0.3">
      <c r="A564" s="1" t="s">
        <v>118</v>
      </c>
      <c r="B564" s="7">
        <v>40757</v>
      </c>
      <c r="C564" s="1">
        <v>15.5</v>
      </c>
      <c r="D564" s="1">
        <v>183</v>
      </c>
      <c r="E564" s="1">
        <v>1</v>
      </c>
      <c r="F564" s="1">
        <v>61</v>
      </c>
      <c r="L564" s="1">
        <v>1</v>
      </c>
      <c r="R564" s="3">
        <v>0</v>
      </c>
      <c r="S564" s="3">
        <v>1</v>
      </c>
    </row>
    <row r="565" spans="1:75" x14ac:dyDescent="0.3">
      <c r="A565" s="1" t="s">
        <v>118</v>
      </c>
      <c r="B565" s="7">
        <v>40757</v>
      </c>
      <c r="C565" s="1">
        <v>15.5</v>
      </c>
      <c r="D565" s="1">
        <v>183</v>
      </c>
      <c r="E565" s="1">
        <v>1</v>
      </c>
      <c r="F565" s="1">
        <v>62</v>
      </c>
      <c r="L565" s="1">
        <v>1</v>
      </c>
      <c r="AS565" s="1">
        <v>1</v>
      </c>
    </row>
    <row r="566" spans="1:75" x14ac:dyDescent="0.3">
      <c r="A566" s="1" t="s">
        <v>118</v>
      </c>
      <c r="B566" s="7">
        <v>40757</v>
      </c>
      <c r="C566" s="1">
        <v>15.5</v>
      </c>
      <c r="D566" s="1">
        <v>183</v>
      </c>
      <c r="E566" s="1">
        <v>1</v>
      </c>
      <c r="F566" s="1">
        <v>63</v>
      </c>
      <c r="L566" s="1">
        <v>1</v>
      </c>
      <c r="AS566" s="1">
        <v>1</v>
      </c>
    </row>
    <row r="567" spans="1:75" x14ac:dyDescent="0.3">
      <c r="A567" s="1" t="s">
        <v>118</v>
      </c>
      <c r="B567" s="7">
        <v>40757</v>
      </c>
      <c r="C567" s="1">
        <v>15.5</v>
      </c>
      <c r="D567" s="1">
        <v>183</v>
      </c>
      <c r="E567" s="1">
        <v>1</v>
      </c>
      <c r="F567" s="1">
        <v>64</v>
      </c>
      <c r="L567" s="1">
        <v>1</v>
      </c>
    </row>
    <row r="568" spans="1:75" x14ac:dyDescent="0.3">
      <c r="A568" s="1" t="s">
        <v>118</v>
      </c>
      <c r="B568" s="7">
        <v>40757</v>
      </c>
      <c r="C568" s="1">
        <v>15.5</v>
      </c>
      <c r="D568" s="1">
        <v>183</v>
      </c>
      <c r="E568" s="1">
        <v>1</v>
      </c>
      <c r="F568" s="1">
        <v>65</v>
      </c>
      <c r="BW568" s="1">
        <v>1</v>
      </c>
    </row>
    <row r="569" spans="1:75" x14ac:dyDescent="0.3">
      <c r="A569" s="1" t="s">
        <v>118</v>
      </c>
      <c r="B569" s="7">
        <v>40757</v>
      </c>
      <c r="C569" s="1">
        <v>15.5</v>
      </c>
      <c r="D569" s="1">
        <v>183</v>
      </c>
      <c r="E569" s="1">
        <v>1</v>
      </c>
      <c r="F569" s="1">
        <v>66</v>
      </c>
      <c r="H569" s="1">
        <v>1</v>
      </c>
      <c r="L569" s="1">
        <v>1</v>
      </c>
    </row>
    <row r="570" spans="1:75" x14ac:dyDescent="0.3">
      <c r="A570" s="1" t="s">
        <v>118</v>
      </c>
      <c r="B570" s="7">
        <v>40757</v>
      </c>
      <c r="C570" s="1">
        <v>15.5</v>
      </c>
      <c r="D570" s="1">
        <v>183</v>
      </c>
      <c r="E570" s="1">
        <v>1</v>
      </c>
      <c r="F570" s="1">
        <v>67</v>
      </c>
      <c r="G570" s="1">
        <v>1</v>
      </c>
      <c r="L570" s="1">
        <v>1</v>
      </c>
    </row>
    <row r="571" spans="1:75" x14ac:dyDescent="0.3">
      <c r="A571" s="1" t="s">
        <v>118</v>
      </c>
      <c r="B571" s="7">
        <v>40757</v>
      </c>
      <c r="C571" s="1">
        <v>15.5</v>
      </c>
      <c r="D571" s="1">
        <v>183</v>
      </c>
      <c r="E571" s="1">
        <v>1</v>
      </c>
      <c r="F571" s="1">
        <v>68</v>
      </c>
    </row>
    <row r="572" spans="1:75" x14ac:dyDescent="0.3">
      <c r="A572" s="1" t="s">
        <v>118</v>
      </c>
      <c r="B572" s="7">
        <v>40757</v>
      </c>
      <c r="C572" s="1">
        <v>15.5</v>
      </c>
      <c r="D572" s="1">
        <v>183</v>
      </c>
      <c r="E572" s="1">
        <v>1</v>
      </c>
      <c r="F572" s="1">
        <v>69</v>
      </c>
      <c r="L572" s="1">
        <v>1</v>
      </c>
    </row>
    <row r="573" spans="1:75" x14ac:dyDescent="0.3">
      <c r="A573" s="1" t="s">
        <v>118</v>
      </c>
      <c r="B573" s="7">
        <v>40757</v>
      </c>
      <c r="C573" s="1">
        <v>15.5</v>
      </c>
      <c r="D573" s="1">
        <v>183</v>
      </c>
      <c r="E573" s="1">
        <v>1</v>
      </c>
      <c r="F573" s="1">
        <v>70</v>
      </c>
      <c r="AF573" s="1">
        <v>1</v>
      </c>
    </row>
    <row r="574" spans="1:75" x14ac:dyDescent="0.3">
      <c r="A574" s="1" t="s">
        <v>118</v>
      </c>
      <c r="B574" s="7">
        <v>40757</v>
      </c>
      <c r="C574" s="1">
        <v>15.5</v>
      </c>
      <c r="D574" s="1">
        <v>183</v>
      </c>
      <c r="E574" s="1">
        <v>1</v>
      </c>
      <c r="F574" s="1">
        <v>71</v>
      </c>
      <c r="L574" s="1">
        <v>1</v>
      </c>
    </row>
    <row r="575" spans="1:75" x14ac:dyDescent="0.3">
      <c r="A575" s="1" t="s">
        <v>118</v>
      </c>
      <c r="B575" s="7">
        <v>40757</v>
      </c>
      <c r="C575" s="1">
        <v>15.5</v>
      </c>
      <c r="D575" s="1">
        <v>183</v>
      </c>
      <c r="E575" s="1">
        <v>1</v>
      </c>
      <c r="F575" s="1">
        <v>72</v>
      </c>
      <c r="L575" s="1">
        <v>1</v>
      </c>
    </row>
    <row r="576" spans="1:75" x14ac:dyDescent="0.3">
      <c r="A576" s="1" t="s">
        <v>118</v>
      </c>
      <c r="B576" s="7">
        <v>40757</v>
      </c>
      <c r="C576" s="1">
        <v>15.5</v>
      </c>
      <c r="D576" s="1">
        <v>183</v>
      </c>
      <c r="E576" s="1">
        <v>1</v>
      </c>
      <c r="F576" s="1">
        <v>73</v>
      </c>
      <c r="L576" s="1">
        <v>1</v>
      </c>
      <c r="AS576" s="1">
        <v>1</v>
      </c>
    </row>
    <row r="577" spans="1:70" x14ac:dyDescent="0.3">
      <c r="A577" s="1" t="s">
        <v>118</v>
      </c>
      <c r="B577" s="7">
        <v>40757</v>
      </c>
      <c r="C577" s="1">
        <v>15.5</v>
      </c>
      <c r="D577" s="1">
        <v>183</v>
      </c>
      <c r="E577" s="1">
        <v>1</v>
      </c>
      <c r="F577" s="1">
        <v>74</v>
      </c>
      <c r="H577" s="1">
        <v>1</v>
      </c>
      <c r="L577" s="1">
        <v>1</v>
      </c>
      <c r="AS577" s="1">
        <v>1</v>
      </c>
    </row>
    <row r="578" spans="1:70" x14ac:dyDescent="0.3">
      <c r="A578" s="1" t="s">
        <v>118</v>
      </c>
      <c r="B578" s="7">
        <v>40757</v>
      </c>
      <c r="C578" s="1">
        <v>15.5</v>
      </c>
      <c r="D578" s="1">
        <v>183</v>
      </c>
      <c r="E578" s="1">
        <v>1</v>
      </c>
      <c r="F578" s="1">
        <v>75</v>
      </c>
      <c r="H578" s="1">
        <v>1</v>
      </c>
      <c r="L578" s="1">
        <v>1</v>
      </c>
      <c r="BR578" s="1">
        <v>1</v>
      </c>
    </row>
    <row r="579" spans="1:70" x14ac:dyDescent="0.3">
      <c r="A579" s="1" t="s">
        <v>118</v>
      </c>
      <c r="B579" s="7">
        <v>40757</v>
      </c>
      <c r="C579" s="1">
        <v>15.5</v>
      </c>
      <c r="D579" s="1">
        <v>183</v>
      </c>
      <c r="E579" s="1">
        <v>1</v>
      </c>
      <c r="F579" s="1">
        <v>76</v>
      </c>
      <c r="L579" s="1">
        <v>1</v>
      </c>
      <c r="AA579" s="1">
        <v>1</v>
      </c>
    </row>
    <row r="580" spans="1:70" x14ac:dyDescent="0.3">
      <c r="A580" s="1" t="s">
        <v>118</v>
      </c>
      <c r="B580" s="7">
        <v>40757</v>
      </c>
      <c r="C580" s="1">
        <v>15.5</v>
      </c>
      <c r="D580" s="1">
        <v>183</v>
      </c>
      <c r="E580" s="1">
        <v>1</v>
      </c>
      <c r="F580" s="1">
        <v>77</v>
      </c>
      <c r="H580" s="1">
        <v>1</v>
      </c>
      <c r="L580" s="1">
        <v>1</v>
      </c>
    </row>
    <row r="581" spans="1:70" x14ac:dyDescent="0.3">
      <c r="A581" s="1" t="s">
        <v>118</v>
      </c>
      <c r="B581" s="7">
        <v>40757</v>
      </c>
      <c r="C581" s="1">
        <v>15.5</v>
      </c>
      <c r="D581" s="1">
        <v>183</v>
      </c>
      <c r="E581" s="1">
        <v>1</v>
      </c>
      <c r="F581" s="1">
        <v>78</v>
      </c>
    </row>
    <row r="582" spans="1:70" x14ac:dyDescent="0.3">
      <c r="A582" s="1" t="s">
        <v>118</v>
      </c>
      <c r="B582" s="7">
        <v>40757</v>
      </c>
      <c r="C582" s="1">
        <v>15.5</v>
      </c>
      <c r="D582" s="1">
        <v>183</v>
      </c>
      <c r="E582" s="1">
        <v>1</v>
      </c>
      <c r="F582" s="1">
        <v>79</v>
      </c>
      <c r="L582" s="1">
        <v>1</v>
      </c>
    </row>
    <row r="583" spans="1:70" x14ac:dyDescent="0.3">
      <c r="A583" s="1" t="s">
        <v>118</v>
      </c>
      <c r="B583" s="7">
        <v>40757</v>
      </c>
      <c r="C583" s="1">
        <v>15.5</v>
      </c>
      <c r="D583" s="1">
        <v>183</v>
      </c>
      <c r="E583" s="1">
        <v>1</v>
      </c>
      <c r="F583" s="1">
        <v>80</v>
      </c>
      <c r="L583" s="1">
        <v>1</v>
      </c>
    </row>
    <row r="584" spans="1:70" x14ac:dyDescent="0.3">
      <c r="A584" s="1" t="s">
        <v>118</v>
      </c>
      <c r="B584" s="7">
        <v>40757</v>
      </c>
      <c r="C584" s="1">
        <v>15.5</v>
      </c>
      <c r="D584" s="1">
        <v>183</v>
      </c>
      <c r="E584" s="1">
        <v>1</v>
      </c>
      <c r="F584" s="1">
        <v>81</v>
      </c>
      <c r="L584" s="1">
        <v>1</v>
      </c>
    </row>
    <row r="585" spans="1:70" x14ac:dyDescent="0.3">
      <c r="A585" s="1" t="s">
        <v>118</v>
      </c>
      <c r="B585" s="7">
        <v>40757</v>
      </c>
      <c r="C585" s="1">
        <v>15.5</v>
      </c>
      <c r="D585" s="1">
        <v>183</v>
      </c>
      <c r="E585" s="1">
        <v>1</v>
      </c>
      <c r="F585" s="1">
        <v>82</v>
      </c>
      <c r="AF585" s="1">
        <v>1</v>
      </c>
      <c r="AS585" s="1">
        <v>1</v>
      </c>
    </row>
    <row r="586" spans="1:70" x14ac:dyDescent="0.3">
      <c r="A586" s="1" t="s">
        <v>118</v>
      </c>
      <c r="B586" s="7">
        <v>40757</v>
      </c>
      <c r="C586" s="1">
        <v>15.5</v>
      </c>
      <c r="D586" s="1">
        <v>183</v>
      </c>
      <c r="E586" s="1">
        <v>1</v>
      </c>
      <c r="F586" s="1">
        <v>83</v>
      </c>
      <c r="L586" s="1">
        <v>1</v>
      </c>
      <c r="AS586" s="1">
        <v>1</v>
      </c>
    </row>
    <row r="587" spans="1:70" x14ac:dyDescent="0.3">
      <c r="A587" s="1" t="s">
        <v>118</v>
      </c>
      <c r="B587" s="7">
        <v>40757</v>
      </c>
      <c r="C587" s="1">
        <v>15.5</v>
      </c>
      <c r="D587" s="1">
        <v>183</v>
      </c>
      <c r="E587" s="1">
        <v>1</v>
      </c>
      <c r="F587" s="1">
        <v>84</v>
      </c>
      <c r="L587" s="1">
        <v>1</v>
      </c>
    </row>
    <row r="588" spans="1:70" x14ac:dyDescent="0.3">
      <c r="A588" s="1" t="s">
        <v>118</v>
      </c>
      <c r="B588" s="7">
        <v>40757</v>
      </c>
      <c r="C588" s="1">
        <v>15.5</v>
      </c>
      <c r="D588" s="1">
        <v>183</v>
      </c>
      <c r="E588" s="1">
        <v>1</v>
      </c>
      <c r="F588" s="1">
        <v>85</v>
      </c>
      <c r="L588" s="1">
        <v>1</v>
      </c>
      <c r="AA588" s="1">
        <v>1</v>
      </c>
    </row>
    <row r="589" spans="1:70" x14ac:dyDescent="0.3">
      <c r="A589" s="1" t="s">
        <v>118</v>
      </c>
      <c r="B589" s="7">
        <v>40757</v>
      </c>
      <c r="C589" s="1">
        <v>15.5</v>
      </c>
      <c r="D589" s="1">
        <v>183</v>
      </c>
      <c r="E589" s="1">
        <v>1</v>
      </c>
      <c r="F589" s="1">
        <v>86</v>
      </c>
      <c r="L589" s="1">
        <v>1</v>
      </c>
      <c r="AF589" s="1">
        <v>1</v>
      </c>
    </row>
    <row r="590" spans="1:70" x14ac:dyDescent="0.3">
      <c r="A590" s="1" t="s">
        <v>118</v>
      </c>
      <c r="B590" s="7">
        <v>40757</v>
      </c>
      <c r="C590" s="1">
        <v>15.5</v>
      </c>
      <c r="D590" s="1">
        <v>183</v>
      </c>
      <c r="E590" s="1">
        <v>1</v>
      </c>
      <c r="F590" s="1">
        <v>87</v>
      </c>
      <c r="L590" s="1">
        <v>1</v>
      </c>
    </row>
    <row r="591" spans="1:70" x14ac:dyDescent="0.3">
      <c r="A591" s="1" t="s">
        <v>118</v>
      </c>
      <c r="B591" s="7">
        <v>40757</v>
      </c>
      <c r="C591" s="1">
        <v>15.5</v>
      </c>
      <c r="D591" s="1">
        <v>183</v>
      </c>
      <c r="E591" s="1">
        <v>1</v>
      </c>
      <c r="F591" s="1">
        <v>88</v>
      </c>
      <c r="H591" s="1">
        <v>1</v>
      </c>
    </row>
    <row r="592" spans="1:70" x14ac:dyDescent="0.3">
      <c r="A592" s="1" t="s">
        <v>118</v>
      </c>
      <c r="B592" s="7">
        <v>40757</v>
      </c>
      <c r="C592" s="1">
        <v>15.5</v>
      </c>
      <c r="D592" s="1">
        <v>183</v>
      </c>
      <c r="E592" s="1">
        <v>1</v>
      </c>
      <c r="F592" s="1">
        <v>89</v>
      </c>
      <c r="H592" s="1">
        <v>1</v>
      </c>
      <c r="L592" s="1">
        <v>1</v>
      </c>
    </row>
    <row r="593" spans="1:90" x14ac:dyDescent="0.3">
      <c r="A593" s="1" t="s">
        <v>118</v>
      </c>
      <c r="B593" s="7">
        <v>40757</v>
      </c>
      <c r="C593" s="1">
        <v>15.5</v>
      </c>
      <c r="D593" s="1">
        <v>183</v>
      </c>
      <c r="E593" s="1">
        <v>1</v>
      </c>
      <c r="F593" s="1">
        <v>90</v>
      </c>
      <c r="L593" s="1">
        <v>1</v>
      </c>
    </row>
    <row r="594" spans="1:90" x14ac:dyDescent="0.3">
      <c r="A594" s="1" t="s">
        <v>118</v>
      </c>
      <c r="B594" s="7">
        <v>40757</v>
      </c>
      <c r="C594" s="1">
        <v>15.5</v>
      </c>
      <c r="D594" s="1">
        <v>183</v>
      </c>
      <c r="E594" s="1">
        <v>1</v>
      </c>
      <c r="F594" s="1">
        <v>91</v>
      </c>
      <c r="AS594" s="1">
        <v>1</v>
      </c>
      <c r="BI594" s="1">
        <v>1</v>
      </c>
    </row>
    <row r="595" spans="1:90" x14ac:dyDescent="0.3">
      <c r="A595" s="1" t="s">
        <v>118</v>
      </c>
      <c r="B595" s="7">
        <v>40757</v>
      </c>
      <c r="C595" s="1">
        <v>15.5</v>
      </c>
      <c r="D595" s="1">
        <v>183</v>
      </c>
      <c r="E595" s="1">
        <v>1</v>
      </c>
      <c r="F595" s="1">
        <v>92</v>
      </c>
      <c r="L595" s="1">
        <v>1</v>
      </c>
      <c r="AB595" s="1">
        <v>1</v>
      </c>
      <c r="AS595" s="1">
        <v>1</v>
      </c>
    </row>
    <row r="596" spans="1:90" x14ac:dyDescent="0.3">
      <c r="A596" s="1" t="s">
        <v>118</v>
      </c>
      <c r="B596" s="7">
        <v>40757</v>
      </c>
      <c r="C596" s="1">
        <v>15.5</v>
      </c>
      <c r="D596" s="1">
        <v>183</v>
      </c>
      <c r="E596" s="1">
        <v>1</v>
      </c>
      <c r="F596" s="1">
        <v>93</v>
      </c>
      <c r="AA596" s="1">
        <v>1</v>
      </c>
      <c r="AS596" s="1">
        <v>1</v>
      </c>
    </row>
    <row r="597" spans="1:90" x14ac:dyDescent="0.3">
      <c r="A597" s="1" t="s">
        <v>118</v>
      </c>
      <c r="B597" s="7">
        <v>40757</v>
      </c>
      <c r="C597" s="1">
        <v>15.5</v>
      </c>
      <c r="D597" s="1">
        <v>183</v>
      </c>
      <c r="E597" s="1">
        <v>1</v>
      </c>
      <c r="F597" s="1">
        <v>94</v>
      </c>
      <c r="L597" s="1">
        <v>1</v>
      </c>
      <c r="AS597" s="1">
        <v>1</v>
      </c>
      <c r="CD597" s="1">
        <v>1</v>
      </c>
    </row>
    <row r="598" spans="1:90" x14ac:dyDescent="0.3">
      <c r="A598" s="1" t="s">
        <v>118</v>
      </c>
      <c r="B598" s="7">
        <v>40757</v>
      </c>
      <c r="C598" s="1">
        <v>15.5</v>
      </c>
      <c r="D598" s="1">
        <v>183</v>
      </c>
      <c r="E598" s="1">
        <v>1</v>
      </c>
      <c r="F598" s="1">
        <v>95</v>
      </c>
      <c r="L598" s="1">
        <v>1</v>
      </c>
    </row>
    <row r="599" spans="1:90" x14ac:dyDescent="0.3">
      <c r="A599" s="1" t="s">
        <v>118</v>
      </c>
      <c r="B599" s="7">
        <v>40757</v>
      </c>
      <c r="C599" s="1">
        <v>15.5</v>
      </c>
      <c r="D599" s="1">
        <v>183</v>
      </c>
      <c r="E599" s="1">
        <v>1</v>
      </c>
      <c r="F599" s="1">
        <v>96</v>
      </c>
      <c r="L599" s="1">
        <v>1</v>
      </c>
    </row>
    <row r="600" spans="1:90" x14ac:dyDescent="0.3">
      <c r="A600" s="1" t="s">
        <v>118</v>
      </c>
      <c r="B600" s="7">
        <v>40757</v>
      </c>
      <c r="C600" s="1">
        <v>15.5</v>
      </c>
      <c r="D600" s="1">
        <v>183</v>
      </c>
      <c r="E600" s="1">
        <v>1</v>
      </c>
      <c r="F600" s="1">
        <v>97</v>
      </c>
      <c r="L600" s="1">
        <v>1</v>
      </c>
    </row>
    <row r="601" spans="1:90" x14ac:dyDescent="0.3">
      <c r="A601" s="1" t="s">
        <v>118</v>
      </c>
      <c r="B601" s="7">
        <v>40757</v>
      </c>
      <c r="C601" s="1">
        <v>15.5</v>
      </c>
      <c r="D601" s="1">
        <v>183</v>
      </c>
      <c r="E601" s="1">
        <v>1</v>
      </c>
      <c r="F601" s="1">
        <v>98</v>
      </c>
      <c r="H601" s="1">
        <v>1</v>
      </c>
    </row>
    <row r="602" spans="1:90" x14ac:dyDescent="0.3">
      <c r="A602" s="1" t="s">
        <v>118</v>
      </c>
      <c r="B602" s="7">
        <v>40757</v>
      </c>
      <c r="C602" s="1">
        <v>15.5</v>
      </c>
      <c r="D602" s="1">
        <v>183</v>
      </c>
      <c r="E602" s="1">
        <v>1</v>
      </c>
      <c r="F602" s="1">
        <v>99</v>
      </c>
      <c r="H602" s="1">
        <v>1</v>
      </c>
      <c r="L602" s="1">
        <v>1</v>
      </c>
    </row>
    <row r="603" spans="1:90" x14ac:dyDescent="0.3">
      <c r="A603" s="1" t="s">
        <v>118</v>
      </c>
      <c r="B603" s="7">
        <v>40757</v>
      </c>
      <c r="C603" s="1">
        <v>15.5</v>
      </c>
      <c r="D603" s="1">
        <v>183</v>
      </c>
      <c r="E603" s="1">
        <v>1</v>
      </c>
      <c r="F603" s="1">
        <v>100</v>
      </c>
      <c r="L603" s="1">
        <v>1</v>
      </c>
    </row>
    <row r="604" spans="1:90" s="12" customFormat="1" x14ac:dyDescent="0.3">
      <c r="A604" s="14" t="s">
        <v>118</v>
      </c>
      <c r="B604" s="13"/>
      <c r="G604" s="12">
        <f>SUM(G404:G603)</f>
        <v>2</v>
      </c>
      <c r="H604" s="12">
        <f t="shared" ref="H604" si="110">SUM(H404:H603)</f>
        <v>18</v>
      </c>
      <c r="I604" s="12">
        <f t="shared" ref="I604" si="111">SUM(I404:I603)</f>
        <v>5</v>
      </c>
      <c r="J604" s="12">
        <f t="shared" ref="J604" si="112">SUM(J404:J603)</f>
        <v>66</v>
      </c>
      <c r="K604" s="12">
        <f t="shared" ref="K604" si="113">SUM(K404:K603)</f>
        <v>11</v>
      </c>
      <c r="L604" s="12">
        <f t="shared" ref="L604" si="114">SUM(L404:L603)</f>
        <v>82</v>
      </c>
      <c r="M604" s="12">
        <f t="shared" ref="M604" si="115">SUM(M404:M603)</f>
        <v>0</v>
      </c>
      <c r="N604" s="12">
        <f t="shared" ref="N604" si="116">SUM(N404:N603)</f>
        <v>3</v>
      </c>
      <c r="O604" s="12">
        <f t="shared" ref="O604" si="117">SUM(O404:O603)</f>
        <v>0</v>
      </c>
      <c r="P604" s="12">
        <f t="shared" ref="P604" si="118">SUM(P404:P603)</f>
        <v>0</v>
      </c>
      <c r="Q604" s="12">
        <f t="shared" ref="Q604" si="119">SUM(Q404:Q603)</f>
        <v>0</v>
      </c>
      <c r="R604" s="12">
        <f t="shared" ref="R604" si="120">SUM(R404:R603)</f>
        <v>1</v>
      </c>
      <c r="S604" s="12">
        <f t="shared" ref="S604" si="121">SUM(S404:S603)</f>
        <v>3</v>
      </c>
      <c r="T604" s="12">
        <f t="shared" ref="T604" si="122">SUM(T404:T603)</f>
        <v>49</v>
      </c>
      <c r="U604" s="12">
        <f t="shared" ref="U604" si="123">SUM(U404:U603)</f>
        <v>1</v>
      </c>
      <c r="V604" s="12">
        <f t="shared" ref="V604" si="124">SUM(V404:V603)</f>
        <v>4</v>
      </c>
      <c r="W604" s="12">
        <f t="shared" ref="W604" si="125">SUM(W404:W603)</f>
        <v>0</v>
      </c>
      <c r="X604" s="12">
        <f t="shared" ref="X604" si="126">SUM(X404:X603)</f>
        <v>0</v>
      </c>
      <c r="Y604" s="12">
        <f t="shared" ref="Y604" si="127">SUM(Y404:Y603)</f>
        <v>0</v>
      </c>
      <c r="Z604" s="12">
        <f t="shared" ref="Z604" si="128">SUM(Z404:Z603)</f>
        <v>0</v>
      </c>
      <c r="AA604" s="12">
        <f t="shared" ref="AA604" si="129">SUM(AA404:AA603)</f>
        <v>11</v>
      </c>
      <c r="AB604" s="12">
        <f t="shared" ref="AB604" si="130">SUM(AB404:AB603)</f>
        <v>13</v>
      </c>
      <c r="AC604" s="12">
        <f t="shared" ref="AC604" si="131">SUM(AC404:AC603)</f>
        <v>0</v>
      </c>
      <c r="AD604" s="12">
        <f t="shared" ref="AD604" si="132">SUM(AD404:AD603)</f>
        <v>0</v>
      </c>
      <c r="AE604" s="12">
        <f t="shared" ref="AE604" si="133">SUM(AE404:AE603)</f>
        <v>0</v>
      </c>
      <c r="AF604" s="12">
        <f t="shared" ref="AF604" si="134">SUM(AF404:AF603)</f>
        <v>8</v>
      </c>
      <c r="AG604" s="12">
        <f t="shared" ref="AG604" si="135">SUM(AG404:AG603)</f>
        <v>0</v>
      </c>
      <c r="AH604" s="12">
        <f t="shared" ref="AH604" si="136">SUM(AH404:AH603)</f>
        <v>0</v>
      </c>
      <c r="AI604" s="12">
        <f t="shared" ref="AI604" si="137">SUM(AI404:AI603)</f>
        <v>1</v>
      </c>
      <c r="AJ604" s="12">
        <f t="shared" ref="AJ604" si="138">SUM(AJ404:AJ603)</f>
        <v>0</v>
      </c>
      <c r="AK604" s="12">
        <f t="shared" ref="AK604" si="139">SUM(AK404:AK603)</f>
        <v>0</v>
      </c>
      <c r="AL604" s="12">
        <f t="shared" ref="AL604" si="140">SUM(AL404:AL603)</f>
        <v>0</v>
      </c>
      <c r="AM604" s="12">
        <f t="shared" ref="AM604" si="141">SUM(AM404:AM603)</f>
        <v>0</v>
      </c>
      <c r="AN604" s="12">
        <f t="shared" ref="AN604" si="142">SUM(AN404:AN603)</f>
        <v>0</v>
      </c>
      <c r="AO604" s="12">
        <f t="shared" ref="AO604" si="143">SUM(AO404:AO603)</f>
        <v>0</v>
      </c>
      <c r="AP604" s="12">
        <f t="shared" ref="AP604" si="144">SUM(AP404:AP603)</f>
        <v>0</v>
      </c>
      <c r="AQ604" s="12">
        <f t="shared" ref="AQ604" si="145">SUM(AQ404:AQ603)</f>
        <v>0</v>
      </c>
      <c r="AR604" s="12">
        <f t="shared" ref="AR604" si="146">SUM(AR404:AR603)</f>
        <v>0</v>
      </c>
      <c r="AS604" s="12">
        <f t="shared" ref="AS604" si="147">SUM(AS404:AS603)</f>
        <v>24</v>
      </c>
      <c r="AT604" s="12">
        <f t="shared" ref="AT604" si="148">SUM(AT404:AT603)</f>
        <v>0</v>
      </c>
      <c r="AU604" s="12">
        <f t="shared" ref="AU604" si="149">SUM(AU404:AU603)</f>
        <v>0</v>
      </c>
      <c r="AV604" s="12">
        <f t="shared" ref="AV604" si="150">SUM(AV404:AV603)</f>
        <v>0</v>
      </c>
      <c r="AW604" s="12">
        <f t="shared" ref="AW604" si="151">SUM(AW404:AW603)</f>
        <v>0</v>
      </c>
      <c r="AX604" s="12">
        <f t="shared" ref="AX604" si="152">SUM(AX404:AX603)</f>
        <v>0</v>
      </c>
      <c r="AY604" s="12">
        <f t="shared" ref="AY604" si="153">SUM(AY404:AY603)</f>
        <v>0</v>
      </c>
      <c r="AZ604" s="12">
        <f t="shared" ref="AZ604" si="154">SUM(AZ404:AZ603)</f>
        <v>0</v>
      </c>
      <c r="BA604" s="12">
        <f t="shared" ref="BA604" si="155">SUM(BA404:BA603)</f>
        <v>0</v>
      </c>
      <c r="BB604" s="12">
        <f t="shared" ref="BB604" si="156">SUM(BB404:BB603)</f>
        <v>0</v>
      </c>
      <c r="BC604" s="12">
        <f t="shared" ref="BC604" si="157">SUM(BC404:BC603)</f>
        <v>0</v>
      </c>
      <c r="BD604" s="12">
        <f t="shared" ref="BD604" si="158">SUM(BD404:BD603)</f>
        <v>0</v>
      </c>
      <c r="BE604" s="12">
        <f t="shared" ref="BE604" si="159">SUM(BE404:BE603)</f>
        <v>2</v>
      </c>
      <c r="BF604" s="12">
        <f t="shared" ref="BF604" si="160">SUM(BF404:BF603)</f>
        <v>0</v>
      </c>
      <c r="BG604" s="12">
        <f t="shared" ref="BG604" si="161">SUM(BG404:BG603)</f>
        <v>0</v>
      </c>
      <c r="BH604" s="12">
        <f t="shared" ref="BH604" si="162">SUM(BH404:BH603)</f>
        <v>1</v>
      </c>
      <c r="BI604" s="12">
        <f t="shared" ref="BI604" si="163">SUM(BI404:BI603)</f>
        <v>7</v>
      </c>
      <c r="BJ604" s="12">
        <f t="shared" ref="BJ604" si="164">SUM(BJ404:BJ603)</f>
        <v>0</v>
      </c>
      <c r="BK604" s="12">
        <f t="shared" ref="BK604" si="165">SUM(BK404:BK603)</f>
        <v>3</v>
      </c>
      <c r="BL604" s="12">
        <f t="shared" ref="BL604" si="166">SUM(BL404:BL603)</f>
        <v>0</v>
      </c>
      <c r="BM604" s="12">
        <f t="shared" ref="BM604" si="167">SUM(BM404:BM603)</f>
        <v>0</v>
      </c>
      <c r="BN604" s="12">
        <f t="shared" ref="BN604" si="168">SUM(BN404:BN603)</f>
        <v>0</v>
      </c>
      <c r="BO604" s="12">
        <f t="shared" ref="BO604" si="169">SUM(BO404:BO603)</f>
        <v>0</v>
      </c>
      <c r="BP604" s="12">
        <f t="shared" ref="BP604" si="170">SUM(BP404:BP603)</f>
        <v>0</v>
      </c>
      <c r="BQ604" s="12">
        <f t="shared" ref="BQ604" si="171">SUM(BQ404:BQ603)</f>
        <v>0</v>
      </c>
      <c r="BR604" s="12">
        <f t="shared" ref="BR604" si="172">SUM(BR404:BR603)</f>
        <v>3</v>
      </c>
      <c r="BS604" s="12">
        <f t="shared" ref="BS604" si="173">SUM(BS404:BS603)</f>
        <v>0</v>
      </c>
      <c r="BT604" s="12">
        <f t="shared" ref="BT604" si="174">SUM(BT404:BT603)</f>
        <v>0</v>
      </c>
      <c r="BU604" s="12">
        <f t="shared" ref="BU604" si="175">SUM(BU404:BU603)</f>
        <v>0</v>
      </c>
      <c r="BV604" s="12">
        <f t="shared" ref="BV604" si="176">SUM(BV404:BV603)</f>
        <v>0</v>
      </c>
      <c r="BW604" s="12">
        <f t="shared" ref="BW604" si="177">SUM(BW404:BW603)</f>
        <v>2</v>
      </c>
      <c r="BX604" s="12">
        <f t="shared" ref="BX604" si="178">SUM(BX404:BX603)</f>
        <v>2</v>
      </c>
      <c r="BY604" s="12">
        <f t="shared" ref="BY604" si="179">SUM(BY404:BY603)</f>
        <v>0</v>
      </c>
      <c r="BZ604" s="12">
        <f t="shared" ref="BZ604" si="180">SUM(BZ404:BZ603)</f>
        <v>0</v>
      </c>
      <c r="CA604" s="12">
        <f t="shared" ref="CA604" si="181">SUM(CA404:CA603)</f>
        <v>0</v>
      </c>
      <c r="CB604" s="12">
        <f t="shared" ref="CB604" si="182">SUM(CB404:CB603)</f>
        <v>0</v>
      </c>
      <c r="CC604" s="12">
        <f t="shared" ref="CC604" si="183">SUM(CC404:CC603)</f>
        <v>0</v>
      </c>
      <c r="CD604" s="12">
        <f t="shared" ref="CD604" si="184">SUM(CD404:CD603)</f>
        <v>3</v>
      </c>
      <c r="CE604" s="12">
        <f t="shared" ref="CE604" si="185">SUM(CE404:CE603)</f>
        <v>0</v>
      </c>
      <c r="CF604" s="12">
        <f t="shared" ref="CF604" si="186">SUM(CF404:CF603)</f>
        <v>0</v>
      </c>
      <c r="CG604" s="12">
        <f t="shared" ref="CG604" si="187">SUM(CG404:CG603)</f>
        <v>0</v>
      </c>
      <c r="CH604" s="12">
        <f t="shared" ref="CH604" si="188">SUM(CH404:CH603)</f>
        <v>0</v>
      </c>
      <c r="CI604" s="12">
        <f t="shared" ref="CI604" si="189">SUM(CI404:CI603)</f>
        <v>0</v>
      </c>
      <c r="CJ604" s="12">
        <f t="shared" ref="CJ604" si="190">SUM(CJ404:CJ603)</f>
        <v>1</v>
      </c>
      <c r="CK604" s="12">
        <f t="shared" ref="CK604" si="191">SUM(CK404:CK603)</f>
        <v>0</v>
      </c>
      <c r="CL604" s="12">
        <f t="shared" ref="CL604" si="192">SUM(CL404:CL603)</f>
        <v>0</v>
      </c>
    </row>
    <row r="605" spans="1:90" x14ac:dyDescent="0.3">
      <c r="A605" s="1" t="s">
        <v>40</v>
      </c>
      <c r="B605" s="7">
        <v>40758</v>
      </c>
      <c r="C605" s="1">
        <v>5</v>
      </c>
      <c r="D605" s="1">
        <v>302</v>
      </c>
      <c r="E605" s="1">
        <v>1.5</v>
      </c>
      <c r="F605" s="1">
        <v>1</v>
      </c>
      <c r="L605" s="3">
        <v>0</v>
      </c>
      <c r="M605" s="3">
        <v>1</v>
      </c>
      <c r="T605" s="1">
        <v>1</v>
      </c>
    </row>
    <row r="606" spans="1:90" x14ac:dyDescent="0.3">
      <c r="A606" s="1" t="s">
        <v>40</v>
      </c>
      <c r="B606" s="7">
        <v>40758</v>
      </c>
      <c r="C606" s="1">
        <v>5</v>
      </c>
      <c r="D606" s="1">
        <v>302</v>
      </c>
      <c r="E606" s="1">
        <v>1.5</v>
      </c>
      <c r="F606" s="1">
        <v>2</v>
      </c>
      <c r="L606" s="3">
        <v>0</v>
      </c>
      <c r="M606" s="3">
        <v>1</v>
      </c>
      <c r="T606" s="1">
        <v>1</v>
      </c>
    </row>
    <row r="607" spans="1:90" x14ac:dyDescent="0.3">
      <c r="A607" s="1" t="s">
        <v>40</v>
      </c>
      <c r="B607" s="7">
        <v>40758</v>
      </c>
      <c r="C607" s="1">
        <v>5</v>
      </c>
      <c r="D607" s="1">
        <v>302</v>
      </c>
      <c r="E607" s="1">
        <v>1.5</v>
      </c>
      <c r="F607" s="1">
        <v>3</v>
      </c>
      <c r="L607" s="3">
        <v>0</v>
      </c>
      <c r="M607" s="3">
        <v>1</v>
      </c>
      <c r="T607" s="1">
        <v>1</v>
      </c>
    </row>
    <row r="608" spans="1:90" x14ac:dyDescent="0.3">
      <c r="A608" s="1" t="s">
        <v>40</v>
      </c>
      <c r="B608" s="7">
        <v>40758</v>
      </c>
      <c r="C608" s="1">
        <v>5</v>
      </c>
      <c r="D608" s="1">
        <v>302</v>
      </c>
      <c r="E608" s="1">
        <v>1.5</v>
      </c>
      <c r="F608" s="1">
        <v>4</v>
      </c>
      <c r="L608" s="1">
        <v>1</v>
      </c>
      <c r="N608" s="1">
        <v>1</v>
      </c>
    </row>
    <row r="609" spans="1:73" x14ac:dyDescent="0.3">
      <c r="A609" s="1" t="s">
        <v>40</v>
      </c>
      <c r="B609" s="7">
        <v>40758</v>
      </c>
      <c r="C609" s="1">
        <v>5</v>
      </c>
      <c r="D609" s="1">
        <v>302</v>
      </c>
      <c r="E609" s="1">
        <v>1.5</v>
      </c>
      <c r="F609" s="1">
        <v>5</v>
      </c>
      <c r="L609" s="1">
        <v>1</v>
      </c>
      <c r="BU609" s="1">
        <v>1</v>
      </c>
    </row>
    <row r="610" spans="1:73" x14ac:dyDescent="0.3">
      <c r="A610" s="1" t="s">
        <v>40</v>
      </c>
      <c r="B610" s="7">
        <v>40758</v>
      </c>
      <c r="C610" s="1">
        <v>5</v>
      </c>
      <c r="D610" s="1">
        <v>302</v>
      </c>
      <c r="E610" s="1">
        <v>1.5</v>
      </c>
      <c r="F610" s="1">
        <v>6</v>
      </c>
      <c r="L610" s="1">
        <v>1</v>
      </c>
      <c r="AS610" s="1">
        <v>1</v>
      </c>
    </row>
    <row r="611" spans="1:73" x14ac:dyDescent="0.3">
      <c r="A611" s="1" t="s">
        <v>40</v>
      </c>
      <c r="B611" s="7">
        <v>40758</v>
      </c>
      <c r="C611" s="1">
        <v>5</v>
      </c>
      <c r="D611" s="1">
        <v>302</v>
      </c>
      <c r="E611" s="1">
        <v>1.5</v>
      </c>
      <c r="F611" s="1">
        <v>7</v>
      </c>
      <c r="L611" s="1">
        <v>1</v>
      </c>
      <c r="BU611" s="1">
        <v>1</v>
      </c>
    </row>
    <row r="612" spans="1:73" x14ac:dyDescent="0.3">
      <c r="A612" s="1" t="s">
        <v>40</v>
      </c>
      <c r="B612" s="7">
        <v>40758</v>
      </c>
      <c r="C612" s="1">
        <v>5</v>
      </c>
      <c r="D612" s="1">
        <v>302</v>
      </c>
      <c r="E612" s="1">
        <v>1.5</v>
      </c>
      <c r="F612" s="1">
        <v>8</v>
      </c>
      <c r="T612" s="1">
        <v>1</v>
      </c>
      <c r="AS612" s="1">
        <v>1</v>
      </c>
    </row>
    <row r="613" spans="1:73" x14ac:dyDescent="0.3">
      <c r="A613" s="1" t="s">
        <v>40</v>
      </c>
      <c r="B613" s="7">
        <v>40758</v>
      </c>
      <c r="C613" s="1">
        <v>5</v>
      </c>
      <c r="D613" s="1">
        <v>302</v>
      </c>
      <c r="E613" s="1">
        <v>1.5</v>
      </c>
      <c r="F613" s="1">
        <v>9</v>
      </c>
      <c r="R613" s="1">
        <v>1</v>
      </c>
      <c r="BC613" s="1">
        <v>1</v>
      </c>
      <c r="BE613" s="1">
        <v>1</v>
      </c>
    </row>
    <row r="614" spans="1:73" x14ac:dyDescent="0.3">
      <c r="A614" s="1" t="s">
        <v>40</v>
      </c>
      <c r="B614" s="7">
        <v>40758</v>
      </c>
      <c r="C614" s="1">
        <v>5</v>
      </c>
      <c r="D614" s="1">
        <v>302</v>
      </c>
      <c r="E614" s="1">
        <v>1.5</v>
      </c>
      <c r="F614" s="1">
        <v>10</v>
      </c>
      <c r="T614" s="1">
        <v>1</v>
      </c>
      <c r="AM614" s="1">
        <v>1</v>
      </c>
    </row>
    <row r="615" spans="1:73" x14ac:dyDescent="0.3">
      <c r="A615" s="1" t="s">
        <v>40</v>
      </c>
      <c r="B615" s="7">
        <v>40758</v>
      </c>
      <c r="C615" s="1">
        <v>5</v>
      </c>
      <c r="D615" s="1">
        <v>302</v>
      </c>
      <c r="E615" s="1">
        <v>1.5</v>
      </c>
      <c r="F615" s="1">
        <v>11</v>
      </c>
      <c r="L615" s="1">
        <v>1</v>
      </c>
      <c r="T615" s="1">
        <v>1</v>
      </c>
    </row>
    <row r="616" spans="1:73" x14ac:dyDescent="0.3">
      <c r="A616" s="1" t="s">
        <v>40</v>
      </c>
      <c r="B616" s="7">
        <v>40758</v>
      </c>
      <c r="C616" s="1">
        <v>5</v>
      </c>
      <c r="D616" s="1">
        <v>302</v>
      </c>
      <c r="E616" s="1">
        <v>1.5</v>
      </c>
      <c r="F616" s="1">
        <v>12</v>
      </c>
      <c r="T616" s="1">
        <v>1</v>
      </c>
      <c r="BE616" s="1">
        <v>1</v>
      </c>
    </row>
    <row r="617" spans="1:73" x14ac:dyDescent="0.3">
      <c r="A617" s="1" t="s">
        <v>40</v>
      </c>
      <c r="B617" s="7">
        <v>40758</v>
      </c>
      <c r="C617" s="1">
        <v>5</v>
      </c>
      <c r="D617" s="1">
        <v>302</v>
      </c>
      <c r="E617" s="1">
        <v>1.5</v>
      </c>
      <c r="F617" s="1">
        <v>13</v>
      </c>
      <c r="L617" s="1">
        <v>1</v>
      </c>
      <c r="T617" s="1">
        <v>1</v>
      </c>
      <c r="AI617" s="1">
        <v>1</v>
      </c>
    </row>
    <row r="618" spans="1:73" x14ac:dyDescent="0.3">
      <c r="A618" s="1" t="s">
        <v>40</v>
      </c>
      <c r="B618" s="7">
        <v>40758</v>
      </c>
      <c r="C618" s="1">
        <v>5</v>
      </c>
      <c r="D618" s="1">
        <v>302</v>
      </c>
      <c r="E618" s="1">
        <v>1.5</v>
      </c>
      <c r="F618" s="1">
        <v>14</v>
      </c>
      <c r="N618" s="1">
        <v>1</v>
      </c>
      <c r="T618" s="1">
        <v>1</v>
      </c>
    </row>
    <row r="619" spans="1:73" x14ac:dyDescent="0.3">
      <c r="A619" s="1" t="s">
        <v>40</v>
      </c>
      <c r="B619" s="7">
        <v>40758</v>
      </c>
      <c r="C619" s="1">
        <v>5</v>
      </c>
      <c r="D619" s="1">
        <v>302</v>
      </c>
      <c r="E619" s="1">
        <v>1.5</v>
      </c>
      <c r="F619" s="1">
        <v>15</v>
      </c>
      <c r="L619" s="1">
        <v>1</v>
      </c>
      <c r="N619" s="1">
        <v>1</v>
      </c>
    </row>
    <row r="620" spans="1:73" x14ac:dyDescent="0.3">
      <c r="A620" s="1" t="s">
        <v>40</v>
      </c>
      <c r="B620" s="7">
        <v>40758</v>
      </c>
      <c r="C620" s="1">
        <v>5</v>
      </c>
      <c r="D620" s="1">
        <v>302</v>
      </c>
      <c r="E620" s="1">
        <v>1.5</v>
      </c>
      <c r="F620" s="1">
        <v>16</v>
      </c>
      <c r="N620" s="1">
        <v>1</v>
      </c>
      <c r="BU620" s="1">
        <v>1</v>
      </c>
    </row>
    <row r="621" spans="1:73" x14ac:dyDescent="0.3">
      <c r="A621" s="1" t="s">
        <v>40</v>
      </c>
      <c r="B621" s="7">
        <v>40758</v>
      </c>
      <c r="C621" s="1">
        <v>5</v>
      </c>
      <c r="D621" s="1">
        <v>302</v>
      </c>
      <c r="E621" s="1">
        <v>1.5</v>
      </c>
      <c r="F621" s="1">
        <v>17</v>
      </c>
      <c r="L621" s="1">
        <v>1</v>
      </c>
      <c r="T621" s="1">
        <v>1</v>
      </c>
    </row>
    <row r="622" spans="1:73" x14ac:dyDescent="0.3">
      <c r="A622" s="1" t="s">
        <v>40</v>
      </c>
      <c r="B622" s="7">
        <v>40758</v>
      </c>
      <c r="C622" s="1">
        <v>5</v>
      </c>
      <c r="D622" s="1">
        <v>302</v>
      </c>
      <c r="E622" s="1">
        <v>1.5</v>
      </c>
      <c r="F622" s="1">
        <v>18</v>
      </c>
      <c r="L622" s="1">
        <v>1</v>
      </c>
      <c r="T622" s="1">
        <v>1</v>
      </c>
    </row>
    <row r="623" spans="1:73" x14ac:dyDescent="0.3">
      <c r="A623" s="1" t="s">
        <v>40</v>
      </c>
      <c r="B623" s="7">
        <v>40758</v>
      </c>
      <c r="C623" s="1">
        <v>5</v>
      </c>
      <c r="D623" s="1">
        <v>302</v>
      </c>
      <c r="E623" s="1">
        <v>1.5</v>
      </c>
      <c r="F623" s="1">
        <v>19</v>
      </c>
      <c r="L623" s="1">
        <v>1</v>
      </c>
      <c r="T623" s="1">
        <v>1</v>
      </c>
    </row>
    <row r="624" spans="1:73" x14ac:dyDescent="0.3">
      <c r="A624" s="1" t="s">
        <v>40</v>
      </c>
      <c r="B624" s="7">
        <v>40758</v>
      </c>
      <c r="C624" s="1">
        <v>5</v>
      </c>
      <c r="D624" s="1">
        <v>302</v>
      </c>
      <c r="E624" s="1">
        <v>1.5</v>
      </c>
      <c r="F624" s="1">
        <v>20</v>
      </c>
      <c r="L624" s="1">
        <v>1</v>
      </c>
      <c r="R624" s="1">
        <v>1</v>
      </c>
      <c r="T624" s="1">
        <v>1</v>
      </c>
    </row>
    <row r="625" spans="1:73" x14ac:dyDescent="0.3">
      <c r="A625" s="1" t="s">
        <v>40</v>
      </c>
      <c r="B625" s="7">
        <v>40758</v>
      </c>
      <c r="C625" s="1">
        <v>5</v>
      </c>
      <c r="D625" s="1">
        <v>302</v>
      </c>
      <c r="E625" s="1">
        <v>1.5</v>
      </c>
      <c r="F625" s="1">
        <v>21</v>
      </c>
      <c r="L625" s="1">
        <v>1</v>
      </c>
      <c r="T625" s="1">
        <v>1</v>
      </c>
    </row>
    <row r="626" spans="1:73" x14ac:dyDescent="0.3">
      <c r="A626" s="1" t="s">
        <v>40</v>
      </c>
      <c r="B626" s="7">
        <v>40758</v>
      </c>
      <c r="C626" s="1">
        <v>5</v>
      </c>
      <c r="D626" s="1">
        <v>302</v>
      </c>
      <c r="E626" s="1">
        <v>1.5</v>
      </c>
      <c r="F626" s="1">
        <v>22</v>
      </c>
      <c r="L626" s="1">
        <v>1</v>
      </c>
      <c r="AI626" s="1">
        <v>1</v>
      </c>
    </row>
    <row r="627" spans="1:73" x14ac:dyDescent="0.3">
      <c r="A627" s="1" t="s">
        <v>40</v>
      </c>
      <c r="B627" s="7">
        <v>40758</v>
      </c>
      <c r="C627" s="1">
        <v>5</v>
      </c>
      <c r="D627" s="1">
        <v>302</v>
      </c>
      <c r="E627" s="1">
        <v>1.5</v>
      </c>
      <c r="F627" s="1">
        <v>23</v>
      </c>
      <c r="L627" s="1">
        <v>1</v>
      </c>
      <c r="T627" s="1">
        <v>1</v>
      </c>
    </row>
    <row r="628" spans="1:73" x14ac:dyDescent="0.3">
      <c r="A628" s="1" t="s">
        <v>40</v>
      </c>
      <c r="B628" s="7">
        <v>40758</v>
      </c>
      <c r="C628" s="1">
        <v>5</v>
      </c>
      <c r="D628" s="1">
        <v>302</v>
      </c>
      <c r="E628" s="1">
        <v>1.5</v>
      </c>
      <c r="F628" s="1">
        <v>24</v>
      </c>
      <c r="L628" s="1">
        <v>1</v>
      </c>
      <c r="N628" s="1">
        <v>1</v>
      </c>
      <c r="T628" s="1">
        <v>1</v>
      </c>
    </row>
    <row r="629" spans="1:73" x14ac:dyDescent="0.3">
      <c r="A629" s="1" t="s">
        <v>40</v>
      </c>
      <c r="B629" s="7">
        <v>40758</v>
      </c>
      <c r="C629" s="1">
        <v>5</v>
      </c>
      <c r="D629" s="1">
        <v>302</v>
      </c>
      <c r="E629" s="1">
        <v>1.5</v>
      </c>
      <c r="F629" s="1">
        <v>25</v>
      </c>
      <c r="L629" s="1">
        <v>1</v>
      </c>
      <c r="N629" s="1">
        <v>1</v>
      </c>
      <c r="T629" s="1">
        <v>1</v>
      </c>
    </row>
    <row r="630" spans="1:73" x14ac:dyDescent="0.3">
      <c r="A630" s="1" t="s">
        <v>40</v>
      </c>
      <c r="B630" s="7">
        <v>40758</v>
      </c>
      <c r="C630" s="1">
        <v>5</v>
      </c>
      <c r="D630" s="1">
        <v>302</v>
      </c>
      <c r="E630" s="1">
        <v>1.5</v>
      </c>
      <c r="F630" s="1">
        <v>26</v>
      </c>
      <c r="T630" s="1">
        <v>1</v>
      </c>
      <c r="BU630" s="1">
        <v>1</v>
      </c>
    </row>
    <row r="631" spans="1:73" x14ac:dyDescent="0.3">
      <c r="A631" s="1" t="s">
        <v>40</v>
      </c>
      <c r="B631" s="7">
        <v>40758</v>
      </c>
      <c r="C631" s="1">
        <v>5</v>
      </c>
      <c r="D631" s="1">
        <v>302</v>
      </c>
      <c r="E631" s="1">
        <v>1.5</v>
      </c>
      <c r="F631" s="1">
        <v>27</v>
      </c>
      <c r="L631" s="8">
        <v>1</v>
      </c>
      <c r="M631" s="8"/>
      <c r="R631" s="1">
        <v>1</v>
      </c>
      <c r="T631" s="1">
        <v>1</v>
      </c>
    </row>
    <row r="632" spans="1:73" x14ac:dyDescent="0.3">
      <c r="A632" s="1" t="s">
        <v>40</v>
      </c>
      <c r="B632" s="7">
        <v>40758</v>
      </c>
      <c r="C632" s="1">
        <v>5</v>
      </c>
      <c r="D632" s="1">
        <v>302</v>
      </c>
      <c r="E632" s="1">
        <v>1.5</v>
      </c>
      <c r="F632" s="1">
        <v>28</v>
      </c>
      <c r="L632" s="1">
        <v>1</v>
      </c>
      <c r="T632" s="1">
        <v>1</v>
      </c>
    </row>
    <row r="633" spans="1:73" x14ac:dyDescent="0.3">
      <c r="A633" s="1" t="s">
        <v>40</v>
      </c>
      <c r="B633" s="7">
        <v>40758</v>
      </c>
      <c r="C633" s="1">
        <v>5</v>
      </c>
      <c r="D633" s="1">
        <v>302</v>
      </c>
      <c r="E633" s="1">
        <v>1.5</v>
      </c>
      <c r="F633" s="1">
        <v>29</v>
      </c>
      <c r="L633" s="1">
        <v>1</v>
      </c>
      <c r="R633" s="1">
        <v>1</v>
      </c>
      <c r="T633" s="1">
        <v>1</v>
      </c>
    </row>
    <row r="634" spans="1:73" x14ac:dyDescent="0.3">
      <c r="A634" s="1" t="s">
        <v>40</v>
      </c>
      <c r="B634" s="7">
        <v>40758</v>
      </c>
      <c r="C634" s="1">
        <v>5</v>
      </c>
      <c r="D634" s="1">
        <v>302</v>
      </c>
      <c r="E634" s="1">
        <v>1.5</v>
      </c>
      <c r="F634" s="1">
        <v>30</v>
      </c>
      <c r="R634" s="1">
        <v>1</v>
      </c>
      <c r="T634" s="1">
        <v>1</v>
      </c>
    </row>
    <row r="635" spans="1:73" x14ac:dyDescent="0.3">
      <c r="A635" s="1" t="s">
        <v>40</v>
      </c>
      <c r="B635" s="7">
        <v>40758</v>
      </c>
      <c r="C635" s="1">
        <v>5</v>
      </c>
      <c r="D635" s="1">
        <v>302</v>
      </c>
      <c r="E635" s="1">
        <v>1.5</v>
      </c>
      <c r="F635" s="1">
        <v>31</v>
      </c>
      <c r="L635" s="1">
        <v>1</v>
      </c>
    </row>
    <row r="636" spans="1:73" x14ac:dyDescent="0.3">
      <c r="A636" s="1" t="s">
        <v>40</v>
      </c>
      <c r="B636" s="7">
        <v>40758</v>
      </c>
      <c r="C636" s="1">
        <v>5</v>
      </c>
      <c r="D636" s="1">
        <v>302</v>
      </c>
      <c r="E636" s="1">
        <v>1.5</v>
      </c>
      <c r="F636" s="1">
        <v>32</v>
      </c>
      <c r="L636" s="8">
        <v>1</v>
      </c>
      <c r="M636" s="8"/>
      <c r="T636" s="1">
        <v>1</v>
      </c>
    </row>
    <row r="637" spans="1:73" x14ac:dyDescent="0.3">
      <c r="A637" s="1" t="s">
        <v>40</v>
      </c>
      <c r="B637" s="7">
        <v>40758</v>
      </c>
      <c r="C637" s="1">
        <v>5</v>
      </c>
      <c r="D637" s="1">
        <v>302</v>
      </c>
      <c r="E637" s="1">
        <v>1.5</v>
      </c>
      <c r="F637" s="1">
        <v>33</v>
      </c>
      <c r="L637" s="1">
        <v>1</v>
      </c>
    </row>
    <row r="638" spans="1:73" x14ac:dyDescent="0.3">
      <c r="A638" s="1" t="s">
        <v>40</v>
      </c>
      <c r="B638" s="7">
        <v>40758</v>
      </c>
      <c r="C638" s="1">
        <v>5</v>
      </c>
      <c r="D638" s="1">
        <v>302</v>
      </c>
      <c r="E638" s="1">
        <v>1.5</v>
      </c>
      <c r="F638" s="1">
        <v>34</v>
      </c>
      <c r="L638" s="1">
        <v>1</v>
      </c>
      <c r="AI638" s="1">
        <v>1</v>
      </c>
      <c r="BE638" s="1">
        <v>1</v>
      </c>
    </row>
    <row r="639" spans="1:73" x14ac:dyDescent="0.3">
      <c r="A639" s="1" t="s">
        <v>40</v>
      </c>
      <c r="B639" s="7">
        <v>40758</v>
      </c>
      <c r="C639" s="1">
        <v>5</v>
      </c>
      <c r="D639" s="1">
        <v>302</v>
      </c>
      <c r="E639" s="1">
        <v>1.5</v>
      </c>
      <c r="F639" s="1">
        <v>35</v>
      </c>
      <c r="L639" s="1">
        <v>1</v>
      </c>
      <c r="N639" s="1">
        <v>1</v>
      </c>
      <c r="R639" s="1">
        <v>1</v>
      </c>
    </row>
    <row r="640" spans="1:73" x14ac:dyDescent="0.3">
      <c r="A640" s="1" t="s">
        <v>40</v>
      </c>
      <c r="B640" s="7">
        <v>40758</v>
      </c>
      <c r="C640" s="1">
        <v>5</v>
      </c>
      <c r="D640" s="1">
        <v>302</v>
      </c>
      <c r="E640" s="1">
        <v>1.5</v>
      </c>
      <c r="F640" s="1">
        <v>36</v>
      </c>
      <c r="L640" s="1">
        <v>1</v>
      </c>
      <c r="R640" s="1">
        <v>1</v>
      </c>
      <c r="AM640" s="1">
        <v>1</v>
      </c>
    </row>
    <row r="641" spans="1:73" x14ac:dyDescent="0.3">
      <c r="A641" s="1" t="s">
        <v>40</v>
      </c>
      <c r="B641" s="7">
        <v>40758</v>
      </c>
      <c r="C641" s="1">
        <v>5</v>
      </c>
      <c r="D641" s="1">
        <v>302</v>
      </c>
      <c r="E641" s="1">
        <v>1.5</v>
      </c>
      <c r="F641" s="1">
        <v>37</v>
      </c>
      <c r="L641" s="1">
        <v>1</v>
      </c>
      <c r="R641" s="1">
        <v>1</v>
      </c>
      <c r="AM641" s="1">
        <v>1</v>
      </c>
    </row>
    <row r="642" spans="1:73" x14ac:dyDescent="0.3">
      <c r="A642" s="1" t="s">
        <v>40</v>
      </c>
      <c r="B642" s="7">
        <v>40758</v>
      </c>
      <c r="C642" s="1">
        <v>5</v>
      </c>
      <c r="D642" s="1">
        <v>302</v>
      </c>
      <c r="E642" s="1">
        <v>1.5</v>
      </c>
      <c r="F642" s="1">
        <v>38</v>
      </c>
      <c r="T642" s="1">
        <v>1</v>
      </c>
      <c r="AM642" s="1">
        <v>1</v>
      </c>
    </row>
    <row r="643" spans="1:73" x14ac:dyDescent="0.3">
      <c r="A643" s="1" t="s">
        <v>40</v>
      </c>
      <c r="B643" s="7">
        <v>40758</v>
      </c>
      <c r="C643" s="1">
        <v>5</v>
      </c>
      <c r="D643" s="1">
        <v>302</v>
      </c>
      <c r="E643" s="1">
        <v>1.5</v>
      </c>
      <c r="F643" s="1">
        <v>39</v>
      </c>
      <c r="R643" s="1">
        <v>1</v>
      </c>
      <c r="T643" s="1">
        <v>1</v>
      </c>
    </row>
    <row r="644" spans="1:73" x14ac:dyDescent="0.3">
      <c r="A644" s="1" t="s">
        <v>40</v>
      </c>
      <c r="B644" s="7">
        <v>40758</v>
      </c>
      <c r="C644" s="1">
        <v>5</v>
      </c>
      <c r="D644" s="1">
        <v>302</v>
      </c>
      <c r="E644" s="1">
        <v>1.5</v>
      </c>
      <c r="F644" s="1">
        <v>40</v>
      </c>
      <c r="R644" s="1">
        <v>1</v>
      </c>
      <c r="BG644" s="1">
        <v>1</v>
      </c>
    </row>
    <row r="645" spans="1:73" x14ac:dyDescent="0.3">
      <c r="A645" s="1" t="s">
        <v>40</v>
      </c>
      <c r="B645" s="7">
        <v>40758</v>
      </c>
      <c r="C645" s="1">
        <v>5</v>
      </c>
      <c r="D645" s="1">
        <v>302</v>
      </c>
      <c r="E645" s="1">
        <v>1.5</v>
      </c>
      <c r="F645" s="1">
        <v>41</v>
      </c>
      <c r="L645" s="1">
        <v>1</v>
      </c>
      <c r="T645" s="1">
        <v>1</v>
      </c>
      <c r="AI645" s="1">
        <v>1</v>
      </c>
    </row>
    <row r="646" spans="1:73" x14ac:dyDescent="0.3">
      <c r="A646" s="1" t="s">
        <v>40</v>
      </c>
      <c r="B646" s="7">
        <v>40758</v>
      </c>
      <c r="C646" s="1">
        <v>5</v>
      </c>
      <c r="D646" s="1">
        <v>302</v>
      </c>
      <c r="E646" s="1">
        <v>1.5</v>
      </c>
      <c r="F646" s="1">
        <v>42</v>
      </c>
      <c r="L646" s="1">
        <v>1</v>
      </c>
      <c r="T646" s="1">
        <v>1</v>
      </c>
      <c r="BU646" s="1">
        <v>1</v>
      </c>
    </row>
    <row r="647" spans="1:73" x14ac:dyDescent="0.3">
      <c r="A647" s="1" t="s">
        <v>40</v>
      </c>
      <c r="B647" s="7">
        <v>40758</v>
      </c>
      <c r="C647" s="1">
        <v>5</v>
      </c>
      <c r="D647" s="1">
        <v>302</v>
      </c>
      <c r="E647" s="1">
        <v>1.5</v>
      </c>
      <c r="F647" s="1">
        <v>43</v>
      </c>
      <c r="L647" s="1">
        <v>1</v>
      </c>
      <c r="N647" s="1">
        <v>1</v>
      </c>
    </row>
    <row r="648" spans="1:73" x14ac:dyDescent="0.3">
      <c r="A648" s="1" t="s">
        <v>40</v>
      </c>
      <c r="B648" s="7">
        <v>40758</v>
      </c>
      <c r="C648" s="1">
        <v>5</v>
      </c>
      <c r="D648" s="1">
        <v>302</v>
      </c>
      <c r="E648" s="1">
        <v>1.5</v>
      </c>
      <c r="F648" s="1">
        <v>44</v>
      </c>
      <c r="L648" s="1">
        <v>1</v>
      </c>
      <c r="AI648" s="1">
        <v>1</v>
      </c>
      <c r="BR648" s="1">
        <v>1</v>
      </c>
    </row>
    <row r="649" spans="1:73" x14ac:dyDescent="0.3">
      <c r="A649" s="1" t="s">
        <v>40</v>
      </c>
      <c r="B649" s="7">
        <v>40758</v>
      </c>
      <c r="C649" s="1">
        <v>5</v>
      </c>
      <c r="D649" s="1">
        <v>302</v>
      </c>
      <c r="E649" s="1">
        <v>1.5</v>
      </c>
      <c r="F649" s="1">
        <v>45</v>
      </c>
      <c r="R649" s="1">
        <v>1</v>
      </c>
      <c r="AI649" s="3">
        <v>0</v>
      </c>
      <c r="AJ649" s="3">
        <v>1</v>
      </c>
    </row>
    <row r="650" spans="1:73" x14ac:dyDescent="0.3">
      <c r="A650" s="1" t="s">
        <v>40</v>
      </c>
      <c r="B650" s="7">
        <v>40758</v>
      </c>
      <c r="C650" s="1">
        <v>5</v>
      </c>
      <c r="D650" s="1">
        <v>302</v>
      </c>
      <c r="E650" s="1">
        <v>1.5</v>
      </c>
      <c r="F650" s="1">
        <v>46</v>
      </c>
      <c r="L650" s="1">
        <v>1</v>
      </c>
      <c r="R650" s="1">
        <v>1</v>
      </c>
      <c r="AI650" s="1">
        <v>1</v>
      </c>
    </row>
    <row r="651" spans="1:73" x14ac:dyDescent="0.3">
      <c r="A651" s="1" t="s">
        <v>40</v>
      </c>
      <c r="B651" s="7">
        <v>40758</v>
      </c>
      <c r="C651" s="1">
        <v>5</v>
      </c>
      <c r="D651" s="1">
        <v>302</v>
      </c>
      <c r="E651" s="1">
        <v>1.5</v>
      </c>
      <c r="F651" s="1">
        <v>47</v>
      </c>
      <c r="L651" s="1">
        <v>1</v>
      </c>
      <c r="R651" s="1">
        <v>1</v>
      </c>
      <c r="T651" s="1">
        <v>1</v>
      </c>
    </row>
    <row r="652" spans="1:73" x14ac:dyDescent="0.3">
      <c r="A652" s="1" t="s">
        <v>40</v>
      </c>
      <c r="B652" s="7">
        <v>40758</v>
      </c>
      <c r="C652" s="1">
        <v>5</v>
      </c>
      <c r="D652" s="1">
        <v>302</v>
      </c>
      <c r="E652" s="1">
        <v>1.5</v>
      </c>
      <c r="F652" s="1">
        <v>48</v>
      </c>
      <c r="L652" s="1">
        <v>1</v>
      </c>
      <c r="T652" s="1">
        <v>1</v>
      </c>
    </row>
    <row r="653" spans="1:73" x14ac:dyDescent="0.3">
      <c r="A653" s="1" t="s">
        <v>40</v>
      </c>
      <c r="B653" s="7">
        <v>40758</v>
      </c>
      <c r="C653" s="1">
        <v>5</v>
      </c>
      <c r="D653" s="1">
        <v>302</v>
      </c>
      <c r="E653" s="1">
        <v>1.5</v>
      </c>
      <c r="F653" s="1">
        <v>49</v>
      </c>
      <c r="L653" s="1">
        <v>1</v>
      </c>
      <c r="R653" s="1">
        <v>1</v>
      </c>
      <c r="T653" s="1">
        <v>1</v>
      </c>
    </row>
    <row r="654" spans="1:73" x14ac:dyDescent="0.3">
      <c r="A654" s="1" t="s">
        <v>40</v>
      </c>
      <c r="B654" s="7">
        <v>40758</v>
      </c>
      <c r="C654" s="1">
        <v>5</v>
      </c>
      <c r="D654" s="1">
        <v>302</v>
      </c>
      <c r="E654" s="1">
        <v>1.5</v>
      </c>
      <c r="F654" s="1">
        <v>50</v>
      </c>
      <c r="L654" s="1">
        <v>1</v>
      </c>
      <c r="T654" s="1">
        <v>1</v>
      </c>
    </row>
    <row r="655" spans="1:73" x14ac:dyDescent="0.3">
      <c r="A655" s="1" t="s">
        <v>40</v>
      </c>
      <c r="B655" s="7">
        <v>40758</v>
      </c>
      <c r="C655" s="1">
        <v>5</v>
      </c>
      <c r="D655" s="1">
        <v>302</v>
      </c>
      <c r="E655" s="1">
        <v>1.5</v>
      </c>
      <c r="F655" s="1">
        <v>51</v>
      </c>
      <c r="N655" s="1">
        <v>1</v>
      </c>
      <c r="T655" s="1">
        <v>1</v>
      </c>
    </row>
    <row r="656" spans="1:73" x14ac:dyDescent="0.3">
      <c r="A656" s="1" t="s">
        <v>40</v>
      </c>
      <c r="B656" s="7">
        <v>40758</v>
      </c>
      <c r="C656" s="1">
        <v>5</v>
      </c>
      <c r="D656" s="1">
        <v>302</v>
      </c>
      <c r="E656" s="1">
        <v>1.5</v>
      </c>
      <c r="F656" s="1">
        <v>52</v>
      </c>
      <c r="N656" s="1">
        <v>1</v>
      </c>
      <c r="AM656" s="1">
        <v>1</v>
      </c>
      <c r="BU656" s="1">
        <v>1</v>
      </c>
    </row>
    <row r="657" spans="1:73" x14ac:dyDescent="0.3">
      <c r="A657" s="1" t="s">
        <v>40</v>
      </c>
      <c r="B657" s="7">
        <v>40758</v>
      </c>
      <c r="C657" s="1">
        <v>5</v>
      </c>
      <c r="D657" s="1">
        <v>302</v>
      </c>
      <c r="E657" s="1">
        <v>1.5</v>
      </c>
      <c r="F657" s="1">
        <v>53</v>
      </c>
      <c r="L657" s="8">
        <v>1</v>
      </c>
      <c r="M657" s="8"/>
      <c r="AM657" s="1">
        <v>1</v>
      </c>
    </row>
    <row r="658" spans="1:73" x14ac:dyDescent="0.3">
      <c r="A658" s="1" t="s">
        <v>40</v>
      </c>
      <c r="B658" s="7">
        <v>40758</v>
      </c>
      <c r="C658" s="1">
        <v>5</v>
      </c>
      <c r="D658" s="1">
        <v>302</v>
      </c>
      <c r="E658" s="1">
        <v>1.5</v>
      </c>
      <c r="F658" s="1">
        <v>54</v>
      </c>
      <c r="L658" s="1">
        <v>1</v>
      </c>
      <c r="R658" s="1">
        <v>1</v>
      </c>
      <c r="T658" s="1">
        <v>1</v>
      </c>
    </row>
    <row r="659" spans="1:73" x14ac:dyDescent="0.3">
      <c r="A659" s="1" t="s">
        <v>40</v>
      </c>
      <c r="B659" s="7">
        <v>40758</v>
      </c>
      <c r="C659" s="1">
        <v>5</v>
      </c>
      <c r="D659" s="1">
        <v>302</v>
      </c>
      <c r="E659" s="1">
        <v>1.5</v>
      </c>
      <c r="F659" s="1">
        <v>55</v>
      </c>
      <c r="L659" s="1">
        <v>1</v>
      </c>
      <c r="R659" s="1">
        <v>1</v>
      </c>
      <c r="T659" s="1">
        <v>1</v>
      </c>
    </row>
    <row r="660" spans="1:73" x14ac:dyDescent="0.3">
      <c r="A660" s="1" t="s">
        <v>40</v>
      </c>
      <c r="B660" s="7">
        <v>40758</v>
      </c>
      <c r="C660" s="1">
        <v>5</v>
      </c>
      <c r="D660" s="1">
        <v>302</v>
      </c>
      <c r="E660" s="1">
        <v>1.5</v>
      </c>
      <c r="F660" s="1">
        <v>56</v>
      </c>
      <c r="R660" s="1">
        <v>1</v>
      </c>
      <c r="BU660" s="1">
        <v>1</v>
      </c>
    </row>
    <row r="661" spans="1:73" x14ac:dyDescent="0.3">
      <c r="A661" s="1" t="s">
        <v>40</v>
      </c>
      <c r="B661" s="7">
        <v>40758</v>
      </c>
      <c r="C661" s="1">
        <v>5</v>
      </c>
      <c r="D661" s="1">
        <v>302</v>
      </c>
      <c r="E661" s="1">
        <v>1.5</v>
      </c>
      <c r="F661" s="1">
        <v>57</v>
      </c>
      <c r="R661" s="1">
        <v>1</v>
      </c>
      <c r="T661" s="1">
        <v>1</v>
      </c>
    </row>
    <row r="662" spans="1:73" x14ac:dyDescent="0.3">
      <c r="A662" s="1" t="s">
        <v>40</v>
      </c>
      <c r="B662" s="7">
        <v>40758</v>
      </c>
      <c r="C662" s="1">
        <v>5</v>
      </c>
      <c r="D662" s="1">
        <v>302</v>
      </c>
      <c r="E662" s="1">
        <v>1.5</v>
      </c>
      <c r="F662" s="1">
        <v>58</v>
      </c>
      <c r="T662" s="1">
        <v>1</v>
      </c>
      <c r="BI662" s="1">
        <v>1</v>
      </c>
    </row>
    <row r="663" spans="1:73" x14ac:dyDescent="0.3">
      <c r="A663" s="1" t="s">
        <v>40</v>
      </c>
      <c r="B663" s="7">
        <v>40758</v>
      </c>
      <c r="C663" s="1">
        <v>5</v>
      </c>
      <c r="D663" s="1">
        <v>302</v>
      </c>
      <c r="E663" s="1">
        <v>1.5</v>
      </c>
      <c r="F663" s="1">
        <v>59</v>
      </c>
      <c r="L663" s="1">
        <v>1</v>
      </c>
      <c r="T663" s="1">
        <v>1</v>
      </c>
    </row>
    <row r="664" spans="1:73" x14ac:dyDescent="0.3">
      <c r="A664" s="1" t="s">
        <v>40</v>
      </c>
      <c r="B664" s="7">
        <v>40758</v>
      </c>
      <c r="C664" s="1">
        <v>5</v>
      </c>
      <c r="D664" s="1">
        <v>302</v>
      </c>
      <c r="E664" s="1">
        <v>1.5</v>
      </c>
      <c r="F664" s="1">
        <v>60</v>
      </c>
      <c r="R664" s="1">
        <v>1</v>
      </c>
      <c r="T664" s="1">
        <v>1</v>
      </c>
    </row>
    <row r="665" spans="1:73" x14ac:dyDescent="0.3">
      <c r="A665" s="1" t="s">
        <v>40</v>
      </c>
      <c r="B665" s="7">
        <v>40758</v>
      </c>
      <c r="C665" s="1">
        <v>5</v>
      </c>
      <c r="D665" s="1">
        <v>302</v>
      </c>
      <c r="E665" s="1">
        <v>1.5</v>
      </c>
      <c r="F665" s="1">
        <v>61</v>
      </c>
      <c r="L665" s="1">
        <v>1</v>
      </c>
      <c r="N665" s="1">
        <v>1</v>
      </c>
      <c r="T665" s="1">
        <v>1</v>
      </c>
    </row>
    <row r="666" spans="1:73" x14ac:dyDescent="0.3">
      <c r="A666" s="1" t="s">
        <v>40</v>
      </c>
      <c r="B666" s="7">
        <v>40758</v>
      </c>
      <c r="C666" s="1">
        <v>5</v>
      </c>
      <c r="D666" s="1">
        <v>302</v>
      </c>
      <c r="E666" s="1">
        <v>1.5</v>
      </c>
      <c r="F666" s="1">
        <v>62</v>
      </c>
      <c r="L666" s="1">
        <v>1</v>
      </c>
      <c r="N666" s="1">
        <v>1</v>
      </c>
      <c r="T666" s="1">
        <v>1</v>
      </c>
    </row>
    <row r="667" spans="1:73" x14ac:dyDescent="0.3">
      <c r="A667" s="1" t="s">
        <v>40</v>
      </c>
      <c r="B667" s="7">
        <v>40758</v>
      </c>
      <c r="C667" s="1">
        <v>5</v>
      </c>
      <c r="D667" s="1">
        <v>302</v>
      </c>
      <c r="E667" s="1">
        <v>1.5</v>
      </c>
      <c r="F667" s="1">
        <v>63</v>
      </c>
      <c r="J667" s="1">
        <v>1</v>
      </c>
      <c r="L667" s="1">
        <v>1</v>
      </c>
      <c r="T667" s="1">
        <v>1</v>
      </c>
    </row>
    <row r="668" spans="1:73" x14ac:dyDescent="0.3">
      <c r="A668" s="1" t="s">
        <v>40</v>
      </c>
      <c r="B668" s="7">
        <v>40758</v>
      </c>
      <c r="C668" s="1">
        <v>5</v>
      </c>
      <c r="D668" s="1">
        <v>302</v>
      </c>
      <c r="E668" s="1">
        <v>1.5</v>
      </c>
      <c r="F668" s="1">
        <v>64</v>
      </c>
      <c r="R668" s="1">
        <v>1</v>
      </c>
      <c r="T668" s="1">
        <v>1</v>
      </c>
      <c r="AS668" s="1">
        <v>1</v>
      </c>
    </row>
    <row r="669" spans="1:73" x14ac:dyDescent="0.3">
      <c r="A669" s="1" t="s">
        <v>40</v>
      </c>
      <c r="B669" s="7">
        <v>40758</v>
      </c>
      <c r="C669" s="1">
        <v>5</v>
      </c>
      <c r="D669" s="1">
        <v>302</v>
      </c>
      <c r="E669" s="1">
        <v>1.5</v>
      </c>
      <c r="F669" s="1">
        <v>65</v>
      </c>
      <c r="L669" s="1">
        <v>1</v>
      </c>
      <c r="R669" s="1">
        <v>1</v>
      </c>
      <c r="BU669" s="1">
        <v>1</v>
      </c>
    </row>
    <row r="670" spans="1:73" x14ac:dyDescent="0.3">
      <c r="A670" s="1" t="s">
        <v>40</v>
      </c>
      <c r="B670" s="7">
        <v>40758</v>
      </c>
      <c r="C670" s="1">
        <v>5</v>
      </c>
      <c r="D670" s="1">
        <v>302</v>
      </c>
      <c r="E670" s="1">
        <v>1.5</v>
      </c>
      <c r="F670" s="1">
        <v>66</v>
      </c>
      <c r="L670" s="1">
        <v>1</v>
      </c>
      <c r="R670" s="1">
        <v>1</v>
      </c>
    </row>
    <row r="671" spans="1:73" x14ac:dyDescent="0.3">
      <c r="A671" s="1" t="s">
        <v>40</v>
      </c>
      <c r="B671" s="7">
        <v>40758</v>
      </c>
      <c r="C671" s="1">
        <v>5</v>
      </c>
      <c r="D671" s="1">
        <v>302</v>
      </c>
      <c r="E671" s="1">
        <v>1.5</v>
      </c>
      <c r="F671" s="1">
        <v>67</v>
      </c>
      <c r="L671" s="1">
        <v>1</v>
      </c>
      <c r="T671" s="1">
        <v>1</v>
      </c>
      <c r="BG671" s="1">
        <v>1</v>
      </c>
    </row>
    <row r="672" spans="1:73" x14ac:dyDescent="0.3">
      <c r="A672" s="1" t="s">
        <v>40</v>
      </c>
      <c r="B672" s="7">
        <v>40758</v>
      </c>
      <c r="C672" s="1">
        <v>5</v>
      </c>
      <c r="D672" s="1">
        <v>302</v>
      </c>
      <c r="E672" s="1">
        <v>1.5</v>
      </c>
      <c r="F672" s="1">
        <v>68</v>
      </c>
      <c r="L672" s="1">
        <v>1</v>
      </c>
      <c r="R672" s="1">
        <v>1</v>
      </c>
    </row>
    <row r="673" spans="1:73" x14ac:dyDescent="0.3">
      <c r="A673" s="1" t="s">
        <v>40</v>
      </c>
      <c r="B673" s="7">
        <v>40758</v>
      </c>
      <c r="C673" s="1">
        <v>5</v>
      </c>
      <c r="D673" s="1">
        <v>302</v>
      </c>
      <c r="E673" s="1">
        <v>1.5</v>
      </c>
      <c r="F673" s="1">
        <v>69</v>
      </c>
      <c r="L673" s="1">
        <v>1</v>
      </c>
      <c r="R673" s="1">
        <v>1</v>
      </c>
      <c r="T673" s="1">
        <v>1</v>
      </c>
    </row>
    <row r="674" spans="1:73" x14ac:dyDescent="0.3">
      <c r="A674" s="1" t="s">
        <v>40</v>
      </c>
      <c r="B674" s="7">
        <v>40758</v>
      </c>
      <c r="C674" s="1">
        <v>5</v>
      </c>
      <c r="D674" s="1">
        <v>302</v>
      </c>
      <c r="E674" s="1">
        <v>1.5</v>
      </c>
      <c r="F674" s="1">
        <v>70</v>
      </c>
      <c r="L674" s="1">
        <v>1</v>
      </c>
      <c r="T674" s="1">
        <v>1</v>
      </c>
    </row>
    <row r="675" spans="1:73" x14ac:dyDescent="0.3">
      <c r="A675" s="1" t="s">
        <v>40</v>
      </c>
      <c r="B675" s="7">
        <v>40758</v>
      </c>
      <c r="C675" s="1">
        <v>5</v>
      </c>
      <c r="D675" s="1">
        <v>302</v>
      </c>
      <c r="E675" s="1">
        <v>1.5</v>
      </c>
      <c r="F675" s="1">
        <v>71</v>
      </c>
      <c r="N675" s="1">
        <v>1</v>
      </c>
      <c r="T675" s="1">
        <v>1</v>
      </c>
    </row>
    <row r="676" spans="1:73" x14ac:dyDescent="0.3">
      <c r="A676" s="1" t="s">
        <v>40</v>
      </c>
      <c r="B676" s="7">
        <v>40758</v>
      </c>
      <c r="C676" s="1">
        <v>5</v>
      </c>
      <c r="D676" s="1">
        <v>302</v>
      </c>
      <c r="E676" s="1">
        <v>1.5</v>
      </c>
      <c r="F676" s="1">
        <v>72</v>
      </c>
      <c r="J676" s="1">
        <v>1</v>
      </c>
      <c r="L676" s="1">
        <v>1</v>
      </c>
      <c r="T676" s="1">
        <v>1</v>
      </c>
    </row>
    <row r="677" spans="1:73" x14ac:dyDescent="0.3">
      <c r="A677" s="1" t="s">
        <v>40</v>
      </c>
      <c r="B677" s="7">
        <v>40758</v>
      </c>
      <c r="C677" s="1">
        <v>5</v>
      </c>
      <c r="D677" s="1">
        <v>302</v>
      </c>
      <c r="E677" s="1">
        <v>1.5</v>
      </c>
      <c r="F677" s="1">
        <v>73</v>
      </c>
      <c r="J677" s="1">
        <v>1</v>
      </c>
      <c r="T677" s="1">
        <v>1</v>
      </c>
      <c r="AS677" s="1">
        <v>1</v>
      </c>
    </row>
    <row r="678" spans="1:73" x14ac:dyDescent="0.3">
      <c r="A678" s="1" t="s">
        <v>40</v>
      </c>
      <c r="B678" s="7">
        <v>40758</v>
      </c>
      <c r="C678" s="1">
        <v>5</v>
      </c>
      <c r="D678" s="1">
        <v>302</v>
      </c>
      <c r="E678" s="1">
        <v>1.5</v>
      </c>
      <c r="F678" s="1">
        <v>74</v>
      </c>
      <c r="J678" s="3">
        <v>0</v>
      </c>
      <c r="K678" s="3">
        <v>1</v>
      </c>
      <c r="N678" s="1">
        <v>1</v>
      </c>
    </row>
    <row r="679" spans="1:73" x14ac:dyDescent="0.3">
      <c r="A679" s="1" t="s">
        <v>40</v>
      </c>
      <c r="B679" s="7">
        <v>40758</v>
      </c>
      <c r="C679" s="1">
        <v>5</v>
      </c>
      <c r="D679" s="1">
        <v>302</v>
      </c>
      <c r="E679" s="1">
        <v>1.5</v>
      </c>
      <c r="F679" s="1">
        <v>75</v>
      </c>
      <c r="T679" s="1">
        <v>1</v>
      </c>
      <c r="BK679" s="1">
        <v>1</v>
      </c>
    </row>
    <row r="680" spans="1:73" x14ac:dyDescent="0.3">
      <c r="A680" s="1" t="s">
        <v>40</v>
      </c>
      <c r="B680" s="7">
        <v>40758</v>
      </c>
      <c r="C680" s="1">
        <v>5</v>
      </c>
      <c r="D680" s="1">
        <v>302</v>
      </c>
      <c r="E680" s="1">
        <v>1.5</v>
      </c>
      <c r="F680" s="1">
        <v>76</v>
      </c>
      <c r="T680" s="1">
        <v>1</v>
      </c>
      <c r="AU680" s="1">
        <v>1</v>
      </c>
      <c r="BE680" s="1">
        <v>1</v>
      </c>
    </row>
    <row r="681" spans="1:73" x14ac:dyDescent="0.3">
      <c r="A681" s="1" t="s">
        <v>40</v>
      </c>
      <c r="B681" s="7">
        <v>40758</v>
      </c>
      <c r="C681" s="1">
        <v>5</v>
      </c>
      <c r="D681" s="1">
        <v>302</v>
      </c>
      <c r="E681" s="1">
        <v>1.5</v>
      </c>
      <c r="F681" s="1">
        <v>77</v>
      </c>
      <c r="L681" s="1">
        <v>1</v>
      </c>
      <c r="T681" s="1">
        <v>1</v>
      </c>
    </row>
    <row r="682" spans="1:73" x14ac:dyDescent="0.3">
      <c r="A682" s="1" t="s">
        <v>40</v>
      </c>
      <c r="B682" s="7">
        <v>40758</v>
      </c>
      <c r="C682" s="1">
        <v>5</v>
      </c>
      <c r="D682" s="1">
        <v>302</v>
      </c>
      <c r="E682" s="1">
        <v>1.5</v>
      </c>
      <c r="F682" s="1">
        <v>78</v>
      </c>
      <c r="L682" s="1">
        <v>1</v>
      </c>
      <c r="R682" s="1">
        <v>1</v>
      </c>
      <c r="T682" s="1">
        <v>1</v>
      </c>
      <c r="BU682" s="1">
        <v>1</v>
      </c>
    </row>
    <row r="683" spans="1:73" x14ac:dyDescent="0.3">
      <c r="A683" s="1" t="s">
        <v>40</v>
      </c>
      <c r="B683" s="7">
        <v>40758</v>
      </c>
      <c r="C683" s="1">
        <v>5</v>
      </c>
      <c r="D683" s="1">
        <v>302</v>
      </c>
      <c r="E683" s="1">
        <v>1.5</v>
      </c>
      <c r="F683" s="1">
        <v>79</v>
      </c>
      <c r="L683" s="1">
        <v>1</v>
      </c>
      <c r="T683" s="1">
        <v>1</v>
      </c>
    </row>
    <row r="684" spans="1:73" x14ac:dyDescent="0.3">
      <c r="A684" s="1" t="s">
        <v>40</v>
      </c>
      <c r="B684" s="7">
        <v>40758</v>
      </c>
      <c r="C684" s="1">
        <v>5</v>
      </c>
      <c r="D684" s="1">
        <v>302</v>
      </c>
      <c r="E684" s="1">
        <v>1.5</v>
      </c>
      <c r="F684" s="1">
        <v>80</v>
      </c>
      <c r="L684" s="1">
        <v>1</v>
      </c>
      <c r="R684" s="1">
        <v>1</v>
      </c>
      <c r="T684" s="1">
        <v>1</v>
      </c>
    </row>
    <row r="685" spans="1:73" x14ac:dyDescent="0.3">
      <c r="A685" s="1" t="s">
        <v>40</v>
      </c>
      <c r="B685" s="7">
        <v>40758</v>
      </c>
      <c r="C685" s="1">
        <v>5</v>
      </c>
      <c r="D685" s="1">
        <v>302</v>
      </c>
      <c r="E685" s="1">
        <v>1.5</v>
      </c>
      <c r="F685" s="1">
        <v>81</v>
      </c>
      <c r="L685" s="1">
        <v>1</v>
      </c>
      <c r="T685" s="1">
        <v>1</v>
      </c>
      <c r="BE685" s="1">
        <v>1</v>
      </c>
    </row>
    <row r="686" spans="1:73" x14ac:dyDescent="0.3">
      <c r="A686" s="1" t="s">
        <v>40</v>
      </c>
      <c r="B686" s="7">
        <v>40758</v>
      </c>
      <c r="C686" s="1">
        <v>5</v>
      </c>
      <c r="D686" s="1">
        <v>302</v>
      </c>
      <c r="E686" s="1">
        <v>1.5</v>
      </c>
      <c r="F686" s="1">
        <v>82</v>
      </c>
      <c r="L686" s="1">
        <v>1</v>
      </c>
      <c r="T686" s="1">
        <v>1</v>
      </c>
    </row>
    <row r="687" spans="1:73" x14ac:dyDescent="0.3">
      <c r="A687" s="1" t="s">
        <v>40</v>
      </c>
      <c r="B687" s="7">
        <v>40758</v>
      </c>
      <c r="C687" s="1">
        <v>5</v>
      </c>
      <c r="D687" s="1">
        <v>302</v>
      </c>
      <c r="E687" s="1">
        <v>1.5</v>
      </c>
      <c r="F687" s="1">
        <v>83</v>
      </c>
      <c r="J687" s="1">
        <v>1</v>
      </c>
      <c r="L687" s="1">
        <v>1</v>
      </c>
      <c r="N687" s="1">
        <v>1</v>
      </c>
      <c r="T687" s="1">
        <v>1</v>
      </c>
    </row>
    <row r="688" spans="1:73" x14ac:dyDescent="0.3">
      <c r="A688" s="1" t="s">
        <v>40</v>
      </c>
      <c r="B688" s="7">
        <v>40758</v>
      </c>
      <c r="C688" s="1">
        <v>5</v>
      </c>
      <c r="D688" s="1">
        <v>302</v>
      </c>
      <c r="E688" s="1">
        <v>1.5</v>
      </c>
      <c r="F688" s="1">
        <v>84</v>
      </c>
      <c r="L688" s="8">
        <v>1</v>
      </c>
      <c r="M688" s="8"/>
      <c r="T688" s="1">
        <v>1</v>
      </c>
    </row>
    <row r="689" spans="1:74" x14ac:dyDescent="0.3">
      <c r="A689" s="1" t="s">
        <v>40</v>
      </c>
      <c r="B689" s="7">
        <v>40758</v>
      </c>
      <c r="C689" s="1">
        <v>5</v>
      </c>
      <c r="D689" s="1">
        <v>302</v>
      </c>
      <c r="E689" s="1">
        <v>1.5</v>
      </c>
      <c r="F689" s="1">
        <v>85</v>
      </c>
      <c r="L689" s="8">
        <v>1</v>
      </c>
      <c r="M689" s="8"/>
      <c r="BE689" s="1">
        <v>1</v>
      </c>
    </row>
    <row r="690" spans="1:74" x14ac:dyDescent="0.3">
      <c r="A690" s="1" t="s">
        <v>40</v>
      </c>
      <c r="B690" s="7">
        <v>40758</v>
      </c>
      <c r="C690" s="1">
        <v>5</v>
      </c>
      <c r="D690" s="1">
        <v>302</v>
      </c>
      <c r="E690" s="1">
        <v>1.5</v>
      </c>
      <c r="F690" s="1">
        <v>86</v>
      </c>
      <c r="L690" s="1">
        <v>1</v>
      </c>
      <c r="N690" s="1">
        <v>1</v>
      </c>
    </row>
    <row r="691" spans="1:74" x14ac:dyDescent="0.3">
      <c r="A691" s="1" t="s">
        <v>40</v>
      </c>
      <c r="B691" s="7">
        <v>40758</v>
      </c>
      <c r="C691" s="1">
        <v>5</v>
      </c>
      <c r="D691" s="1">
        <v>302</v>
      </c>
      <c r="E691" s="1">
        <v>1.5</v>
      </c>
      <c r="F691" s="1">
        <v>87</v>
      </c>
      <c r="J691" s="3">
        <v>0</v>
      </c>
      <c r="K691" s="3">
        <v>1</v>
      </c>
      <c r="N691" s="1">
        <v>1</v>
      </c>
      <c r="BE691" s="1">
        <v>1</v>
      </c>
    </row>
    <row r="692" spans="1:74" x14ac:dyDescent="0.3">
      <c r="A692" s="1" t="s">
        <v>40</v>
      </c>
      <c r="B692" s="7">
        <v>40758</v>
      </c>
      <c r="C692" s="1">
        <v>5</v>
      </c>
      <c r="D692" s="1">
        <v>302</v>
      </c>
      <c r="E692" s="1">
        <v>1.5</v>
      </c>
      <c r="F692" s="1">
        <v>88</v>
      </c>
      <c r="J692" s="1">
        <v>1</v>
      </c>
      <c r="L692" s="1">
        <v>1</v>
      </c>
      <c r="R692" s="1">
        <v>1</v>
      </c>
    </row>
    <row r="693" spans="1:74" x14ac:dyDescent="0.3">
      <c r="A693" s="1" t="s">
        <v>40</v>
      </c>
      <c r="B693" s="7">
        <v>40758</v>
      </c>
      <c r="C693" s="1">
        <v>5</v>
      </c>
      <c r="D693" s="1">
        <v>302</v>
      </c>
      <c r="E693" s="1">
        <v>1.5</v>
      </c>
      <c r="F693" s="1">
        <v>89</v>
      </c>
      <c r="J693" s="1">
        <v>1</v>
      </c>
      <c r="L693" s="8">
        <v>1</v>
      </c>
      <c r="M693" s="8"/>
    </row>
    <row r="694" spans="1:74" x14ac:dyDescent="0.3">
      <c r="A694" s="1" t="s">
        <v>40</v>
      </c>
      <c r="B694" s="7">
        <v>40758</v>
      </c>
      <c r="C694" s="1">
        <v>5</v>
      </c>
      <c r="D694" s="1">
        <v>302</v>
      </c>
      <c r="E694" s="1">
        <v>1.5</v>
      </c>
      <c r="F694" s="1">
        <v>90</v>
      </c>
      <c r="L694" s="1">
        <v>1</v>
      </c>
      <c r="T694" s="1">
        <v>1</v>
      </c>
    </row>
    <row r="695" spans="1:74" x14ac:dyDescent="0.3">
      <c r="A695" s="1" t="s">
        <v>40</v>
      </c>
      <c r="B695" s="7">
        <v>40758</v>
      </c>
      <c r="C695" s="1">
        <v>5</v>
      </c>
      <c r="D695" s="1">
        <v>302</v>
      </c>
      <c r="E695" s="1">
        <v>1.5</v>
      </c>
      <c r="F695" s="1">
        <v>91</v>
      </c>
      <c r="L695" s="1">
        <v>1</v>
      </c>
      <c r="T695" s="1">
        <v>1</v>
      </c>
    </row>
    <row r="696" spans="1:74" x14ac:dyDescent="0.3">
      <c r="A696" s="1" t="s">
        <v>40</v>
      </c>
      <c r="B696" s="7">
        <v>40758</v>
      </c>
      <c r="C696" s="1">
        <v>5</v>
      </c>
      <c r="D696" s="1">
        <v>302</v>
      </c>
      <c r="E696" s="1">
        <v>1.5</v>
      </c>
      <c r="F696" s="1">
        <v>92</v>
      </c>
      <c r="L696" s="1">
        <v>1</v>
      </c>
      <c r="T696" s="1">
        <v>1</v>
      </c>
    </row>
    <row r="697" spans="1:74" x14ac:dyDescent="0.3">
      <c r="A697" s="1" t="s">
        <v>40</v>
      </c>
      <c r="B697" s="7">
        <v>40758</v>
      </c>
      <c r="C697" s="1">
        <v>5</v>
      </c>
      <c r="D697" s="1">
        <v>302</v>
      </c>
      <c r="E697" s="1">
        <v>1.5</v>
      </c>
      <c r="F697" s="1">
        <v>93</v>
      </c>
      <c r="L697" s="1">
        <v>1</v>
      </c>
      <c r="T697" s="1">
        <v>1</v>
      </c>
    </row>
    <row r="698" spans="1:74" x14ac:dyDescent="0.3">
      <c r="A698" s="1" t="s">
        <v>40</v>
      </c>
      <c r="B698" s="7">
        <v>40758</v>
      </c>
      <c r="C698" s="1">
        <v>5</v>
      </c>
      <c r="D698" s="1">
        <v>302</v>
      </c>
      <c r="E698" s="1">
        <v>1.5</v>
      </c>
      <c r="F698" s="1">
        <v>94</v>
      </c>
      <c r="L698" s="1">
        <v>1</v>
      </c>
      <c r="T698" s="1">
        <v>1</v>
      </c>
    </row>
    <row r="699" spans="1:74" x14ac:dyDescent="0.3">
      <c r="A699" s="1" t="s">
        <v>40</v>
      </c>
      <c r="B699" s="7">
        <v>40758</v>
      </c>
      <c r="C699" s="1">
        <v>5</v>
      </c>
      <c r="D699" s="1">
        <v>302</v>
      </c>
      <c r="E699" s="1">
        <v>1.5</v>
      </c>
      <c r="F699" s="1">
        <v>95</v>
      </c>
      <c r="J699" s="1">
        <v>1</v>
      </c>
      <c r="L699" s="8">
        <v>1</v>
      </c>
      <c r="M699" s="8"/>
    </row>
    <row r="700" spans="1:74" x14ac:dyDescent="0.3">
      <c r="A700" s="1" t="s">
        <v>40</v>
      </c>
      <c r="B700" s="7">
        <v>40758</v>
      </c>
      <c r="C700" s="1">
        <v>5</v>
      </c>
      <c r="D700" s="1">
        <v>302</v>
      </c>
      <c r="E700" s="1">
        <v>1.5</v>
      </c>
      <c r="F700" s="1">
        <v>96</v>
      </c>
      <c r="L700" s="1">
        <v>1</v>
      </c>
      <c r="N700" s="1">
        <v>1</v>
      </c>
    </row>
    <row r="701" spans="1:74" x14ac:dyDescent="0.3">
      <c r="A701" s="1" t="s">
        <v>40</v>
      </c>
      <c r="B701" s="7">
        <v>40758</v>
      </c>
      <c r="C701" s="1">
        <v>5</v>
      </c>
      <c r="D701" s="1">
        <v>302</v>
      </c>
      <c r="E701" s="1">
        <v>1.5</v>
      </c>
      <c r="F701" s="1">
        <v>97</v>
      </c>
      <c r="L701" s="1">
        <v>1</v>
      </c>
      <c r="T701" s="1">
        <v>1</v>
      </c>
    </row>
    <row r="702" spans="1:74" x14ac:dyDescent="0.3">
      <c r="A702" s="1" t="s">
        <v>40</v>
      </c>
      <c r="B702" s="7">
        <v>40758</v>
      </c>
      <c r="C702" s="1">
        <v>5</v>
      </c>
      <c r="D702" s="1">
        <v>302</v>
      </c>
      <c r="E702" s="1">
        <v>1.5</v>
      </c>
      <c r="F702" s="1">
        <v>98</v>
      </c>
      <c r="J702" s="1">
        <v>1</v>
      </c>
      <c r="L702" s="1">
        <v>1</v>
      </c>
      <c r="BU702" s="3">
        <v>0</v>
      </c>
      <c r="BV702" s="3">
        <v>1</v>
      </c>
    </row>
    <row r="703" spans="1:74" x14ac:dyDescent="0.3">
      <c r="A703" s="1" t="s">
        <v>40</v>
      </c>
      <c r="B703" s="7">
        <v>40758</v>
      </c>
      <c r="C703" s="1">
        <v>5</v>
      </c>
      <c r="D703" s="1">
        <v>302</v>
      </c>
      <c r="E703" s="1">
        <v>1.5</v>
      </c>
      <c r="F703" s="1">
        <v>99</v>
      </c>
      <c r="L703" s="1">
        <v>1</v>
      </c>
      <c r="BU703" s="1">
        <v>1</v>
      </c>
    </row>
    <row r="704" spans="1:74" x14ac:dyDescent="0.3">
      <c r="A704" s="1" t="s">
        <v>40</v>
      </c>
      <c r="B704" s="7">
        <v>40758</v>
      </c>
      <c r="C704" s="1">
        <v>5</v>
      </c>
      <c r="D704" s="1">
        <v>302</v>
      </c>
      <c r="E704" s="1">
        <v>1.5</v>
      </c>
      <c r="F704" s="1">
        <v>100</v>
      </c>
      <c r="T704" s="1">
        <v>1</v>
      </c>
      <c r="BU704" s="1">
        <v>1</v>
      </c>
    </row>
    <row r="705" spans="1:90" x14ac:dyDescent="0.3">
      <c r="A705" s="1" t="s">
        <v>40</v>
      </c>
      <c r="B705" s="7">
        <v>40759</v>
      </c>
      <c r="C705" s="1">
        <v>8</v>
      </c>
      <c r="D705" s="1">
        <v>123</v>
      </c>
      <c r="E705" s="1">
        <v>1</v>
      </c>
      <c r="F705" s="1">
        <v>1</v>
      </c>
      <c r="AU705" s="1">
        <v>1</v>
      </c>
    </row>
    <row r="706" spans="1:90" x14ac:dyDescent="0.3">
      <c r="A706" s="1" t="s">
        <v>40</v>
      </c>
      <c r="B706" s="7">
        <v>40759</v>
      </c>
      <c r="C706" s="1">
        <v>8</v>
      </c>
      <c r="D706" s="1">
        <v>123</v>
      </c>
      <c r="E706" s="1">
        <v>1</v>
      </c>
      <c r="F706" s="1">
        <v>2</v>
      </c>
      <c r="BE706" s="1">
        <v>1</v>
      </c>
    </row>
    <row r="707" spans="1:90" x14ac:dyDescent="0.3">
      <c r="A707" s="1" t="s">
        <v>40</v>
      </c>
      <c r="B707" s="7">
        <v>40759</v>
      </c>
      <c r="C707" s="1">
        <v>8</v>
      </c>
      <c r="D707" s="1">
        <v>123</v>
      </c>
      <c r="E707" s="1">
        <v>1</v>
      </c>
      <c r="F707" s="1">
        <v>3</v>
      </c>
      <c r="AI707" s="1">
        <v>1</v>
      </c>
      <c r="BI707" s="1">
        <v>1</v>
      </c>
    </row>
    <row r="708" spans="1:90" x14ac:dyDescent="0.3">
      <c r="A708" s="1" t="s">
        <v>40</v>
      </c>
      <c r="B708" s="7">
        <v>40759</v>
      </c>
      <c r="C708" s="1">
        <v>8</v>
      </c>
      <c r="D708" s="1">
        <v>123</v>
      </c>
      <c r="E708" s="1">
        <v>1</v>
      </c>
      <c r="F708" s="1">
        <v>4</v>
      </c>
      <c r="X708" s="1">
        <v>1</v>
      </c>
      <c r="BE708" s="1">
        <v>1</v>
      </c>
    </row>
    <row r="709" spans="1:90" x14ac:dyDescent="0.3">
      <c r="A709" s="1" t="s">
        <v>40</v>
      </c>
      <c r="B709" s="7">
        <v>40759</v>
      </c>
      <c r="C709" s="1">
        <v>8</v>
      </c>
      <c r="D709" s="1">
        <v>123</v>
      </c>
      <c r="E709" s="1">
        <v>1</v>
      </c>
      <c r="F709" s="1">
        <v>5</v>
      </c>
      <c r="AB709" s="1">
        <v>1</v>
      </c>
      <c r="BG709" s="1">
        <v>1</v>
      </c>
    </row>
    <row r="710" spans="1:90" x14ac:dyDescent="0.3">
      <c r="A710" s="1" t="s">
        <v>40</v>
      </c>
      <c r="B710" s="7">
        <v>40759</v>
      </c>
      <c r="C710" s="1">
        <v>8</v>
      </c>
      <c r="D710" s="1">
        <v>123</v>
      </c>
      <c r="E710" s="1">
        <v>1</v>
      </c>
      <c r="F710" s="1">
        <v>6</v>
      </c>
      <c r="L710" s="1">
        <v>1</v>
      </c>
    </row>
    <row r="711" spans="1:90" x14ac:dyDescent="0.3">
      <c r="A711" s="1" t="s">
        <v>40</v>
      </c>
      <c r="B711" s="7">
        <v>40759</v>
      </c>
      <c r="C711" s="1">
        <v>8</v>
      </c>
      <c r="D711" s="1">
        <v>123</v>
      </c>
      <c r="E711" s="1">
        <v>1</v>
      </c>
      <c r="F711" s="1">
        <v>7</v>
      </c>
      <c r="AU711" s="1">
        <v>1</v>
      </c>
    </row>
    <row r="712" spans="1:90" x14ac:dyDescent="0.3">
      <c r="A712" s="1" t="s">
        <v>40</v>
      </c>
      <c r="B712" s="7">
        <v>40759</v>
      </c>
      <c r="C712" s="1">
        <v>8</v>
      </c>
      <c r="D712" s="1">
        <v>123</v>
      </c>
      <c r="E712" s="1">
        <v>1</v>
      </c>
      <c r="F712" s="1">
        <v>8</v>
      </c>
    </row>
    <row r="713" spans="1:90" x14ac:dyDescent="0.3">
      <c r="A713" s="1" t="s">
        <v>40</v>
      </c>
      <c r="B713" s="7">
        <v>40759</v>
      </c>
      <c r="C713" s="1">
        <v>8</v>
      </c>
      <c r="D713" s="1">
        <v>123</v>
      </c>
      <c r="E713" s="1">
        <v>1</v>
      </c>
      <c r="F713" s="1">
        <v>9</v>
      </c>
      <c r="P713" s="3">
        <v>0</v>
      </c>
      <c r="Q713" s="3">
        <v>1</v>
      </c>
      <c r="AB713" s="1">
        <v>1</v>
      </c>
    </row>
    <row r="714" spans="1:90" x14ac:dyDescent="0.3">
      <c r="A714" s="1" t="s">
        <v>40</v>
      </c>
      <c r="B714" s="7">
        <v>40759</v>
      </c>
      <c r="C714" s="1">
        <v>8</v>
      </c>
      <c r="D714" s="1">
        <v>123</v>
      </c>
      <c r="E714" s="1">
        <v>1</v>
      </c>
      <c r="F714" s="1">
        <v>10</v>
      </c>
      <c r="P714" s="3">
        <v>0</v>
      </c>
      <c r="Q714" s="3">
        <v>1</v>
      </c>
      <c r="AB714" s="1">
        <v>1</v>
      </c>
    </row>
    <row r="715" spans="1:90" x14ac:dyDescent="0.3">
      <c r="A715" s="1" t="s">
        <v>40</v>
      </c>
      <c r="B715" s="7">
        <v>40759</v>
      </c>
      <c r="C715" s="1">
        <v>8</v>
      </c>
      <c r="D715" s="1">
        <v>123</v>
      </c>
      <c r="E715" s="1">
        <v>1</v>
      </c>
      <c r="F715" s="1">
        <v>11</v>
      </c>
      <c r="AB715" s="1">
        <v>1</v>
      </c>
    </row>
    <row r="716" spans="1:90" x14ac:dyDescent="0.3">
      <c r="A716" s="1" t="s">
        <v>40</v>
      </c>
      <c r="B716" s="7">
        <v>40759</v>
      </c>
      <c r="C716" s="1">
        <v>8</v>
      </c>
      <c r="D716" s="1">
        <v>123</v>
      </c>
      <c r="E716" s="1">
        <v>1</v>
      </c>
      <c r="F716" s="1">
        <v>12</v>
      </c>
      <c r="X716" s="1">
        <v>1</v>
      </c>
      <c r="AB716" s="1">
        <v>1</v>
      </c>
      <c r="BK716" s="1">
        <v>1</v>
      </c>
    </row>
    <row r="717" spans="1:90" x14ac:dyDescent="0.3">
      <c r="A717" s="1" t="s">
        <v>40</v>
      </c>
      <c r="B717" s="7">
        <v>40759</v>
      </c>
      <c r="C717" s="1">
        <v>8</v>
      </c>
      <c r="D717" s="1">
        <v>123</v>
      </c>
      <c r="E717" s="1">
        <v>1</v>
      </c>
      <c r="F717" s="1">
        <v>13</v>
      </c>
      <c r="AB717" s="1">
        <v>1</v>
      </c>
    </row>
    <row r="718" spans="1:90" x14ac:dyDescent="0.3">
      <c r="A718" s="1" t="s">
        <v>40</v>
      </c>
      <c r="B718" s="7">
        <v>40759</v>
      </c>
      <c r="C718" s="1">
        <v>8</v>
      </c>
      <c r="D718" s="1">
        <v>123</v>
      </c>
      <c r="E718" s="1">
        <v>1</v>
      </c>
      <c r="F718" s="1">
        <v>14</v>
      </c>
      <c r="AS718" s="1">
        <v>1</v>
      </c>
      <c r="CK718" s="3">
        <v>0</v>
      </c>
      <c r="CL718" s="9">
        <v>1</v>
      </c>
    </row>
    <row r="719" spans="1:90" x14ac:dyDescent="0.3">
      <c r="A719" s="1" t="s">
        <v>40</v>
      </c>
      <c r="B719" s="7">
        <v>40759</v>
      </c>
      <c r="C719" s="1">
        <v>8</v>
      </c>
      <c r="D719" s="1">
        <v>123</v>
      </c>
      <c r="E719" s="1">
        <v>1</v>
      </c>
      <c r="F719" s="1">
        <v>15</v>
      </c>
      <c r="L719" s="1">
        <v>1</v>
      </c>
      <c r="AI719" s="1">
        <v>1</v>
      </c>
      <c r="AQ719" s="1">
        <v>1</v>
      </c>
    </row>
    <row r="720" spans="1:90" x14ac:dyDescent="0.3">
      <c r="A720" s="1" t="s">
        <v>40</v>
      </c>
      <c r="B720" s="7">
        <v>40759</v>
      </c>
      <c r="C720" s="1">
        <v>8</v>
      </c>
      <c r="D720" s="1">
        <v>123</v>
      </c>
      <c r="E720" s="1">
        <v>1</v>
      </c>
      <c r="F720" s="1">
        <v>16</v>
      </c>
      <c r="L720" s="1">
        <v>1</v>
      </c>
      <c r="AQ720" s="1">
        <v>1</v>
      </c>
      <c r="CH720" s="1">
        <v>1</v>
      </c>
    </row>
    <row r="721" spans="1:89" x14ac:dyDescent="0.3">
      <c r="A721" s="1" t="s">
        <v>40</v>
      </c>
      <c r="B721" s="7">
        <v>40759</v>
      </c>
      <c r="C721" s="1">
        <v>8</v>
      </c>
      <c r="D721" s="1">
        <v>123</v>
      </c>
      <c r="E721" s="1">
        <v>1</v>
      </c>
      <c r="F721" s="1">
        <v>17</v>
      </c>
      <c r="L721" s="1">
        <v>1</v>
      </c>
      <c r="AQ721" s="1">
        <v>1</v>
      </c>
      <c r="CH721" s="1">
        <v>1</v>
      </c>
    </row>
    <row r="722" spans="1:89" x14ac:dyDescent="0.3">
      <c r="A722" s="1" t="s">
        <v>40</v>
      </c>
      <c r="B722" s="7">
        <v>40759</v>
      </c>
      <c r="C722" s="1">
        <v>8</v>
      </c>
      <c r="D722" s="1">
        <v>123</v>
      </c>
      <c r="E722" s="1">
        <v>1</v>
      </c>
      <c r="F722" s="1">
        <v>18</v>
      </c>
      <c r="P722" s="1">
        <v>1</v>
      </c>
      <c r="AB722" s="8">
        <v>1</v>
      </c>
      <c r="AC722" s="8"/>
      <c r="AF722" s="1">
        <v>1</v>
      </c>
    </row>
    <row r="723" spans="1:89" x14ac:dyDescent="0.3">
      <c r="A723" s="1" t="s">
        <v>40</v>
      </c>
      <c r="B723" s="7">
        <v>40759</v>
      </c>
      <c r="C723" s="1">
        <v>8</v>
      </c>
      <c r="D723" s="1">
        <v>123</v>
      </c>
      <c r="E723" s="1">
        <v>1</v>
      </c>
      <c r="F723" s="1">
        <v>19</v>
      </c>
      <c r="L723" s="1">
        <v>1</v>
      </c>
      <c r="P723" s="8">
        <v>1</v>
      </c>
      <c r="Q723" s="8"/>
    </row>
    <row r="724" spans="1:89" x14ac:dyDescent="0.3">
      <c r="A724" s="1" t="s">
        <v>40</v>
      </c>
      <c r="B724" s="7">
        <v>40759</v>
      </c>
      <c r="C724" s="1">
        <v>8</v>
      </c>
      <c r="D724" s="1">
        <v>123</v>
      </c>
      <c r="E724" s="1">
        <v>1</v>
      </c>
      <c r="F724" s="1">
        <v>20</v>
      </c>
      <c r="AU724" s="1">
        <v>1</v>
      </c>
    </row>
    <row r="725" spans="1:89" x14ac:dyDescent="0.3">
      <c r="A725" s="1" t="s">
        <v>40</v>
      </c>
      <c r="B725" s="7">
        <v>40759</v>
      </c>
      <c r="C725" s="1">
        <v>8</v>
      </c>
      <c r="D725" s="1">
        <v>123</v>
      </c>
      <c r="E725" s="1">
        <v>1</v>
      </c>
      <c r="F725" s="1">
        <v>21</v>
      </c>
      <c r="L725" s="1">
        <v>1</v>
      </c>
      <c r="BE725" s="1">
        <v>1</v>
      </c>
    </row>
    <row r="726" spans="1:89" x14ac:dyDescent="0.3">
      <c r="A726" s="1" t="s">
        <v>40</v>
      </c>
      <c r="B726" s="7">
        <v>40759</v>
      </c>
      <c r="C726" s="1">
        <v>8</v>
      </c>
      <c r="D726" s="1">
        <v>123</v>
      </c>
      <c r="E726" s="1">
        <v>1</v>
      </c>
      <c r="F726" s="1">
        <v>22</v>
      </c>
      <c r="L726" s="1">
        <v>1</v>
      </c>
      <c r="CH726" s="1">
        <v>1</v>
      </c>
    </row>
    <row r="727" spans="1:89" x14ac:dyDescent="0.3">
      <c r="A727" s="1" t="s">
        <v>40</v>
      </c>
      <c r="B727" s="7">
        <v>40759</v>
      </c>
      <c r="C727" s="1">
        <v>8</v>
      </c>
      <c r="D727" s="1">
        <v>123</v>
      </c>
      <c r="E727" s="1">
        <v>1</v>
      </c>
      <c r="F727" s="1">
        <v>23</v>
      </c>
      <c r="AB727" s="1">
        <v>1</v>
      </c>
      <c r="AQ727" s="1">
        <v>1</v>
      </c>
    </row>
    <row r="728" spans="1:89" x14ac:dyDescent="0.3">
      <c r="A728" s="1" t="s">
        <v>40</v>
      </c>
      <c r="B728" s="7">
        <v>40759</v>
      </c>
      <c r="C728" s="1">
        <v>8</v>
      </c>
      <c r="D728" s="1">
        <v>123</v>
      </c>
      <c r="E728" s="1">
        <v>1</v>
      </c>
      <c r="F728" s="1">
        <v>24</v>
      </c>
      <c r="AU728" s="1">
        <v>1</v>
      </c>
      <c r="CH728" s="1">
        <v>1</v>
      </c>
    </row>
    <row r="729" spans="1:89" x14ac:dyDescent="0.3">
      <c r="A729" s="1" t="s">
        <v>40</v>
      </c>
      <c r="B729" s="7">
        <v>40759</v>
      </c>
      <c r="C729" s="1">
        <v>8</v>
      </c>
      <c r="D729" s="1">
        <v>123</v>
      </c>
      <c r="E729" s="1">
        <v>1</v>
      </c>
      <c r="F729" s="1">
        <v>25</v>
      </c>
      <c r="R729" s="3">
        <v>0</v>
      </c>
      <c r="S729" s="3">
        <v>1</v>
      </c>
      <c r="AB729" s="1">
        <v>1</v>
      </c>
      <c r="AQ729" s="1">
        <v>1</v>
      </c>
    </row>
    <row r="730" spans="1:89" x14ac:dyDescent="0.3">
      <c r="A730" s="1" t="s">
        <v>40</v>
      </c>
      <c r="B730" s="7">
        <v>40759</v>
      </c>
      <c r="C730" s="1">
        <v>8</v>
      </c>
      <c r="D730" s="1">
        <v>123</v>
      </c>
      <c r="E730" s="1">
        <v>1</v>
      </c>
      <c r="F730" s="1">
        <v>26</v>
      </c>
      <c r="L730" s="1">
        <v>1</v>
      </c>
      <c r="BK730" s="1">
        <v>1</v>
      </c>
    </row>
    <row r="731" spans="1:89" x14ac:dyDescent="0.3">
      <c r="A731" s="1" t="s">
        <v>40</v>
      </c>
      <c r="B731" s="7">
        <v>40759</v>
      </c>
      <c r="C731" s="1">
        <v>8</v>
      </c>
      <c r="D731" s="1">
        <v>123</v>
      </c>
      <c r="E731" s="1">
        <v>1</v>
      </c>
      <c r="F731" s="1">
        <v>27</v>
      </c>
      <c r="H731" s="1">
        <v>1</v>
      </c>
      <c r="CH731" s="1">
        <v>1</v>
      </c>
    </row>
    <row r="732" spans="1:89" x14ac:dyDescent="0.3">
      <c r="A732" s="1" t="s">
        <v>40</v>
      </c>
      <c r="B732" s="7">
        <v>40759</v>
      </c>
      <c r="C732" s="1">
        <v>8</v>
      </c>
      <c r="D732" s="1">
        <v>123</v>
      </c>
      <c r="E732" s="1">
        <v>1</v>
      </c>
      <c r="F732" s="1">
        <v>28</v>
      </c>
      <c r="AS732" s="1">
        <v>1</v>
      </c>
      <c r="CK732" s="1">
        <v>1</v>
      </c>
    </row>
    <row r="733" spans="1:89" x14ac:dyDescent="0.3">
      <c r="A733" s="1" t="s">
        <v>40</v>
      </c>
      <c r="B733" s="7">
        <v>40759</v>
      </c>
      <c r="C733" s="1">
        <v>8</v>
      </c>
      <c r="D733" s="1">
        <v>123</v>
      </c>
      <c r="E733" s="1">
        <v>1</v>
      </c>
      <c r="F733" s="1">
        <v>29</v>
      </c>
      <c r="AF733" s="8">
        <v>1</v>
      </c>
      <c r="AS733" s="1">
        <v>1</v>
      </c>
      <c r="BE733" s="1">
        <v>1</v>
      </c>
    </row>
    <row r="734" spans="1:89" x14ac:dyDescent="0.3">
      <c r="A734" s="1" t="s">
        <v>40</v>
      </c>
      <c r="B734" s="7">
        <v>40759</v>
      </c>
      <c r="C734" s="1">
        <v>8</v>
      </c>
      <c r="D734" s="1">
        <v>123</v>
      </c>
      <c r="E734" s="1">
        <v>1</v>
      </c>
      <c r="F734" s="1">
        <v>30</v>
      </c>
      <c r="AF734" s="1">
        <v>1</v>
      </c>
      <c r="BE734" s="1">
        <v>1</v>
      </c>
      <c r="BI734" s="1">
        <v>1</v>
      </c>
    </row>
    <row r="735" spans="1:89" x14ac:dyDescent="0.3">
      <c r="A735" s="1" t="s">
        <v>40</v>
      </c>
      <c r="B735" s="7">
        <v>40759</v>
      </c>
      <c r="C735" s="1">
        <v>8</v>
      </c>
      <c r="D735" s="1">
        <v>123</v>
      </c>
      <c r="E735" s="1">
        <v>1</v>
      </c>
      <c r="F735" s="1">
        <v>31</v>
      </c>
    </row>
    <row r="736" spans="1:89" x14ac:dyDescent="0.3">
      <c r="A736" s="1" t="s">
        <v>40</v>
      </c>
      <c r="B736" s="7">
        <v>40759</v>
      </c>
      <c r="C736" s="1">
        <v>8</v>
      </c>
      <c r="D736" s="1">
        <v>123</v>
      </c>
      <c r="E736" s="1">
        <v>1</v>
      </c>
      <c r="F736" s="1">
        <v>32</v>
      </c>
      <c r="AB736" s="1">
        <v>1</v>
      </c>
    </row>
    <row r="737" spans="1:59" x14ac:dyDescent="0.3">
      <c r="A737" s="1" t="s">
        <v>40</v>
      </c>
      <c r="B737" s="7">
        <v>40759</v>
      </c>
      <c r="C737" s="1">
        <v>8</v>
      </c>
      <c r="D737" s="1">
        <v>123</v>
      </c>
      <c r="E737" s="1">
        <v>1</v>
      </c>
      <c r="F737" s="1">
        <v>33</v>
      </c>
      <c r="L737" s="8">
        <v>1</v>
      </c>
      <c r="M737" s="8"/>
    </row>
    <row r="738" spans="1:59" x14ac:dyDescent="0.3">
      <c r="A738" s="1" t="s">
        <v>40</v>
      </c>
      <c r="B738" s="7">
        <v>40759</v>
      </c>
      <c r="C738" s="1">
        <v>8</v>
      </c>
      <c r="D738" s="1">
        <v>123</v>
      </c>
      <c r="E738" s="1">
        <v>1</v>
      </c>
      <c r="F738" s="1">
        <v>34</v>
      </c>
      <c r="L738" s="1">
        <v>1</v>
      </c>
      <c r="AQ738" s="1">
        <v>1</v>
      </c>
      <c r="AU738" s="1">
        <v>1</v>
      </c>
    </row>
    <row r="739" spans="1:59" x14ac:dyDescent="0.3">
      <c r="A739" s="1" t="s">
        <v>40</v>
      </c>
      <c r="B739" s="7">
        <v>40759</v>
      </c>
      <c r="C739" s="1">
        <v>8</v>
      </c>
      <c r="D739" s="1">
        <v>123</v>
      </c>
      <c r="E739" s="1">
        <v>1</v>
      </c>
      <c r="F739" s="1">
        <v>35</v>
      </c>
      <c r="L739" s="8">
        <v>1</v>
      </c>
      <c r="M739" s="8"/>
      <c r="AQ739" s="1">
        <v>1</v>
      </c>
    </row>
    <row r="740" spans="1:59" x14ac:dyDescent="0.3">
      <c r="A740" s="1" t="s">
        <v>40</v>
      </c>
      <c r="B740" s="7">
        <v>40759</v>
      </c>
      <c r="C740" s="1">
        <v>8</v>
      </c>
      <c r="D740" s="1">
        <v>123</v>
      </c>
      <c r="E740" s="1">
        <v>1</v>
      </c>
      <c r="F740" s="1">
        <v>36</v>
      </c>
      <c r="H740" s="1">
        <v>1</v>
      </c>
      <c r="AQ740" s="1">
        <v>1</v>
      </c>
    </row>
    <row r="741" spans="1:59" x14ac:dyDescent="0.3">
      <c r="A741" s="1" t="s">
        <v>40</v>
      </c>
      <c r="B741" s="7">
        <v>40759</v>
      </c>
      <c r="C741" s="1">
        <v>8</v>
      </c>
      <c r="D741" s="1">
        <v>123</v>
      </c>
      <c r="E741" s="1">
        <v>1</v>
      </c>
      <c r="F741" s="1">
        <v>37</v>
      </c>
      <c r="L741" s="1">
        <v>1</v>
      </c>
      <c r="AQ741" s="1">
        <v>1</v>
      </c>
    </row>
    <row r="742" spans="1:59" x14ac:dyDescent="0.3">
      <c r="A742" s="1" t="s">
        <v>40</v>
      </c>
      <c r="B742" s="7">
        <v>40759</v>
      </c>
      <c r="C742" s="1">
        <v>8</v>
      </c>
      <c r="D742" s="1">
        <v>123</v>
      </c>
      <c r="E742" s="1">
        <v>1</v>
      </c>
      <c r="F742" s="1">
        <v>38</v>
      </c>
      <c r="L742" s="1">
        <v>1</v>
      </c>
      <c r="AQ742" s="1">
        <v>1</v>
      </c>
    </row>
    <row r="743" spans="1:59" x14ac:dyDescent="0.3">
      <c r="A743" s="1" t="s">
        <v>40</v>
      </c>
      <c r="B743" s="7">
        <v>40759</v>
      </c>
      <c r="C743" s="1">
        <v>8</v>
      </c>
      <c r="D743" s="1">
        <v>123</v>
      </c>
      <c r="E743" s="1">
        <v>1</v>
      </c>
      <c r="F743" s="1">
        <v>39</v>
      </c>
      <c r="L743" s="1">
        <v>1</v>
      </c>
    </row>
    <row r="744" spans="1:59" x14ac:dyDescent="0.3">
      <c r="A744" s="1" t="s">
        <v>40</v>
      </c>
      <c r="B744" s="7">
        <v>40759</v>
      </c>
      <c r="C744" s="1">
        <v>8</v>
      </c>
      <c r="D744" s="1">
        <v>123</v>
      </c>
      <c r="E744" s="1">
        <v>1</v>
      </c>
      <c r="F744" s="1">
        <v>40</v>
      </c>
      <c r="AF744" s="1">
        <v>1</v>
      </c>
    </row>
    <row r="745" spans="1:59" x14ac:dyDescent="0.3">
      <c r="A745" s="1" t="s">
        <v>40</v>
      </c>
      <c r="B745" s="7">
        <v>40759</v>
      </c>
      <c r="C745" s="1">
        <v>8</v>
      </c>
      <c r="D745" s="1">
        <v>123</v>
      </c>
      <c r="E745" s="1">
        <v>1</v>
      </c>
      <c r="F745" s="1">
        <v>41</v>
      </c>
      <c r="AQ745" s="1">
        <v>1</v>
      </c>
    </row>
    <row r="746" spans="1:59" x14ac:dyDescent="0.3">
      <c r="A746" s="1" t="s">
        <v>40</v>
      </c>
      <c r="B746" s="7">
        <v>40759</v>
      </c>
      <c r="C746" s="1">
        <v>8</v>
      </c>
      <c r="D746" s="1">
        <v>123</v>
      </c>
      <c r="E746" s="1">
        <v>1</v>
      </c>
      <c r="F746" s="1">
        <v>42</v>
      </c>
      <c r="AB746" s="1">
        <v>1</v>
      </c>
      <c r="AM746" s="1">
        <v>1</v>
      </c>
    </row>
    <row r="747" spans="1:59" x14ac:dyDescent="0.3">
      <c r="A747" s="1" t="s">
        <v>40</v>
      </c>
      <c r="B747" s="7">
        <v>40759</v>
      </c>
      <c r="C747" s="1">
        <v>8</v>
      </c>
      <c r="D747" s="1">
        <v>123</v>
      </c>
      <c r="E747" s="1">
        <v>1</v>
      </c>
      <c r="F747" s="1">
        <v>43</v>
      </c>
      <c r="L747" s="1">
        <v>1</v>
      </c>
      <c r="BG747" s="1">
        <v>1</v>
      </c>
    </row>
    <row r="748" spans="1:59" x14ac:dyDescent="0.3">
      <c r="A748" s="1" t="s">
        <v>40</v>
      </c>
      <c r="B748" s="7">
        <v>40759</v>
      </c>
      <c r="C748" s="1">
        <v>8</v>
      </c>
      <c r="D748" s="1">
        <v>123</v>
      </c>
      <c r="E748" s="1">
        <v>1</v>
      </c>
      <c r="F748" s="1">
        <v>44</v>
      </c>
      <c r="N748" s="1">
        <v>1</v>
      </c>
      <c r="AQ748" s="1">
        <v>1</v>
      </c>
    </row>
    <row r="749" spans="1:59" x14ac:dyDescent="0.3">
      <c r="A749" s="1" t="s">
        <v>40</v>
      </c>
      <c r="B749" s="7">
        <v>40759</v>
      </c>
      <c r="C749" s="1">
        <v>8</v>
      </c>
      <c r="D749" s="1">
        <v>123</v>
      </c>
      <c r="E749" s="1">
        <v>1</v>
      </c>
      <c r="F749" s="1">
        <v>45</v>
      </c>
      <c r="AQ749" s="1">
        <v>1</v>
      </c>
    </row>
    <row r="750" spans="1:59" x14ac:dyDescent="0.3">
      <c r="A750" s="1" t="s">
        <v>40</v>
      </c>
      <c r="B750" s="7">
        <v>40759</v>
      </c>
      <c r="C750" s="1">
        <v>8</v>
      </c>
      <c r="D750" s="1">
        <v>123</v>
      </c>
      <c r="E750" s="1">
        <v>1</v>
      </c>
      <c r="F750" s="1">
        <v>46</v>
      </c>
      <c r="L750" s="1">
        <v>1</v>
      </c>
      <c r="N750" s="8">
        <v>1</v>
      </c>
      <c r="O750" s="8"/>
      <c r="BE750" s="1">
        <v>1</v>
      </c>
    </row>
    <row r="751" spans="1:59" x14ac:dyDescent="0.3">
      <c r="A751" s="1" t="s">
        <v>40</v>
      </c>
      <c r="B751" s="7">
        <v>40759</v>
      </c>
      <c r="C751" s="1">
        <v>8</v>
      </c>
      <c r="D751" s="1">
        <v>123</v>
      </c>
      <c r="E751" s="1">
        <v>1</v>
      </c>
      <c r="F751" s="1">
        <v>47</v>
      </c>
      <c r="AQ751" s="1">
        <v>1</v>
      </c>
      <c r="BE751" s="1">
        <v>1</v>
      </c>
    </row>
    <row r="752" spans="1:59" x14ac:dyDescent="0.3">
      <c r="A752" s="1" t="s">
        <v>40</v>
      </c>
      <c r="B752" s="7">
        <v>40759</v>
      </c>
      <c r="C752" s="1">
        <v>8</v>
      </c>
      <c r="D752" s="1">
        <v>123</v>
      </c>
      <c r="E752" s="1">
        <v>1</v>
      </c>
      <c r="F752" s="1">
        <v>48</v>
      </c>
      <c r="L752" s="1">
        <v>1</v>
      </c>
    </row>
    <row r="753" spans="1:86" x14ac:dyDescent="0.3">
      <c r="A753" s="1" t="s">
        <v>40</v>
      </c>
      <c r="B753" s="7">
        <v>40759</v>
      </c>
      <c r="C753" s="1">
        <v>8</v>
      </c>
      <c r="D753" s="1">
        <v>123</v>
      </c>
      <c r="E753" s="1">
        <v>1</v>
      </c>
      <c r="F753" s="1">
        <v>49</v>
      </c>
      <c r="L753" s="1">
        <v>1</v>
      </c>
      <c r="AI753" s="3">
        <v>0</v>
      </c>
      <c r="AJ753" s="3">
        <v>1</v>
      </c>
      <c r="BE753" s="1">
        <v>1</v>
      </c>
    </row>
    <row r="754" spans="1:86" x14ac:dyDescent="0.3">
      <c r="A754" s="1" t="s">
        <v>40</v>
      </c>
      <c r="B754" s="7">
        <v>40759</v>
      </c>
      <c r="C754" s="1">
        <v>8</v>
      </c>
      <c r="D754" s="1">
        <v>123</v>
      </c>
      <c r="E754" s="1">
        <v>1</v>
      </c>
      <c r="F754" s="1">
        <v>50</v>
      </c>
      <c r="L754" s="1">
        <v>1</v>
      </c>
      <c r="CH754" s="1">
        <v>1</v>
      </c>
    </row>
    <row r="755" spans="1:86" x14ac:dyDescent="0.3">
      <c r="A755" s="1" t="s">
        <v>40</v>
      </c>
      <c r="B755" s="7">
        <v>40759</v>
      </c>
      <c r="C755" s="1">
        <v>8</v>
      </c>
      <c r="D755" s="1">
        <v>123</v>
      </c>
      <c r="E755" s="1">
        <v>1</v>
      </c>
      <c r="F755" s="1">
        <v>51</v>
      </c>
      <c r="L755" s="1">
        <v>1</v>
      </c>
      <c r="AQ755" s="1">
        <v>1</v>
      </c>
    </row>
    <row r="756" spans="1:86" x14ac:dyDescent="0.3">
      <c r="A756" s="1" t="s">
        <v>40</v>
      </c>
      <c r="B756" s="7">
        <v>40759</v>
      </c>
      <c r="C756" s="1">
        <v>8</v>
      </c>
      <c r="D756" s="1">
        <v>123</v>
      </c>
      <c r="E756" s="1">
        <v>1</v>
      </c>
      <c r="F756" s="1">
        <v>52</v>
      </c>
      <c r="AM756" s="1">
        <v>1</v>
      </c>
      <c r="AS756" s="1">
        <v>1</v>
      </c>
      <c r="AU756" s="1">
        <v>1</v>
      </c>
    </row>
    <row r="757" spans="1:86" x14ac:dyDescent="0.3">
      <c r="A757" s="1" t="s">
        <v>40</v>
      </c>
      <c r="B757" s="7">
        <v>40759</v>
      </c>
      <c r="C757" s="1">
        <v>8</v>
      </c>
      <c r="D757" s="1">
        <v>123</v>
      </c>
      <c r="E757" s="1">
        <v>1</v>
      </c>
      <c r="F757" s="1">
        <v>53</v>
      </c>
      <c r="AQ757" s="1">
        <v>1</v>
      </c>
      <c r="AU757" s="1">
        <v>1</v>
      </c>
    </row>
    <row r="758" spans="1:86" x14ac:dyDescent="0.3">
      <c r="A758" s="1" t="s">
        <v>40</v>
      </c>
      <c r="B758" s="7">
        <v>40759</v>
      </c>
      <c r="C758" s="1">
        <v>8</v>
      </c>
      <c r="D758" s="1">
        <v>123</v>
      </c>
      <c r="E758" s="1">
        <v>1</v>
      </c>
      <c r="F758" s="1">
        <v>54</v>
      </c>
      <c r="AQ758" s="1">
        <v>1</v>
      </c>
      <c r="BE758" s="1">
        <v>1</v>
      </c>
    </row>
    <row r="759" spans="1:86" x14ac:dyDescent="0.3">
      <c r="A759" s="1" t="s">
        <v>40</v>
      </c>
      <c r="B759" s="7">
        <v>40759</v>
      </c>
      <c r="C759" s="1">
        <v>8</v>
      </c>
      <c r="D759" s="1">
        <v>123</v>
      </c>
      <c r="E759" s="1">
        <v>1</v>
      </c>
      <c r="F759" s="1">
        <v>55</v>
      </c>
      <c r="CH759" s="1">
        <v>1</v>
      </c>
    </row>
    <row r="760" spans="1:86" x14ac:dyDescent="0.3">
      <c r="A760" s="1" t="s">
        <v>40</v>
      </c>
      <c r="B760" s="7">
        <v>40759</v>
      </c>
      <c r="C760" s="1">
        <v>8</v>
      </c>
      <c r="D760" s="1">
        <v>123</v>
      </c>
      <c r="E760" s="1">
        <v>1</v>
      </c>
      <c r="F760" s="1">
        <v>56</v>
      </c>
      <c r="L760" s="3">
        <v>0</v>
      </c>
      <c r="M760" s="3">
        <v>1</v>
      </c>
      <c r="AQ760" s="1">
        <v>1</v>
      </c>
      <c r="AS760" s="1">
        <v>1</v>
      </c>
    </row>
    <row r="761" spans="1:86" x14ac:dyDescent="0.3">
      <c r="A761" s="1" t="s">
        <v>40</v>
      </c>
      <c r="B761" s="7">
        <v>40759</v>
      </c>
      <c r="C761" s="1">
        <v>8</v>
      </c>
      <c r="D761" s="1">
        <v>123</v>
      </c>
      <c r="E761" s="1">
        <v>1</v>
      </c>
      <c r="F761" s="1">
        <v>57</v>
      </c>
      <c r="CH761" s="1">
        <v>1</v>
      </c>
    </row>
    <row r="762" spans="1:86" x14ac:dyDescent="0.3">
      <c r="A762" s="1" t="s">
        <v>40</v>
      </c>
      <c r="B762" s="7">
        <v>40759</v>
      </c>
      <c r="C762" s="1">
        <v>8</v>
      </c>
      <c r="D762" s="1">
        <v>123</v>
      </c>
      <c r="E762" s="1">
        <v>1</v>
      </c>
      <c r="F762" s="1">
        <v>58</v>
      </c>
      <c r="L762" s="1">
        <v>1</v>
      </c>
      <c r="CH762" s="1">
        <v>1</v>
      </c>
    </row>
    <row r="763" spans="1:86" x14ac:dyDescent="0.3">
      <c r="A763" s="1" t="s">
        <v>40</v>
      </c>
      <c r="B763" s="7">
        <v>40759</v>
      </c>
      <c r="C763" s="1">
        <v>8</v>
      </c>
      <c r="D763" s="1">
        <v>123</v>
      </c>
      <c r="E763" s="1">
        <v>1</v>
      </c>
      <c r="F763" s="1">
        <v>59</v>
      </c>
      <c r="AQ763" s="3">
        <v>0</v>
      </c>
      <c r="AR763" s="3">
        <v>1</v>
      </c>
      <c r="AU763" s="1">
        <v>1</v>
      </c>
    </row>
    <row r="764" spans="1:86" x14ac:dyDescent="0.3">
      <c r="A764" s="1" t="s">
        <v>40</v>
      </c>
      <c r="B764" s="7">
        <v>40759</v>
      </c>
      <c r="C764" s="1">
        <v>8</v>
      </c>
      <c r="D764" s="1">
        <v>123</v>
      </c>
      <c r="E764" s="1">
        <v>1</v>
      </c>
      <c r="F764" s="1">
        <v>60</v>
      </c>
      <c r="AQ764" s="1">
        <v>1</v>
      </c>
      <c r="BE764" s="1">
        <v>1</v>
      </c>
      <c r="CH764" s="1">
        <v>1</v>
      </c>
    </row>
    <row r="765" spans="1:86" x14ac:dyDescent="0.3">
      <c r="A765" s="1" t="s">
        <v>40</v>
      </c>
      <c r="B765" s="7">
        <v>40759</v>
      </c>
      <c r="C765" s="1">
        <v>8</v>
      </c>
      <c r="D765" s="1">
        <v>123</v>
      </c>
      <c r="E765" s="1">
        <v>1</v>
      </c>
      <c r="F765" s="1">
        <v>61</v>
      </c>
      <c r="L765" s="1">
        <v>1</v>
      </c>
      <c r="AQ765" s="1">
        <v>1</v>
      </c>
    </row>
    <row r="766" spans="1:86" x14ac:dyDescent="0.3">
      <c r="A766" s="1" t="s">
        <v>40</v>
      </c>
      <c r="B766" s="7">
        <v>40759</v>
      </c>
      <c r="C766" s="1">
        <v>8</v>
      </c>
      <c r="D766" s="1">
        <v>123</v>
      </c>
      <c r="E766" s="1">
        <v>1</v>
      </c>
      <c r="F766" s="1">
        <v>62</v>
      </c>
      <c r="AQ766" s="1">
        <v>1</v>
      </c>
    </row>
    <row r="767" spans="1:86" x14ac:dyDescent="0.3">
      <c r="A767" s="1" t="s">
        <v>40</v>
      </c>
      <c r="B767" s="7">
        <v>40759</v>
      </c>
      <c r="C767" s="1">
        <v>8</v>
      </c>
      <c r="D767" s="1">
        <v>123</v>
      </c>
      <c r="E767" s="1">
        <v>1</v>
      </c>
      <c r="F767" s="1">
        <v>63</v>
      </c>
      <c r="L767" s="1">
        <v>1</v>
      </c>
      <c r="AQ767" s="1">
        <v>1</v>
      </c>
    </row>
    <row r="768" spans="1:86" x14ac:dyDescent="0.3">
      <c r="A768" s="1" t="s">
        <v>40</v>
      </c>
      <c r="B768" s="7">
        <v>40759</v>
      </c>
      <c r="C768" s="1">
        <v>8</v>
      </c>
      <c r="D768" s="1">
        <v>123</v>
      </c>
      <c r="E768" s="1">
        <v>1</v>
      </c>
      <c r="F768" s="1">
        <v>64</v>
      </c>
      <c r="BE768" s="1">
        <v>1</v>
      </c>
      <c r="BU768" s="1">
        <v>1</v>
      </c>
    </row>
    <row r="769" spans="1:87" x14ac:dyDescent="0.3">
      <c r="A769" s="1" t="s">
        <v>40</v>
      </c>
      <c r="B769" s="7">
        <v>40759</v>
      </c>
      <c r="C769" s="1">
        <v>8</v>
      </c>
      <c r="D769" s="1">
        <v>123</v>
      </c>
      <c r="E769" s="1">
        <v>1</v>
      </c>
      <c r="F769" s="1">
        <v>65</v>
      </c>
      <c r="AQ769" s="3">
        <v>0</v>
      </c>
      <c r="AR769" s="3">
        <v>1</v>
      </c>
      <c r="BE769" s="1">
        <v>1</v>
      </c>
    </row>
    <row r="770" spans="1:87" x14ac:dyDescent="0.3">
      <c r="A770" s="1" t="s">
        <v>40</v>
      </c>
      <c r="B770" s="7">
        <v>40759</v>
      </c>
      <c r="C770" s="1">
        <v>8</v>
      </c>
      <c r="D770" s="1">
        <v>123</v>
      </c>
      <c r="E770" s="1">
        <v>1</v>
      </c>
      <c r="F770" s="1">
        <v>66</v>
      </c>
      <c r="AQ770" s="3">
        <v>0</v>
      </c>
      <c r="AR770" s="3">
        <v>1</v>
      </c>
    </row>
    <row r="771" spans="1:87" x14ac:dyDescent="0.3">
      <c r="A771" s="1" t="s">
        <v>40</v>
      </c>
      <c r="B771" s="7">
        <v>40759</v>
      </c>
      <c r="C771" s="1">
        <v>8</v>
      </c>
      <c r="D771" s="1">
        <v>123</v>
      </c>
      <c r="E771" s="1">
        <v>1</v>
      </c>
      <c r="F771" s="1">
        <v>67</v>
      </c>
      <c r="AQ771" s="1">
        <v>1</v>
      </c>
      <c r="BE771" s="1">
        <v>1</v>
      </c>
    </row>
    <row r="772" spans="1:87" x14ac:dyDescent="0.3">
      <c r="A772" s="1" t="s">
        <v>40</v>
      </c>
      <c r="B772" s="7">
        <v>40759</v>
      </c>
      <c r="C772" s="1">
        <v>8</v>
      </c>
      <c r="D772" s="1">
        <v>123</v>
      </c>
      <c r="E772" s="1">
        <v>1</v>
      </c>
      <c r="F772" s="1">
        <v>68</v>
      </c>
      <c r="AQ772" s="1">
        <v>1</v>
      </c>
      <c r="AU772" s="1">
        <v>1</v>
      </c>
    </row>
    <row r="773" spans="1:87" x14ac:dyDescent="0.3">
      <c r="A773" s="1" t="s">
        <v>40</v>
      </c>
      <c r="B773" s="7">
        <v>40759</v>
      </c>
      <c r="C773" s="1">
        <v>8</v>
      </c>
      <c r="D773" s="1">
        <v>123</v>
      </c>
      <c r="E773" s="1">
        <v>1</v>
      </c>
      <c r="F773" s="1">
        <v>69</v>
      </c>
      <c r="AI773" s="1">
        <v>1</v>
      </c>
      <c r="BE773" s="1">
        <v>1</v>
      </c>
    </row>
    <row r="774" spans="1:87" x14ac:dyDescent="0.3">
      <c r="A774" s="1" t="s">
        <v>40</v>
      </c>
      <c r="B774" s="7">
        <v>40759</v>
      </c>
      <c r="C774" s="1">
        <v>8</v>
      </c>
      <c r="D774" s="1">
        <v>123</v>
      </c>
      <c r="E774" s="1">
        <v>1</v>
      </c>
      <c r="F774" s="1">
        <v>70</v>
      </c>
      <c r="L774" s="1">
        <v>1</v>
      </c>
      <c r="BE774" s="1">
        <v>1</v>
      </c>
      <c r="CH774" s="3">
        <v>0</v>
      </c>
      <c r="CI774" s="3">
        <v>1</v>
      </c>
    </row>
    <row r="775" spans="1:87" x14ac:dyDescent="0.3">
      <c r="A775" s="1" t="s">
        <v>40</v>
      </c>
      <c r="B775" s="7">
        <v>40759</v>
      </c>
      <c r="C775" s="1">
        <v>8</v>
      </c>
      <c r="D775" s="1">
        <v>123</v>
      </c>
      <c r="E775" s="1">
        <v>1</v>
      </c>
      <c r="F775" s="1">
        <v>71</v>
      </c>
      <c r="L775" s="1">
        <v>1</v>
      </c>
      <c r="AQ775" s="1">
        <v>1</v>
      </c>
    </row>
    <row r="776" spans="1:87" x14ac:dyDescent="0.3">
      <c r="A776" s="1" t="s">
        <v>40</v>
      </c>
      <c r="B776" s="7">
        <v>40759</v>
      </c>
      <c r="C776" s="1">
        <v>8</v>
      </c>
      <c r="D776" s="1">
        <v>123</v>
      </c>
      <c r="E776" s="1">
        <v>1</v>
      </c>
      <c r="F776" s="1">
        <v>72</v>
      </c>
      <c r="L776" s="1">
        <v>1</v>
      </c>
      <c r="AQ776" s="1">
        <v>1</v>
      </c>
    </row>
    <row r="777" spans="1:87" x14ac:dyDescent="0.3">
      <c r="A777" s="1" t="s">
        <v>40</v>
      </c>
      <c r="B777" s="7">
        <v>40759</v>
      </c>
      <c r="C777" s="1">
        <v>8</v>
      </c>
      <c r="D777" s="1">
        <v>123</v>
      </c>
      <c r="E777" s="1">
        <v>1</v>
      </c>
      <c r="F777" s="1">
        <v>73</v>
      </c>
      <c r="L777" s="1">
        <v>1</v>
      </c>
      <c r="AQ777" s="1">
        <v>1</v>
      </c>
    </row>
    <row r="778" spans="1:87" x14ac:dyDescent="0.3">
      <c r="A778" s="1" t="s">
        <v>40</v>
      </c>
      <c r="B778" s="7">
        <v>40759</v>
      </c>
      <c r="C778" s="1">
        <v>8</v>
      </c>
      <c r="D778" s="1">
        <v>123</v>
      </c>
      <c r="E778" s="1">
        <v>1</v>
      </c>
      <c r="F778" s="1">
        <v>74</v>
      </c>
      <c r="BU778" s="1">
        <v>1</v>
      </c>
      <c r="CH778" s="3">
        <v>0</v>
      </c>
      <c r="CI778" s="3">
        <v>1</v>
      </c>
    </row>
    <row r="779" spans="1:87" x14ac:dyDescent="0.3">
      <c r="A779" s="1" t="s">
        <v>40</v>
      </c>
      <c r="B779" s="7">
        <v>40759</v>
      </c>
      <c r="C779" s="1">
        <v>8</v>
      </c>
      <c r="D779" s="1">
        <v>123</v>
      </c>
      <c r="E779" s="1">
        <v>1</v>
      </c>
      <c r="F779" s="1">
        <v>75</v>
      </c>
      <c r="AM779" s="1">
        <v>1</v>
      </c>
      <c r="BR779" s="1">
        <v>1</v>
      </c>
      <c r="BU779" s="1">
        <v>1</v>
      </c>
    </row>
    <row r="780" spans="1:87" x14ac:dyDescent="0.3">
      <c r="A780" s="1" t="s">
        <v>40</v>
      </c>
      <c r="B780" s="7">
        <v>40759</v>
      </c>
      <c r="C780" s="1">
        <v>8</v>
      </c>
      <c r="D780" s="1">
        <v>123</v>
      </c>
      <c r="E780" s="1">
        <v>1</v>
      </c>
      <c r="F780" s="1">
        <v>76</v>
      </c>
      <c r="BI780" s="1">
        <v>1</v>
      </c>
    </row>
    <row r="781" spans="1:87" x14ac:dyDescent="0.3">
      <c r="A781" s="1" t="s">
        <v>40</v>
      </c>
      <c r="B781" s="7">
        <v>40759</v>
      </c>
      <c r="C781" s="1">
        <v>8</v>
      </c>
      <c r="D781" s="1">
        <v>123</v>
      </c>
      <c r="E781" s="1">
        <v>1</v>
      </c>
      <c r="F781" s="1">
        <v>77</v>
      </c>
      <c r="AM781" s="1">
        <v>1</v>
      </c>
      <c r="AS781" s="1">
        <v>1</v>
      </c>
    </row>
    <row r="782" spans="1:87" x14ac:dyDescent="0.3">
      <c r="A782" s="1" t="s">
        <v>40</v>
      </c>
      <c r="B782" s="7">
        <v>40759</v>
      </c>
      <c r="C782" s="1">
        <v>8</v>
      </c>
      <c r="D782" s="1">
        <v>123</v>
      </c>
      <c r="E782" s="1">
        <v>1</v>
      </c>
      <c r="F782" s="1">
        <v>78</v>
      </c>
      <c r="AQ782" s="1">
        <v>1</v>
      </c>
      <c r="AS782" s="1">
        <v>1</v>
      </c>
    </row>
    <row r="783" spans="1:87" x14ac:dyDescent="0.3">
      <c r="A783" s="1" t="s">
        <v>40</v>
      </c>
      <c r="B783" s="7">
        <v>40759</v>
      </c>
      <c r="C783" s="1">
        <v>8</v>
      </c>
      <c r="D783" s="1">
        <v>123</v>
      </c>
      <c r="E783" s="1">
        <v>1</v>
      </c>
      <c r="F783" s="1">
        <v>79</v>
      </c>
      <c r="AI783" s="3">
        <v>0</v>
      </c>
      <c r="AJ783" s="3">
        <v>1</v>
      </c>
      <c r="BR783" s="1">
        <v>1</v>
      </c>
      <c r="CH783" s="3">
        <v>0</v>
      </c>
      <c r="CI783" s="3">
        <v>1</v>
      </c>
    </row>
    <row r="784" spans="1:87" x14ac:dyDescent="0.3">
      <c r="A784" s="1" t="s">
        <v>40</v>
      </c>
      <c r="B784" s="7">
        <v>40759</v>
      </c>
      <c r="C784" s="1">
        <v>8</v>
      </c>
      <c r="D784" s="1">
        <v>123</v>
      </c>
      <c r="E784" s="1">
        <v>1</v>
      </c>
      <c r="F784" s="1">
        <v>80</v>
      </c>
      <c r="BE784" s="1">
        <v>1</v>
      </c>
    </row>
    <row r="785" spans="1:86" x14ac:dyDescent="0.3">
      <c r="A785" s="1" t="s">
        <v>40</v>
      </c>
      <c r="B785" s="7">
        <v>40759</v>
      </c>
      <c r="C785" s="1">
        <v>8</v>
      </c>
      <c r="D785" s="1">
        <v>123</v>
      </c>
      <c r="E785" s="1">
        <v>1</v>
      </c>
      <c r="F785" s="1">
        <v>81</v>
      </c>
      <c r="AQ785" s="1">
        <v>1</v>
      </c>
    </row>
    <row r="786" spans="1:86" x14ac:dyDescent="0.3">
      <c r="A786" s="1" t="s">
        <v>40</v>
      </c>
      <c r="B786" s="7">
        <v>40759</v>
      </c>
      <c r="C786" s="1">
        <v>8</v>
      </c>
      <c r="D786" s="1">
        <v>123</v>
      </c>
      <c r="E786" s="1">
        <v>1</v>
      </c>
      <c r="F786" s="1">
        <v>82</v>
      </c>
      <c r="AQ786" s="1">
        <v>1</v>
      </c>
      <c r="BK786" s="1">
        <v>1</v>
      </c>
      <c r="BR786" s="1">
        <v>1</v>
      </c>
    </row>
    <row r="787" spans="1:86" x14ac:dyDescent="0.3">
      <c r="A787" s="1" t="s">
        <v>40</v>
      </c>
      <c r="B787" s="7">
        <v>40759</v>
      </c>
      <c r="C787" s="1">
        <v>8</v>
      </c>
      <c r="D787" s="1">
        <v>123</v>
      </c>
      <c r="E787" s="1">
        <v>1</v>
      </c>
      <c r="F787" s="1">
        <v>83</v>
      </c>
      <c r="L787" s="1">
        <v>1</v>
      </c>
      <c r="AQ787" s="1">
        <v>1</v>
      </c>
      <c r="BE787" s="1">
        <v>1</v>
      </c>
    </row>
    <row r="788" spans="1:86" x14ac:dyDescent="0.3">
      <c r="A788" s="1" t="s">
        <v>40</v>
      </c>
      <c r="B788" s="7">
        <v>40759</v>
      </c>
      <c r="C788" s="1">
        <v>8</v>
      </c>
      <c r="D788" s="1">
        <v>123</v>
      </c>
      <c r="E788" s="1">
        <v>1</v>
      </c>
      <c r="F788" s="1">
        <v>84</v>
      </c>
      <c r="AI788" s="3">
        <v>0</v>
      </c>
      <c r="AJ788" s="3">
        <v>1</v>
      </c>
      <c r="AQ788" s="1">
        <v>1</v>
      </c>
      <c r="CH788" s="1">
        <v>1</v>
      </c>
    </row>
    <row r="789" spans="1:86" x14ac:dyDescent="0.3">
      <c r="A789" s="1" t="s">
        <v>40</v>
      </c>
      <c r="B789" s="7">
        <v>40759</v>
      </c>
      <c r="C789" s="1">
        <v>8</v>
      </c>
      <c r="D789" s="1">
        <v>123</v>
      </c>
      <c r="E789" s="1">
        <v>1</v>
      </c>
      <c r="F789" s="1">
        <v>85</v>
      </c>
      <c r="AQ789" s="1">
        <v>1</v>
      </c>
    </row>
    <row r="790" spans="1:86" x14ac:dyDescent="0.3">
      <c r="A790" s="1" t="s">
        <v>40</v>
      </c>
      <c r="B790" s="7">
        <v>40759</v>
      </c>
      <c r="C790" s="1">
        <v>8</v>
      </c>
      <c r="D790" s="1">
        <v>123</v>
      </c>
      <c r="E790" s="1">
        <v>1</v>
      </c>
      <c r="F790" s="1">
        <v>86</v>
      </c>
      <c r="AM790" s="1">
        <v>1</v>
      </c>
    </row>
    <row r="791" spans="1:86" x14ac:dyDescent="0.3">
      <c r="A791" s="1" t="s">
        <v>40</v>
      </c>
      <c r="B791" s="7">
        <v>40759</v>
      </c>
      <c r="C791" s="1">
        <v>8</v>
      </c>
      <c r="D791" s="1">
        <v>123</v>
      </c>
      <c r="E791" s="1">
        <v>1</v>
      </c>
      <c r="F791" s="1">
        <v>87</v>
      </c>
      <c r="L791" s="1">
        <v>1</v>
      </c>
      <c r="AS791" s="1">
        <v>1</v>
      </c>
      <c r="BE791" s="1">
        <v>1</v>
      </c>
    </row>
    <row r="792" spans="1:86" x14ac:dyDescent="0.3">
      <c r="A792" s="1" t="s">
        <v>40</v>
      </c>
      <c r="B792" s="7">
        <v>40759</v>
      </c>
      <c r="C792" s="1">
        <v>8</v>
      </c>
      <c r="D792" s="1">
        <v>123</v>
      </c>
      <c r="E792" s="1">
        <v>1</v>
      </c>
      <c r="F792" s="1">
        <v>88</v>
      </c>
      <c r="AQ792" s="1">
        <v>1</v>
      </c>
    </row>
    <row r="793" spans="1:86" x14ac:dyDescent="0.3">
      <c r="A793" s="1" t="s">
        <v>40</v>
      </c>
      <c r="B793" s="7">
        <v>40759</v>
      </c>
      <c r="C793" s="1">
        <v>8</v>
      </c>
      <c r="D793" s="1">
        <v>123</v>
      </c>
      <c r="E793" s="1">
        <v>1</v>
      </c>
      <c r="F793" s="1">
        <v>89</v>
      </c>
      <c r="AQ793" s="1">
        <v>1</v>
      </c>
      <c r="BE793" s="1">
        <v>1</v>
      </c>
    </row>
    <row r="794" spans="1:86" x14ac:dyDescent="0.3">
      <c r="A794" s="1" t="s">
        <v>40</v>
      </c>
      <c r="B794" s="7">
        <v>40759</v>
      </c>
      <c r="C794" s="1">
        <v>8</v>
      </c>
      <c r="D794" s="1">
        <v>123</v>
      </c>
      <c r="E794" s="1">
        <v>1</v>
      </c>
      <c r="F794" s="1">
        <v>90</v>
      </c>
      <c r="BU794" s="1">
        <v>1</v>
      </c>
    </row>
    <row r="795" spans="1:86" x14ac:dyDescent="0.3">
      <c r="A795" s="1" t="s">
        <v>40</v>
      </c>
      <c r="B795" s="7">
        <v>40759</v>
      </c>
      <c r="C795" s="1">
        <v>8</v>
      </c>
      <c r="D795" s="1">
        <v>123</v>
      </c>
      <c r="E795" s="1">
        <v>1</v>
      </c>
      <c r="F795" s="1">
        <v>91</v>
      </c>
      <c r="CH795" s="1">
        <v>1</v>
      </c>
    </row>
    <row r="796" spans="1:86" x14ac:dyDescent="0.3">
      <c r="A796" s="1" t="s">
        <v>40</v>
      </c>
      <c r="B796" s="7">
        <v>40759</v>
      </c>
      <c r="C796" s="1">
        <v>8</v>
      </c>
      <c r="D796" s="1">
        <v>123</v>
      </c>
      <c r="E796" s="1">
        <v>1</v>
      </c>
      <c r="F796" s="1">
        <v>92</v>
      </c>
      <c r="L796" s="1">
        <v>1</v>
      </c>
      <c r="AM796" s="1">
        <v>1</v>
      </c>
      <c r="CH796" s="1">
        <v>1</v>
      </c>
    </row>
    <row r="797" spans="1:86" x14ac:dyDescent="0.3">
      <c r="A797" s="1" t="s">
        <v>40</v>
      </c>
      <c r="B797" s="7">
        <v>40759</v>
      </c>
      <c r="C797" s="1">
        <v>8</v>
      </c>
      <c r="D797" s="1">
        <v>123</v>
      </c>
      <c r="E797" s="1">
        <v>1</v>
      </c>
      <c r="F797" s="1">
        <v>93</v>
      </c>
      <c r="L797" s="1">
        <v>1</v>
      </c>
      <c r="AQ797" s="1">
        <v>1</v>
      </c>
      <c r="BE797" s="1">
        <v>1</v>
      </c>
    </row>
    <row r="798" spans="1:86" x14ac:dyDescent="0.3">
      <c r="A798" s="1" t="s">
        <v>40</v>
      </c>
      <c r="B798" s="7">
        <v>40759</v>
      </c>
      <c r="C798" s="1">
        <v>8</v>
      </c>
      <c r="D798" s="1">
        <v>123</v>
      </c>
      <c r="E798" s="1">
        <v>1</v>
      </c>
      <c r="F798" s="1">
        <v>94</v>
      </c>
      <c r="L798" s="1">
        <v>1</v>
      </c>
      <c r="AQ798" s="1">
        <v>1</v>
      </c>
    </row>
    <row r="799" spans="1:86" x14ac:dyDescent="0.3">
      <c r="A799" s="1" t="s">
        <v>40</v>
      </c>
      <c r="B799" s="7">
        <v>40759</v>
      </c>
      <c r="C799" s="1">
        <v>8</v>
      </c>
      <c r="D799" s="1">
        <v>123</v>
      </c>
      <c r="E799" s="1">
        <v>1</v>
      </c>
      <c r="F799" s="1">
        <v>95</v>
      </c>
      <c r="AQ799" s="1">
        <v>1</v>
      </c>
      <c r="AU799" s="1">
        <v>1</v>
      </c>
    </row>
    <row r="800" spans="1:86" x14ac:dyDescent="0.3">
      <c r="A800" s="1" t="s">
        <v>40</v>
      </c>
      <c r="B800" s="7">
        <v>40759</v>
      </c>
      <c r="C800" s="1">
        <v>8</v>
      </c>
      <c r="D800" s="1">
        <v>123</v>
      </c>
      <c r="E800" s="1">
        <v>1</v>
      </c>
      <c r="F800" s="1">
        <v>96</v>
      </c>
      <c r="AI800" s="3">
        <v>0</v>
      </c>
      <c r="AJ800" s="3">
        <v>1</v>
      </c>
      <c r="AQ800" s="3">
        <v>0</v>
      </c>
      <c r="AR800" s="3">
        <v>1</v>
      </c>
      <c r="AU800" s="3">
        <v>0</v>
      </c>
      <c r="AV800" s="3">
        <v>1</v>
      </c>
    </row>
    <row r="801" spans="1:90" x14ac:dyDescent="0.3">
      <c r="A801" s="1" t="s">
        <v>40</v>
      </c>
      <c r="B801" s="7">
        <v>40759</v>
      </c>
      <c r="C801" s="1">
        <v>8</v>
      </c>
      <c r="D801" s="1">
        <v>123</v>
      </c>
      <c r="E801" s="1">
        <v>1</v>
      </c>
      <c r="F801" s="1">
        <v>97</v>
      </c>
      <c r="L801" s="3">
        <v>0</v>
      </c>
      <c r="M801" s="3">
        <v>1</v>
      </c>
      <c r="AQ801" s="3">
        <v>0</v>
      </c>
      <c r="AR801" s="3">
        <v>1</v>
      </c>
    </row>
    <row r="802" spans="1:90" x14ac:dyDescent="0.3">
      <c r="A802" s="1" t="s">
        <v>40</v>
      </c>
      <c r="B802" s="7">
        <v>40759</v>
      </c>
      <c r="C802" s="1">
        <v>8</v>
      </c>
      <c r="D802" s="1">
        <v>123</v>
      </c>
      <c r="E802" s="1">
        <v>1</v>
      </c>
      <c r="F802" s="1">
        <v>98</v>
      </c>
      <c r="AB802" s="1">
        <v>1</v>
      </c>
      <c r="AI802" s="3">
        <v>0</v>
      </c>
      <c r="AJ802" s="3">
        <v>1</v>
      </c>
    </row>
    <row r="803" spans="1:90" x14ac:dyDescent="0.3">
      <c r="A803" s="1" t="s">
        <v>40</v>
      </c>
      <c r="B803" s="7">
        <v>40759</v>
      </c>
      <c r="C803" s="1">
        <v>8</v>
      </c>
      <c r="D803" s="1">
        <v>123</v>
      </c>
      <c r="E803" s="1">
        <v>1</v>
      </c>
      <c r="F803" s="1">
        <v>99</v>
      </c>
      <c r="L803" s="1">
        <v>1</v>
      </c>
      <c r="AQ803" s="1">
        <v>1</v>
      </c>
      <c r="CH803" s="1">
        <v>1</v>
      </c>
    </row>
    <row r="804" spans="1:90" x14ac:dyDescent="0.3">
      <c r="A804" s="1" t="s">
        <v>40</v>
      </c>
      <c r="B804" s="7">
        <v>40759</v>
      </c>
      <c r="C804" s="1">
        <v>8</v>
      </c>
      <c r="D804" s="1">
        <v>123</v>
      </c>
      <c r="E804" s="1">
        <v>1</v>
      </c>
      <c r="F804" s="1">
        <v>100</v>
      </c>
      <c r="AM804" s="1">
        <v>1</v>
      </c>
      <c r="BG804" s="1">
        <v>1</v>
      </c>
      <c r="CH804" s="3">
        <v>0</v>
      </c>
      <c r="CI804" s="3">
        <v>1</v>
      </c>
    </row>
    <row r="805" spans="1:90" s="12" customFormat="1" x14ac:dyDescent="0.3">
      <c r="A805" s="14" t="s">
        <v>40</v>
      </c>
      <c r="B805" s="13"/>
      <c r="G805" s="12">
        <f>SUM(G605:G804)</f>
        <v>0</v>
      </c>
      <c r="H805" s="12">
        <f t="shared" ref="H805" si="193">SUM(H605:H804)</f>
        <v>2</v>
      </c>
      <c r="I805" s="12">
        <f t="shared" ref="I805" si="194">SUM(I605:I804)</f>
        <v>0</v>
      </c>
      <c r="J805" s="12">
        <f t="shared" ref="J805" si="195">SUM(J605:J804)</f>
        <v>8</v>
      </c>
      <c r="K805" s="12">
        <f t="shared" ref="K805" si="196">SUM(K605:K804)</f>
        <v>2</v>
      </c>
      <c r="L805" s="12">
        <f t="shared" ref="L805" si="197">SUM(L605:L804)</f>
        <v>104</v>
      </c>
      <c r="M805" s="12">
        <f t="shared" ref="M805" si="198">SUM(M605:M804)</f>
        <v>5</v>
      </c>
      <c r="N805" s="12">
        <f t="shared" ref="N805" si="199">SUM(N605:N804)</f>
        <v>20</v>
      </c>
      <c r="O805" s="12">
        <f t="shared" ref="O805" si="200">SUM(O605:O804)</f>
        <v>0</v>
      </c>
      <c r="P805" s="12">
        <f t="shared" ref="P805" si="201">SUM(P605:P804)</f>
        <v>2</v>
      </c>
      <c r="Q805" s="12">
        <f t="shared" ref="Q805" si="202">SUM(Q605:Q804)</f>
        <v>2</v>
      </c>
      <c r="R805" s="12">
        <f t="shared" ref="R805" si="203">SUM(R605:R804)</f>
        <v>27</v>
      </c>
      <c r="S805" s="12">
        <f t="shared" ref="S805" si="204">SUM(S605:S804)</f>
        <v>1</v>
      </c>
      <c r="T805" s="12">
        <f t="shared" ref="T805" si="205">SUM(T605:T804)</f>
        <v>65</v>
      </c>
      <c r="U805" s="12">
        <f t="shared" ref="U805" si="206">SUM(U605:U804)</f>
        <v>0</v>
      </c>
      <c r="V805" s="12">
        <f t="shared" ref="V805" si="207">SUM(V605:V804)</f>
        <v>0</v>
      </c>
      <c r="W805" s="12">
        <f t="shared" ref="W805" si="208">SUM(W605:W804)</f>
        <v>0</v>
      </c>
      <c r="X805" s="12">
        <f t="shared" ref="X805" si="209">SUM(X605:X804)</f>
        <v>2</v>
      </c>
      <c r="Y805" s="12">
        <f t="shared" ref="Y805" si="210">SUM(Y605:Y804)</f>
        <v>0</v>
      </c>
      <c r="Z805" s="12">
        <f t="shared" ref="Z805" si="211">SUM(Z605:Z804)</f>
        <v>0</v>
      </c>
      <c r="AA805" s="12">
        <f t="shared" ref="AA805" si="212">SUM(AA605:AA804)</f>
        <v>0</v>
      </c>
      <c r="AB805" s="12">
        <f t="shared" ref="AB805" si="213">SUM(AB605:AB804)</f>
        <v>12</v>
      </c>
      <c r="AC805" s="12">
        <f t="shared" ref="AC805" si="214">SUM(AC605:AC804)</f>
        <v>0</v>
      </c>
      <c r="AD805" s="12">
        <f t="shared" ref="AD805" si="215">SUM(AD605:AD804)</f>
        <v>0</v>
      </c>
      <c r="AE805" s="12">
        <f t="shared" ref="AE805" si="216">SUM(AE605:AE804)</f>
        <v>0</v>
      </c>
      <c r="AF805" s="12">
        <f t="shared" ref="AF805" si="217">SUM(AF605:AF804)</f>
        <v>4</v>
      </c>
      <c r="AG805" s="12">
        <f t="shared" ref="AG805" si="218">SUM(AG605:AG804)</f>
        <v>0</v>
      </c>
      <c r="AH805" s="12">
        <f t="shared" ref="AH805" si="219">SUM(AH605:AH804)</f>
        <v>0</v>
      </c>
      <c r="AI805" s="12">
        <f t="shared" ref="AI805" si="220">SUM(AI605:AI804)</f>
        <v>9</v>
      </c>
      <c r="AJ805" s="12">
        <f t="shared" ref="AJ805" si="221">SUM(AJ605:AJ804)</f>
        <v>6</v>
      </c>
      <c r="AK805" s="12">
        <f t="shared" ref="AK805" si="222">SUM(AK605:AK804)</f>
        <v>0</v>
      </c>
      <c r="AL805" s="12">
        <f t="shared" ref="AL805" si="223">SUM(AL605:AL804)</f>
        <v>0</v>
      </c>
      <c r="AM805" s="12">
        <f t="shared" ref="AM805" si="224">SUM(AM605:AM804)</f>
        <v>13</v>
      </c>
      <c r="AN805" s="12">
        <f t="shared" ref="AN805" si="225">SUM(AN605:AN804)</f>
        <v>0</v>
      </c>
      <c r="AO805" s="12">
        <f t="shared" ref="AO805" si="226">SUM(AO605:AO804)</f>
        <v>0</v>
      </c>
      <c r="AP805" s="12">
        <f t="shared" ref="AP805" si="227">SUM(AP605:AP804)</f>
        <v>0</v>
      </c>
      <c r="AQ805" s="12">
        <f t="shared" ref="AQ805" si="228">SUM(AQ605:AQ804)</f>
        <v>39</v>
      </c>
      <c r="AR805" s="12">
        <f t="shared" ref="AR805" si="229">SUM(AR605:AR804)</f>
        <v>5</v>
      </c>
      <c r="AS805" s="12">
        <f t="shared" ref="AS805" si="230">SUM(AS605:AS804)</f>
        <v>12</v>
      </c>
      <c r="AT805" s="12">
        <f t="shared" ref="AT805" si="231">SUM(AT605:AT804)</f>
        <v>0</v>
      </c>
      <c r="AU805" s="12">
        <f t="shared" ref="AU805" si="232">SUM(AU605:AU804)</f>
        <v>11</v>
      </c>
      <c r="AV805" s="12">
        <f t="shared" ref="AV805" si="233">SUM(AV605:AV804)</f>
        <v>1</v>
      </c>
      <c r="AW805" s="12">
        <f t="shared" ref="AW805" si="234">SUM(AW605:AW804)</f>
        <v>0</v>
      </c>
      <c r="AX805" s="12">
        <f t="shared" ref="AX805" si="235">SUM(AX605:AX804)</f>
        <v>0</v>
      </c>
      <c r="AY805" s="12">
        <f t="shared" ref="AY805" si="236">SUM(AY605:AY804)</f>
        <v>0</v>
      </c>
      <c r="AZ805" s="12">
        <f t="shared" ref="AZ805" si="237">SUM(AZ605:AZ804)</f>
        <v>0</v>
      </c>
      <c r="BA805" s="12">
        <f t="shared" ref="BA805" si="238">SUM(BA605:BA804)</f>
        <v>0</v>
      </c>
      <c r="BB805" s="12">
        <f t="shared" ref="BB805" si="239">SUM(BB605:BB804)</f>
        <v>0</v>
      </c>
      <c r="BC805" s="12">
        <f t="shared" ref="BC805" si="240">SUM(BC605:BC804)</f>
        <v>1</v>
      </c>
      <c r="BD805" s="12">
        <f t="shared" ref="BD805" si="241">SUM(BD605:BD804)</f>
        <v>0</v>
      </c>
      <c r="BE805" s="12">
        <f t="shared" ref="BE805" si="242">SUM(BE605:BE804)</f>
        <v>27</v>
      </c>
      <c r="BF805" s="12">
        <f t="shared" ref="BF805" si="243">SUM(BF605:BF804)</f>
        <v>0</v>
      </c>
      <c r="BG805" s="12">
        <f t="shared" ref="BG805" si="244">SUM(BG605:BG804)</f>
        <v>5</v>
      </c>
      <c r="BH805" s="12">
        <f t="shared" ref="BH805" si="245">SUM(BH605:BH804)</f>
        <v>0</v>
      </c>
      <c r="BI805" s="12">
        <f t="shared" ref="BI805" si="246">SUM(BI605:BI804)</f>
        <v>4</v>
      </c>
      <c r="BJ805" s="12">
        <f t="shared" ref="BJ805" si="247">SUM(BJ605:BJ804)</f>
        <v>0</v>
      </c>
      <c r="BK805" s="12">
        <f t="shared" ref="BK805" si="248">SUM(BK605:BK804)</f>
        <v>4</v>
      </c>
      <c r="BL805" s="12">
        <f t="shared" ref="BL805" si="249">SUM(BL605:BL804)</f>
        <v>0</v>
      </c>
      <c r="BM805" s="12">
        <f t="shared" ref="BM805" si="250">SUM(BM605:BM804)</f>
        <v>0</v>
      </c>
      <c r="BN805" s="12">
        <f t="shared" ref="BN805" si="251">SUM(BN605:BN804)</f>
        <v>0</v>
      </c>
      <c r="BO805" s="12">
        <f t="shared" ref="BO805" si="252">SUM(BO605:BO804)</f>
        <v>0</v>
      </c>
      <c r="BP805" s="12">
        <f t="shared" ref="BP805" si="253">SUM(BP605:BP804)</f>
        <v>0</v>
      </c>
      <c r="BQ805" s="12">
        <f t="shared" ref="BQ805" si="254">SUM(BQ605:BQ804)</f>
        <v>0</v>
      </c>
      <c r="BR805" s="12">
        <f t="shared" ref="BR805" si="255">SUM(BR605:BR804)</f>
        <v>4</v>
      </c>
      <c r="BS805" s="12">
        <f t="shared" ref="BS805" si="256">SUM(BS605:BS804)</f>
        <v>0</v>
      </c>
      <c r="BT805" s="12">
        <f t="shared" ref="BT805" si="257">SUM(BT605:BT804)</f>
        <v>0</v>
      </c>
      <c r="BU805" s="12">
        <f t="shared" ref="BU805" si="258">SUM(BU605:BU804)</f>
        <v>15</v>
      </c>
      <c r="BV805" s="12">
        <f t="shared" ref="BV805" si="259">SUM(BV605:BV804)</f>
        <v>1</v>
      </c>
      <c r="BW805" s="12">
        <f t="shared" ref="BW805" si="260">SUM(BW605:BW804)</f>
        <v>0</v>
      </c>
      <c r="BX805" s="12">
        <f t="shared" ref="BX805" si="261">SUM(BX605:BX804)</f>
        <v>0</v>
      </c>
      <c r="BY805" s="12">
        <f t="shared" ref="BY805" si="262">SUM(BY605:BY804)</f>
        <v>0</v>
      </c>
      <c r="BZ805" s="12">
        <f t="shared" ref="BZ805" si="263">SUM(BZ605:BZ804)</f>
        <v>0</v>
      </c>
      <c r="CA805" s="12">
        <f t="shared" ref="CA805" si="264">SUM(CA605:CA804)</f>
        <v>0</v>
      </c>
      <c r="CB805" s="12">
        <f t="shared" ref="CB805" si="265">SUM(CB605:CB804)</f>
        <v>0</v>
      </c>
      <c r="CC805" s="12">
        <f t="shared" ref="CC805" si="266">SUM(CC605:CC804)</f>
        <v>0</v>
      </c>
      <c r="CD805" s="12">
        <f t="shared" ref="CD805" si="267">SUM(CD605:CD804)</f>
        <v>0</v>
      </c>
      <c r="CE805" s="12">
        <f t="shared" ref="CE805" si="268">SUM(CE605:CE804)</f>
        <v>0</v>
      </c>
      <c r="CF805" s="12">
        <f t="shared" ref="CF805" si="269">SUM(CF605:CF804)</f>
        <v>0</v>
      </c>
      <c r="CG805" s="12">
        <f t="shared" ref="CG805" si="270">SUM(CG605:CG804)</f>
        <v>0</v>
      </c>
      <c r="CH805" s="12">
        <f t="shared" ref="CH805" si="271">SUM(CH605:CH804)</f>
        <v>14</v>
      </c>
      <c r="CI805" s="12">
        <f t="shared" ref="CI805" si="272">SUM(CI605:CI804)</f>
        <v>4</v>
      </c>
      <c r="CJ805" s="12">
        <f t="shared" ref="CJ805" si="273">SUM(CJ605:CJ804)</f>
        <v>0</v>
      </c>
      <c r="CK805" s="12">
        <f t="shared" ref="CK805" si="274">SUM(CK605:CK804)</f>
        <v>1</v>
      </c>
      <c r="CL805" s="12">
        <f t="shared" ref="CL805" si="275">SUM(CL605:CL804)</f>
        <v>1</v>
      </c>
    </row>
    <row r="806" spans="1:90" x14ac:dyDescent="0.3">
      <c r="A806" s="1" t="s">
        <v>41</v>
      </c>
      <c r="B806" s="7">
        <v>40758</v>
      </c>
      <c r="C806" s="1">
        <v>5</v>
      </c>
      <c r="D806" s="1">
        <v>263</v>
      </c>
      <c r="E806" s="1">
        <v>2</v>
      </c>
      <c r="F806" s="1">
        <v>1</v>
      </c>
      <c r="BE806" s="1">
        <v>1</v>
      </c>
    </row>
    <row r="807" spans="1:90" x14ac:dyDescent="0.3">
      <c r="A807" s="1" t="s">
        <v>41</v>
      </c>
      <c r="B807" s="7">
        <v>40758</v>
      </c>
      <c r="C807" s="1">
        <v>5</v>
      </c>
      <c r="D807" s="1">
        <v>263</v>
      </c>
      <c r="E807" s="1">
        <v>2</v>
      </c>
      <c r="F807" s="1">
        <v>2</v>
      </c>
      <c r="T807" s="1">
        <v>1</v>
      </c>
      <c r="BP807" s="1">
        <v>1</v>
      </c>
    </row>
    <row r="808" spans="1:90" x14ac:dyDescent="0.3">
      <c r="A808" s="1" t="s">
        <v>41</v>
      </c>
      <c r="B808" s="7">
        <v>40758</v>
      </c>
      <c r="C808" s="1">
        <v>5</v>
      </c>
      <c r="D808" s="1">
        <v>263</v>
      </c>
      <c r="E808" s="1">
        <v>2</v>
      </c>
      <c r="F808" s="1">
        <v>3</v>
      </c>
      <c r="T808" s="1">
        <v>1</v>
      </c>
      <c r="BP808" s="1">
        <v>1</v>
      </c>
    </row>
    <row r="809" spans="1:90" x14ac:dyDescent="0.3">
      <c r="A809" s="1" t="s">
        <v>41</v>
      </c>
      <c r="B809" s="7">
        <v>40758</v>
      </c>
      <c r="C809" s="1">
        <v>5</v>
      </c>
      <c r="D809" s="1">
        <v>263</v>
      </c>
      <c r="E809" s="1">
        <v>2</v>
      </c>
      <c r="F809" s="1">
        <v>4</v>
      </c>
      <c r="R809" s="1">
        <v>1</v>
      </c>
      <c r="BE809" s="1">
        <v>1</v>
      </c>
    </row>
    <row r="810" spans="1:90" x14ac:dyDescent="0.3">
      <c r="A810" s="1" t="s">
        <v>41</v>
      </c>
      <c r="B810" s="7">
        <v>40758</v>
      </c>
      <c r="C810" s="1">
        <v>5</v>
      </c>
      <c r="D810" s="1">
        <v>263</v>
      </c>
      <c r="E810" s="1">
        <v>2</v>
      </c>
      <c r="F810" s="1">
        <v>5</v>
      </c>
      <c r="AM810" s="1">
        <v>1</v>
      </c>
    </row>
    <row r="811" spans="1:90" x14ac:dyDescent="0.3">
      <c r="A811" s="1" t="s">
        <v>41</v>
      </c>
      <c r="B811" s="7">
        <v>40758</v>
      </c>
      <c r="C811" s="1">
        <v>5</v>
      </c>
      <c r="D811" s="1">
        <v>263</v>
      </c>
      <c r="E811" s="1">
        <v>2</v>
      </c>
      <c r="F811" s="1">
        <v>6</v>
      </c>
      <c r="L811" s="8">
        <v>1</v>
      </c>
      <c r="M811" s="8"/>
      <c r="R811" s="1">
        <v>1</v>
      </c>
    </row>
    <row r="812" spans="1:90" x14ac:dyDescent="0.3">
      <c r="A812" s="1" t="s">
        <v>41</v>
      </c>
      <c r="B812" s="7">
        <v>40758</v>
      </c>
      <c r="C812" s="1">
        <v>5</v>
      </c>
      <c r="D812" s="1">
        <v>263</v>
      </c>
      <c r="E812" s="1">
        <v>2</v>
      </c>
      <c r="F812" s="1">
        <v>7</v>
      </c>
      <c r="T812" s="1">
        <v>1</v>
      </c>
      <c r="AI812" s="1">
        <v>1</v>
      </c>
    </row>
    <row r="813" spans="1:90" x14ac:dyDescent="0.3">
      <c r="A813" s="1" t="s">
        <v>41</v>
      </c>
      <c r="B813" s="7">
        <v>40758</v>
      </c>
      <c r="C813" s="1">
        <v>5</v>
      </c>
      <c r="D813" s="1">
        <v>263</v>
      </c>
      <c r="E813" s="1">
        <v>2</v>
      </c>
      <c r="F813" s="1">
        <v>8</v>
      </c>
      <c r="T813" s="1">
        <v>1</v>
      </c>
      <c r="AB813" s="1">
        <v>1</v>
      </c>
    </row>
    <row r="814" spans="1:90" x14ac:dyDescent="0.3">
      <c r="A814" s="1" t="s">
        <v>41</v>
      </c>
      <c r="B814" s="7">
        <v>40758</v>
      </c>
      <c r="C814" s="1">
        <v>5</v>
      </c>
      <c r="D814" s="1">
        <v>263</v>
      </c>
      <c r="E814" s="1">
        <v>2</v>
      </c>
      <c r="F814" s="1">
        <v>9</v>
      </c>
      <c r="T814" s="1">
        <v>1</v>
      </c>
      <c r="AI814" s="1">
        <v>1</v>
      </c>
    </row>
    <row r="815" spans="1:90" x14ac:dyDescent="0.3">
      <c r="A815" s="1" t="s">
        <v>41</v>
      </c>
      <c r="B815" s="7">
        <v>40758</v>
      </c>
      <c r="C815" s="1">
        <v>5</v>
      </c>
      <c r="D815" s="1">
        <v>263</v>
      </c>
      <c r="E815" s="1">
        <v>2</v>
      </c>
      <c r="F815" s="1">
        <v>10</v>
      </c>
      <c r="L815" s="1">
        <v>1</v>
      </c>
      <c r="T815" s="1">
        <v>1</v>
      </c>
      <c r="BR815" s="1">
        <v>1</v>
      </c>
    </row>
    <row r="816" spans="1:90" x14ac:dyDescent="0.3">
      <c r="A816" s="1" t="s">
        <v>41</v>
      </c>
      <c r="B816" s="7">
        <v>40758</v>
      </c>
      <c r="C816" s="1">
        <v>5</v>
      </c>
      <c r="D816" s="1">
        <v>263</v>
      </c>
      <c r="E816" s="1">
        <v>2</v>
      </c>
      <c r="F816" s="1">
        <v>11</v>
      </c>
      <c r="T816" s="1">
        <v>1</v>
      </c>
    </row>
    <row r="817" spans="1:68" x14ac:dyDescent="0.3">
      <c r="A817" s="1" t="s">
        <v>41</v>
      </c>
      <c r="B817" s="7">
        <v>40758</v>
      </c>
      <c r="C817" s="1">
        <v>5</v>
      </c>
      <c r="D817" s="1">
        <v>263</v>
      </c>
      <c r="E817" s="1">
        <v>2</v>
      </c>
      <c r="F817" s="1">
        <v>12</v>
      </c>
      <c r="L817" s="8">
        <v>1</v>
      </c>
      <c r="M817" s="8"/>
      <c r="T817" s="1">
        <v>1</v>
      </c>
    </row>
    <row r="818" spans="1:68" x14ac:dyDescent="0.3">
      <c r="A818" s="1" t="s">
        <v>41</v>
      </c>
      <c r="B818" s="7">
        <v>40758</v>
      </c>
      <c r="C818" s="1">
        <v>5</v>
      </c>
      <c r="D818" s="1">
        <v>263</v>
      </c>
      <c r="E818" s="1">
        <v>2</v>
      </c>
      <c r="F818" s="1">
        <v>13</v>
      </c>
      <c r="T818" s="1">
        <v>1</v>
      </c>
      <c r="BI818" s="1">
        <v>1</v>
      </c>
    </row>
    <row r="819" spans="1:68" x14ac:dyDescent="0.3">
      <c r="A819" s="1" t="s">
        <v>41</v>
      </c>
      <c r="B819" s="7">
        <v>40758</v>
      </c>
      <c r="C819" s="1">
        <v>5</v>
      </c>
      <c r="D819" s="1">
        <v>263</v>
      </c>
      <c r="E819" s="1">
        <v>2</v>
      </c>
      <c r="F819" s="1">
        <v>14</v>
      </c>
      <c r="T819" s="1">
        <v>1</v>
      </c>
      <c r="BI819" s="1">
        <v>1</v>
      </c>
    </row>
    <row r="820" spans="1:68" x14ac:dyDescent="0.3">
      <c r="A820" s="1" t="s">
        <v>41</v>
      </c>
      <c r="B820" s="7">
        <v>40758</v>
      </c>
      <c r="C820" s="1">
        <v>5</v>
      </c>
      <c r="D820" s="1">
        <v>263</v>
      </c>
      <c r="E820" s="1">
        <v>2</v>
      </c>
      <c r="F820" s="1">
        <v>15</v>
      </c>
      <c r="L820" s="1">
        <v>1</v>
      </c>
      <c r="R820" s="1">
        <v>1</v>
      </c>
      <c r="AM820" s="1">
        <v>1</v>
      </c>
    </row>
    <row r="821" spans="1:68" x14ac:dyDescent="0.3">
      <c r="A821" s="1" t="s">
        <v>41</v>
      </c>
      <c r="B821" s="7">
        <v>40758</v>
      </c>
      <c r="C821" s="1">
        <v>5</v>
      </c>
      <c r="D821" s="1">
        <v>263</v>
      </c>
      <c r="E821" s="1">
        <v>2</v>
      </c>
      <c r="F821" s="1">
        <v>16</v>
      </c>
      <c r="R821" s="1">
        <v>1</v>
      </c>
      <c r="T821" s="1">
        <v>1</v>
      </c>
      <c r="AB821" s="1">
        <v>1</v>
      </c>
      <c r="BE821" s="1">
        <v>1</v>
      </c>
    </row>
    <row r="822" spans="1:68" x14ac:dyDescent="0.3">
      <c r="A822" s="1" t="s">
        <v>41</v>
      </c>
      <c r="B822" s="7">
        <v>40758</v>
      </c>
      <c r="C822" s="1">
        <v>5</v>
      </c>
      <c r="D822" s="1">
        <v>263</v>
      </c>
      <c r="E822" s="1">
        <v>2</v>
      </c>
      <c r="F822" s="1">
        <v>17</v>
      </c>
      <c r="L822" s="1">
        <v>1</v>
      </c>
      <c r="T822" s="1">
        <v>1</v>
      </c>
      <c r="BP822" s="1">
        <v>1</v>
      </c>
    </row>
    <row r="823" spans="1:68" x14ac:dyDescent="0.3">
      <c r="A823" s="1" t="s">
        <v>41</v>
      </c>
      <c r="B823" s="7">
        <v>40758</v>
      </c>
      <c r="C823" s="1">
        <v>5</v>
      </c>
      <c r="D823" s="1">
        <v>263</v>
      </c>
      <c r="E823" s="1">
        <v>2</v>
      </c>
      <c r="F823" s="1">
        <v>18</v>
      </c>
      <c r="AU823" s="1">
        <v>1</v>
      </c>
      <c r="BE823" s="1">
        <v>1</v>
      </c>
      <c r="BP823" s="1">
        <v>1</v>
      </c>
    </row>
    <row r="824" spans="1:68" x14ac:dyDescent="0.3">
      <c r="A824" s="1" t="s">
        <v>41</v>
      </c>
      <c r="B824" s="7">
        <v>40758</v>
      </c>
      <c r="C824" s="1">
        <v>5</v>
      </c>
      <c r="D824" s="1">
        <v>263</v>
      </c>
      <c r="E824" s="1">
        <v>2</v>
      </c>
      <c r="F824" s="1">
        <v>19</v>
      </c>
      <c r="L824" s="1">
        <v>1</v>
      </c>
      <c r="T824" s="1">
        <v>1</v>
      </c>
      <c r="BE824" s="1">
        <v>1</v>
      </c>
    </row>
    <row r="825" spans="1:68" x14ac:dyDescent="0.3">
      <c r="A825" s="1" t="s">
        <v>41</v>
      </c>
      <c r="B825" s="7">
        <v>40758</v>
      </c>
      <c r="C825" s="1">
        <v>5</v>
      </c>
      <c r="D825" s="1">
        <v>263</v>
      </c>
      <c r="E825" s="1">
        <v>2</v>
      </c>
      <c r="F825" s="1">
        <v>20</v>
      </c>
      <c r="R825" s="1">
        <v>1</v>
      </c>
    </row>
    <row r="826" spans="1:68" x14ac:dyDescent="0.3">
      <c r="A826" s="1" t="s">
        <v>41</v>
      </c>
      <c r="B826" s="7">
        <v>40758</v>
      </c>
      <c r="C826" s="1">
        <v>5</v>
      </c>
      <c r="D826" s="1">
        <v>263</v>
      </c>
      <c r="E826" s="1">
        <v>2</v>
      </c>
      <c r="F826" s="1">
        <v>21</v>
      </c>
      <c r="R826" s="1">
        <v>1</v>
      </c>
      <c r="T826" s="1">
        <v>1</v>
      </c>
    </row>
    <row r="827" spans="1:68" x14ac:dyDescent="0.3">
      <c r="A827" s="1" t="s">
        <v>41</v>
      </c>
      <c r="B827" s="7">
        <v>40758</v>
      </c>
      <c r="C827" s="1">
        <v>5</v>
      </c>
      <c r="D827" s="1">
        <v>263</v>
      </c>
      <c r="E827" s="1">
        <v>2</v>
      </c>
      <c r="F827" s="1">
        <v>22</v>
      </c>
      <c r="R827" s="1">
        <v>1</v>
      </c>
      <c r="T827" s="1">
        <v>1</v>
      </c>
      <c r="BP827" s="1">
        <v>1</v>
      </c>
    </row>
    <row r="828" spans="1:68" x14ac:dyDescent="0.3">
      <c r="A828" s="1" t="s">
        <v>41</v>
      </c>
      <c r="B828" s="7">
        <v>40758</v>
      </c>
      <c r="C828" s="1">
        <v>5</v>
      </c>
      <c r="D828" s="1">
        <v>263</v>
      </c>
      <c r="E828" s="1">
        <v>2</v>
      </c>
      <c r="F828" s="1">
        <v>23</v>
      </c>
      <c r="BI828" s="3">
        <v>0</v>
      </c>
      <c r="BJ828" s="3">
        <v>1</v>
      </c>
      <c r="BP828" s="1">
        <v>1</v>
      </c>
    </row>
    <row r="829" spans="1:68" x14ac:dyDescent="0.3">
      <c r="A829" s="1" t="s">
        <v>41</v>
      </c>
      <c r="B829" s="7">
        <v>40758</v>
      </c>
      <c r="C829" s="1">
        <v>5</v>
      </c>
      <c r="D829" s="1">
        <v>263</v>
      </c>
      <c r="E829" s="1">
        <v>2</v>
      </c>
      <c r="F829" s="1">
        <v>24</v>
      </c>
      <c r="T829" s="1">
        <v>1</v>
      </c>
      <c r="BI829" s="3">
        <v>0</v>
      </c>
      <c r="BJ829" s="3">
        <v>1</v>
      </c>
    </row>
    <row r="830" spans="1:68" x14ac:dyDescent="0.3">
      <c r="A830" s="1" t="s">
        <v>41</v>
      </c>
      <c r="B830" s="7">
        <v>40758</v>
      </c>
      <c r="C830" s="1">
        <v>5</v>
      </c>
      <c r="D830" s="1">
        <v>263</v>
      </c>
      <c r="E830" s="1">
        <v>2</v>
      </c>
      <c r="F830" s="1">
        <v>25</v>
      </c>
      <c r="L830" s="1">
        <v>1</v>
      </c>
      <c r="V830" s="1">
        <v>1</v>
      </c>
      <c r="BI830" s="1">
        <v>1</v>
      </c>
    </row>
    <row r="831" spans="1:68" x14ac:dyDescent="0.3">
      <c r="A831" s="1" t="s">
        <v>41</v>
      </c>
      <c r="B831" s="7">
        <v>40758</v>
      </c>
      <c r="C831" s="1">
        <v>5</v>
      </c>
      <c r="D831" s="1">
        <v>263</v>
      </c>
      <c r="E831" s="1">
        <v>2</v>
      </c>
      <c r="F831" s="1">
        <v>26</v>
      </c>
      <c r="R831" s="1">
        <v>1</v>
      </c>
      <c r="T831" s="1">
        <v>1</v>
      </c>
      <c r="AB831" s="1">
        <v>1</v>
      </c>
    </row>
    <row r="832" spans="1:68" x14ac:dyDescent="0.3">
      <c r="A832" s="1" t="s">
        <v>41</v>
      </c>
      <c r="B832" s="7">
        <v>40758</v>
      </c>
      <c r="C832" s="1">
        <v>5</v>
      </c>
      <c r="D832" s="1">
        <v>263</v>
      </c>
      <c r="E832" s="1">
        <v>2</v>
      </c>
      <c r="F832" s="1">
        <v>27</v>
      </c>
      <c r="T832" s="1">
        <v>1</v>
      </c>
      <c r="X832" s="1">
        <v>1</v>
      </c>
    </row>
    <row r="833" spans="1:74" x14ac:dyDescent="0.3">
      <c r="A833" s="1" t="s">
        <v>41</v>
      </c>
      <c r="B833" s="7">
        <v>40758</v>
      </c>
      <c r="C833" s="1">
        <v>5</v>
      </c>
      <c r="D833" s="1">
        <v>263</v>
      </c>
      <c r="E833" s="1">
        <v>2</v>
      </c>
      <c r="F833" s="1">
        <v>28</v>
      </c>
      <c r="X833" s="1">
        <v>1</v>
      </c>
      <c r="BE833" s="1">
        <v>1</v>
      </c>
      <c r="BR833" s="1">
        <v>1</v>
      </c>
    </row>
    <row r="834" spans="1:74" x14ac:dyDescent="0.3">
      <c r="A834" s="1" t="s">
        <v>41</v>
      </c>
      <c r="B834" s="7">
        <v>40758</v>
      </c>
      <c r="C834" s="1">
        <v>5</v>
      </c>
      <c r="D834" s="1">
        <v>263</v>
      </c>
      <c r="E834" s="1">
        <v>2</v>
      </c>
      <c r="F834" s="1">
        <v>29</v>
      </c>
      <c r="R834" s="3">
        <v>0</v>
      </c>
      <c r="S834" s="3">
        <v>1</v>
      </c>
      <c r="V834" s="1">
        <v>1</v>
      </c>
      <c r="AM834" s="1">
        <v>1</v>
      </c>
    </row>
    <row r="835" spans="1:74" x14ac:dyDescent="0.3">
      <c r="A835" s="1" t="s">
        <v>41</v>
      </c>
      <c r="B835" s="7">
        <v>40758</v>
      </c>
      <c r="C835" s="1">
        <v>5</v>
      </c>
      <c r="D835" s="1">
        <v>263</v>
      </c>
      <c r="E835" s="1">
        <v>2</v>
      </c>
      <c r="F835" s="1">
        <v>30</v>
      </c>
      <c r="R835" s="1">
        <v>1</v>
      </c>
      <c r="V835" s="1">
        <v>1</v>
      </c>
      <c r="BU835" s="3">
        <v>0</v>
      </c>
      <c r="BV835" s="3">
        <v>1</v>
      </c>
    </row>
    <row r="836" spans="1:74" x14ac:dyDescent="0.3">
      <c r="A836" s="1" t="s">
        <v>41</v>
      </c>
      <c r="B836" s="7">
        <v>40758</v>
      </c>
      <c r="C836" s="1">
        <v>5</v>
      </c>
      <c r="D836" s="1">
        <v>263</v>
      </c>
      <c r="E836" s="1">
        <v>2</v>
      </c>
      <c r="F836" s="1">
        <v>31</v>
      </c>
      <c r="R836" s="1">
        <v>1</v>
      </c>
      <c r="AF836" s="1">
        <v>1</v>
      </c>
      <c r="BR836" s="1">
        <v>1</v>
      </c>
    </row>
    <row r="837" spans="1:74" x14ac:dyDescent="0.3">
      <c r="A837" s="1" t="s">
        <v>41</v>
      </c>
      <c r="B837" s="7">
        <v>40758</v>
      </c>
      <c r="C837" s="1">
        <v>5</v>
      </c>
      <c r="D837" s="1">
        <v>263</v>
      </c>
      <c r="E837" s="1">
        <v>2</v>
      </c>
      <c r="F837" s="1">
        <v>32</v>
      </c>
      <c r="L837" s="1">
        <v>1</v>
      </c>
      <c r="R837" s="3">
        <v>0</v>
      </c>
      <c r="S837" s="3">
        <v>1</v>
      </c>
    </row>
    <row r="838" spans="1:74" x14ac:dyDescent="0.3">
      <c r="A838" s="1" t="s">
        <v>41</v>
      </c>
      <c r="B838" s="7">
        <v>40758</v>
      </c>
      <c r="C838" s="1">
        <v>5</v>
      </c>
      <c r="D838" s="1">
        <v>263</v>
      </c>
      <c r="E838" s="1">
        <v>2</v>
      </c>
      <c r="F838" s="1">
        <v>33</v>
      </c>
      <c r="R838" s="1">
        <v>1</v>
      </c>
      <c r="T838" s="1">
        <v>1</v>
      </c>
    </row>
    <row r="839" spans="1:74" x14ac:dyDescent="0.3">
      <c r="A839" s="1" t="s">
        <v>41</v>
      </c>
      <c r="B839" s="7">
        <v>40758</v>
      </c>
      <c r="C839" s="1">
        <v>5</v>
      </c>
      <c r="D839" s="1">
        <v>263</v>
      </c>
      <c r="E839" s="1">
        <v>2</v>
      </c>
      <c r="F839" s="1">
        <v>34</v>
      </c>
      <c r="T839" s="1">
        <v>1</v>
      </c>
      <c r="BP839" s="1">
        <v>1</v>
      </c>
    </row>
    <row r="840" spans="1:74" x14ac:dyDescent="0.3">
      <c r="A840" s="1" t="s">
        <v>41</v>
      </c>
      <c r="B840" s="7">
        <v>40758</v>
      </c>
      <c r="C840" s="1">
        <v>5</v>
      </c>
      <c r="D840" s="1">
        <v>263</v>
      </c>
      <c r="E840" s="1">
        <v>2</v>
      </c>
      <c r="F840" s="1">
        <v>35</v>
      </c>
      <c r="T840" s="1">
        <v>1</v>
      </c>
      <c r="AM840" s="1">
        <v>1</v>
      </c>
      <c r="BP840" s="1">
        <v>1</v>
      </c>
    </row>
    <row r="841" spans="1:74" x14ac:dyDescent="0.3">
      <c r="A841" s="1" t="s">
        <v>41</v>
      </c>
      <c r="B841" s="7">
        <v>40758</v>
      </c>
      <c r="C841" s="1">
        <v>5</v>
      </c>
      <c r="D841" s="1">
        <v>263</v>
      </c>
      <c r="E841" s="1">
        <v>2</v>
      </c>
      <c r="F841" s="1">
        <v>36</v>
      </c>
      <c r="L841" s="1">
        <v>1</v>
      </c>
      <c r="R841" s="1">
        <v>1</v>
      </c>
      <c r="BP841" s="1">
        <v>1</v>
      </c>
    </row>
    <row r="842" spans="1:74" x14ac:dyDescent="0.3">
      <c r="A842" s="1" t="s">
        <v>41</v>
      </c>
      <c r="B842" s="7">
        <v>40758</v>
      </c>
      <c r="C842" s="1">
        <v>5</v>
      </c>
      <c r="D842" s="1">
        <v>263</v>
      </c>
      <c r="E842" s="1">
        <v>2</v>
      </c>
      <c r="F842" s="1">
        <v>37</v>
      </c>
      <c r="V842" s="1">
        <v>1</v>
      </c>
      <c r="AI842" s="3">
        <v>0</v>
      </c>
      <c r="AJ842" s="3">
        <v>1</v>
      </c>
    </row>
    <row r="843" spans="1:74" x14ac:dyDescent="0.3">
      <c r="A843" s="1" t="s">
        <v>41</v>
      </c>
      <c r="B843" s="7">
        <v>40758</v>
      </c>
      <c r="C843" s="1">
        <v>5</v>
      </c>
      <c r="D843" s="1">
        <v>263</v>
      </c>
      <c r="E843" s="1">
        <v>2</v>
      </c>
      <c r="F843" s="1">
        <v>38</v>
      </c>
      <c r="AI843" s="1">
        <v>1</v>
      </c>
      <c r="BE843" s="3">
        <v>0</v>
      </c>
      <c r="BF843" s="3">
        <v>1</v>
      </c>
      <c r="BI843" s="1">
        <v>1</v>
      </c>
    </row>
    <row r="844" spans="1:74" x14ac:dyDescent="0.3">
      <c r="A844" s="1" t="s">
        <v>41</v>
      </c>
      <c r="B844" s="7">
        <v>40758</v>
      </c>
      <c r="C844" s="1">
        <v>5</v>
      </c>
      <c r="D844" s="1">
        <v>263</v>
      </c>
      <c r="E844" s="1">
        <v>2</v>
      </c>
      <c r="F844" s="1">
        <v>39</v>
      </c>
      <c r="T844" s="1">
        <v>1</v>
      </c>
      <c r="BE844" s="1">
        <v>1</v>
      </c>
    </row>
    <row r="845" spans="1:74" x14ac:dyDescent="0.3">
      <c r="A845" s="1" t="s">
        <v>41</v>
      </c>
      <c r="B845" s="7">
        <v>40758</v>
      </c>
      <c r="C845" s="1">
        <v>5</v>
      </c>
      <c r="D845" s="1">
        <v>263</v>
      </c>
      <c r="E845" s="1">
        <v>2</v>
      </c>
      <c r="F845" s="1">
        <v>40</v>
      </c>
      <c r="T845" s="1">
        <v>1</v>
      </c>
      <c r="BU845" s="1">
        <v>1</v>
      </c>
    </row>
    <row r="846" spans="1:74" x14ac:dyDescent="0.3">
      <c r="A846" s="1" t="s">
        <v>41</v>
      </c>
      <c r="B846" s="7">
        <v>40758</v>
      </c>
      <c r="C846" s="1">
        <v>5</v>
      </c>
      <c r="D846" s="1">
        <v>263</v>
      </c>
      <c r="E846" s="1">
        <v>2</v>
      </c>
      <c r="F846" s="1">
        <v>41</v>
      </c>
      <c r="T846" s="1">
        <v>1</v>
      </c>
      <c r="AM846" s="1">
        <v>1</v>
      </c>
      <c r="BR846" s="1">
        <v>1</v>
      </c>
    </row>
    <row r="847" spans="1:74" x14ac:dyDescent="0.3">
      <c r="A847" s="1" t="s">
        <v>41</v>
      </c>
      <c r="B847" s="7">
        <v>40758</v>
      </c>
      <c r="C847" s="1">
        <v>5</v>
      </c>
      <c r="D847" s="1">
        <v>263</v>
      </c>
      <c r="E847" s="1">
        <v>2</v>
      </c>
      <c r="F847" s="1">
        <v>42</v>
      </c>
      <c r="L847" s="1">
        <v>1</v>
      </c>
      <c r="T847" s="1">
        <v>1</v>
      </c>
    </row>
    <row r="848" spans="1:74" x14ac:dyDescent="0.3">
      <c r="A848" s="1" t="s">
        <v>41</v>
      </c>
      <c r="B848" s="7">
        <v>40758</v>
      </c>
      <c r="C848" s="1">
        <v>5</v>
      </c>
      <c r="D848" s="1">
        <v>263</v>
      </c>
      <c r="E848" s="1">
        <v>2</v>
      </c>
      <c r="F848" s="1">
        <v>43</v>
      </c>
      <c r="R848" s="1">
        <v>1</v>
      </c>
      <c r="T848" s="1">
        <v>1</v>
      </c>
    </row>
    <row r="849" spans="1:70" x14ac:dyDescent="0.3">
      <c r="A849" s="1" t="s">
        <v>41</v>
      </c>
      <c r="B849" s="7">
        <v>40758</v>
      </c>
      <c r="C849" s="1">
        <v>5</v>
      </c>
      <c r="D849" s="1">
        <v>263</v>
      </c>
      <c r="E849" s="1">
        <v>2</v>
      </c>
      <c r="F849" s="1">
        <v>44</v>
      </c>
      <c r="L849" s="1">
        <v>1</v>
      </c>
      <c r="T849" s="1">
        <v>1</v>
      </c>
      <c r="BI849" s="1">
        <v>1</v>
      </c>
      <c r="BR849" s="1">
        <v>1</v>
      </c>
    </row>
    <row r="850" spans="1:70" x14ac:dyDescent="0.3">
      <c r="A850" s="1" t="s">
        <v>41</v>
      </c>
      <c r="B850" s="7">
        <v>40758</v>
      </c>
      <c r="C850" s="1">
        <v>5</v>
      </c>
      <c r="D850" s="1">
        <v>263</v>
      </c>
      <c r="E850" s="1">
        <v>2</v>
      </c>
      <c r="F850" s="1">
        <v>45</v>
      </c>
      <c r="T850" s="1">
        <v>1</v>
      </c>
      <c r="BR850" s="1">
        <v>1</v>
      </c>
    </row>
    <row r="851" spans="1:70" x14ac:dyDescent="0.3">
      <c r="A851" s="1" t="s">
        <v>41</v>
      </c>
      <c r="B851" s="7">
        <v>40758</v>
      </c>
      <c r="C851" s="1">
        <v>5</v>
      </c>
      <c r="D851" s="1">
        <v>263</v>
      </c>
      <c r="E851" s="1">
        <v>2</v>
      </c>
      <c r="F851" s="1">
        <v>46</v>
      </c>
      <c r="R851" s="1">
        <v>1</v>
      </c>
      <c r="T851" s="1">
        <v>1</v>
      </c>
    </row>
    <row r="852" spans="1:70" x14ac:dyDescent="0.3">
      <c r="A852" s="1" t="s">
        <v>41</v>
      </c>
      <c r="B852" s="7">
        <v>40758</v>
      </c>
      <c r="C852" s="1">
        <v>5</v>
      </c>
      <c r="D852" s="1">
        <v>263</v>
      </c>
      <c r="E852" s="1">
        <v>2</v>
      </c>
      <c r="F852" s="1">
        <v>47</v>
      </c>
      <c r="V852" s="1">
        <v>1</v>
      </c>
      <c r="BE852" s="1">
        <v>1</v>
      </c>
      <c r="BP852" s="1">
        <v>1</v>
      </c>
    </row>
    <row r="853" spans="1:70" x14ac:dyDescent="0.3">
      <c r="A853" s="1" t="s">
        <v>41</v>
      </c>
      <c r="B853" s="7">
        <v>40758</v>
      </c>
      <c r="C853" s="1">
        <v>5</v>
      </c>
      <c r="D853" s="1">
        <v>263</v>
      </c>
      <c r="E853" s="1">
        <v>2</v>
      </c>
      <c r="F853" s="1">
        <v>48</v>
      </c>
      <c r="T853" s="1">
        <v>1</v>
      </c>
      <c r="BE853" s="1">
        <v>1</v>
      </c>
      <c r="BP853" s="1">
        <v>1</v>
      </c>
    </row>
    <row r="854" spans="1:70" x14ac:dyDescent="0.3">
      <c r="A854" s="1" t="s">
        <v>41</v>
      </c>
      <c r="B854" s="7">
        <v>40758</v>
      </c>
      <c r="C854" s="1">
        <v>5</v>
      </c>
      <c r="D854" s="1">
        <v>263</v>
      </c>
      <c r="E854" s="1">
        <v>2</v>
      </c>
      <c r="F854" s="1">
        <v>49</v>
      </c>
      <c r="R854" s="1">
        <v>1</v>
      </c>
      <c r="V854" s="1">
        <v>1</v>
      </c>
      <c r="BE854" s="1">
        <v>1</v>
      </c>
    </row>
    <row r="855" spans="1:70" x14ac:dyDescent="0.3">
      <c r="A855" s="1" t="s">
        <v>41</v>
      </c>
      <c r="B855" s="7">
        <v>40758</v>
      </c>
      <c r="C855" s="1">
        <v>5</v>
      </c>
      <c r="D855" s="1">
        <v>263</v>
      </c>
      <c r="E855" s="1">
        <v>2</v>
      </c>
      <c r="F855" s="1">
        <v>50</v>
      </c>
      <c r="T855" s="1">
        <v>1</v>
      </c>
      <c r="BE855" s="1">
        <v>1</v>
      </c>
    </row>
    <row r="856" spans="1:70" x14ac:dyDescent="0.3">
      <c r="A856" s="1" t="s">
        <v>41</v>
      </c>
      <c r="B856" s="7">
        <v>40758</v>
      </c>
      <c r="C856" s="1">
        <v>5</v>
      </c>
      <c r="D856" s="1">
        <v>263</v>
      </c>
      <c r="E856" s="1">
        <v>2</v>
      </c>
      <c r="F856" s="1">
        <v>51</v>
      </c>
      <c r="R856" s="1">
        <v>1</v>
      </c>
      <c r="T856" s="1">
        <v>1</v>
      </c>
      <c r="BR856" s="1">
        <v>1</v>
      </c>
    </row>
    <row r="857" spans="1:70" x14ac:dyDescent="0.3">
      <c r="A857" s="1" t="s">
        <v>41</v>
      </c>
      <c r="B857" s="7">
        <v>40758</v>
      </c>
      <c r="C857" s="1">
        <v>5</v>
      </c>
      <c r="D857" s="1">
        <v>263</v>
      </c>
      <c r="E857" s="1">
        <v>2</v>
      </c>
      <c r="F857" s="1">
        <v>52</v>
      </c>
      <c r="T857" s="1">
        <v>1</v>
      </c>
    </row>
    <row r="858" spans="1:70" x14ac:dyDescent="0.3">
      <c r="A858" s="1" t="s">
        <v>41</v>
      </c>
      <c r="B858" s="7">
        <v>40758</v>
      </c>
      <c r="C858" s="1">
        <v>5</v>
      </c>
      <c r="D858" s="1">
        <v>263</v>
      </c>
      <c r="E858" s="1">
        <v>2</v>
      </c>
      <c r="F858" s="1">
        <v>53</v>
      </c>
      <c r="T858" s="1">
        <v>1</v>
      </c>
    </row>
    <row r="859" spans="1:70" x14ac:dyDescent="0.3">
      <c r="A859" s="1" t="s">
        <v>41</v>
      </c>
      <c r="B859" s="7">
        <v>40758</v>
      </c>
      <c r="C859" s="1">
        <v>5</v>
      </c>
      <c r="D859" s="1">
        <v>263</v>
      </c>
      <c r="E859" s="1">
        <v>2</v>
      </c>
      <c r="F859" s="1">
        <v>54</v>
      </c>
      <c r="L859" s="1">
        <v>1</v>
      </c>
      <c r="R859" s="1">
        <v>1</v>
      </c>
      <c r="T859" s="1">
        <v>1</v>
      </c>
    </row>
    <row r="860" spans="1:70" x14ac:dyDescent="0.3">
      <c r="A860" s="1" t="s">
        <v>41</v>
      </c>
      <c r="B860" s="7">
        <v>40758</v>
      </c>
      <c r="C860" s="1">
        <v>5</v>
      </c>
      <c r="D860" s="1">
        <v>263</v>
      </c>
      <c r="E860" s="1">
        <v>2</v>
      </c>
      <c r="F860" s="1">
        <v>55</v>
      </c>
      <c r="R860" s="1">
        <v>1</v>
      </c>
      <c r="V860" s="1">
        <v>1</v>
      </c>
    </row>
    <row r="861" spans="1:70" x14ac:dyDescent="0.3">
      <c r="A861" s="1" t="s">
        <v>41</v>
      </c>
      <c r="B861" s="7">
        <v>40758</v>
      </c>
      <c r="C861" s="1">
        <v>5</v>
      </c>
      <c r="D861" s="1">
        <v>263</v>
      </c>
      <c r="E861" s="1">
        <v>2</v>
      </c>
      <c r="F861" s="1">
        <v>56</v>
      </c>
      <c r="R861" s="3">
        <v>0</v>
      </c>
      <c r="S861" s="3">
        <v>1</v>
      </c>
      <c r="AF861" s="1">
        <v>1</v>
      </c>
      <c r="BP861" s="1">
        <v>1</v>
      </c>
      <c r="BR861" s="1">
        <v>1</v>
      </c>
    </row>
    <row r="862" spans="1:70" x14ac:dyDescent="0.3">
      <c r="A862" s="1" t="s">
        <v>41</v>
      </c>
      <c r="B862" s="7">
        <v>40758</v>
      </c>
      <c r="C862" s="1">
        <v>5</v>
      </c>
      <c r="D862" s="1">
        <v>263</v>
      </c>
      <c r="E862" s="1">
        <v>2</v>
      </c>
      <c r="F862" s="1">
        <v>57</v>
      </c>
      <c r="T862" s="1">
        <v>1</v>
      </c>
      <c r="V862" s="1">
        <v>1</v>
      </c>
      <c r="BE862" s="1">
        <v>1</v>
      </c>
    </row>
    <row r="863" spans="1:70" x14ac:dyDescent="0.3">
      <c r="A863" s="1" t="s">
        <v>41</v>
      </c>
      <c r="B863" s="7">
        <v>40758</v>
      </c>
      <c r="C863" s="1">
        <v>5</v>
      </c>
      <c r="D863" s="1">
        <v>263</v>
      </c>
      <c r="E863" s="1">
        <v>2</v>
      </c>
      <c r="F863" s="1">
        <v>58</v>
      </c>
      <c r="R863" s="1">
        <v>1</v>
      </c>
      <c r="T863" s="1">
        <v>1</v>
      </c>
    </row>
    <row r="864" spans="1:70" x14ac:dyDescent="0.3">
      <c r="A864" s="1" t="s">
        <v>41</v>
      </c>
      <c r="B864" s="7">
        <v>40758</v>
      </c>
      <c r="C864" s="1">
        <v>5</v>
      </c>
      <c r="D864" s="1">
        <v>263</v>
      </c>
      <c r="E864" s="1">
        <v>2</v>
      </c>
      <c r="F864" s="1">
        <v>59</v>
      </c>
      <c r="BE864" s="1">
        <v>1</v>
      </c>
    </row>
    <row r="865" spans="1:70" x14ac:dyDescent="0.3">
      <c r="A865" s="1" t="s">
        <v>41</v>
      </c>
      <c r="B865" s="7">
        <v>40758</v>
      </c>
      <c r="C865" s="1">
        <v>5</v>
      </c>
      <c r="D865" s="1">
        <v>263</v>
      </c>
      <c r="E865" s="1">
        <v>2</v>
      </c>
      <c r="F865" s="1">
        <v>60</v>
      </c>
      <c r="R865" s="1">
        <v>1</v>
      </c>
      <c r="BE865" s="1">
        <v>1</v>
      </c>
    </row>
    <row r="866" spans="1:70" x14ac:dyDescent="0.3">
      <c r="A866" s="1" t="s">
        <v>41</v>
      </c>
      <c r="B866" s="7">
        <v>40758</v>
      </c>
      <c r="C866" s="1">
        <v>5</v>
      </c>
      <c r="D866" s="1">
        <v>263</v>
      </c>
      <c r="E866" s="1">
        <v>2</v>
      </c>
      <c r="F866" s="1">
        <v>61</v>
      </c>
      <c r="T866" s="1">
        <v>1</v>
      </c>
      <c r="AM866" s="1">
        <v>1</v>
      </c>
    </row>
    <row r="867" spans="1:70" x14ac:dyDescent="0.3">
      <c r="A867" s="1" t="s">
        <v>41</v>
      </c>
      <c r="B867" s="7">
        <v>40758</v>
      </c>
      <c r="C867" s="1">
        <v>5</v>
      </c>
      <c r="D867" s="1">
        <v>263</v>
      </c>
      <c r="E867" s="1">
        <v>2</v>
      </c>
      <c r="F867" s="1">
        <v>62</v>
      </c>
      <c r="T867" s="1">
        <v>1</v>
      </c>
      <c r="BR867" s="1">
        <v>1</v>
      </c>
    </row>
    <row r="868" spans="1:70" x14ac:dyDescent="0.3">
      <c r="A868" s="1" t="s">
        <v>41</v>
      </c>
      <c r="B868" s="7">
        <v>40758</v>
      </c>
      <c r="C868" s="1">
        <v>5</v>
      </c>
      <c r="D868" s="1">
        <v>263</v>
      </c>
      <c r="E868" s="1">
        <v>2</v>
      </c>
      <c r="F868" s="1">
        <v>63</v>
      </c>
      <c r="L868" s="1">
        <v>1</v>
      </c>
    </row>
    <row r="869" spans="1:70" x14ac:dyDescent="0.3">
      <c r="A869" s="1" t="s">
        <v>41</v>
      </c>
      <c r="B869" s="7">
        <v>40758</v>
      </c>
      <c r="C869" s="1">
        <v>5</v>
      </c>
      <c r="D869" s="1">
        <v>263</v>
      </c>
      <c r="E869" s="1">
        <v>2</v>
      </c>
      <c r="F869" s="1">
        <v>64</v>
      </c>
      <c r="L869" s="1">
        <v>1</v>
      </c>
      <c r="R869" s="1">
        <v>1</v>
      </c>
    </row>
    <row r="870" spans="1:70" x14ac:dyDescent="0.3">
      <c r="A870" s="1" t="s">
        <v>41</v>
      </c>
      <c r="B870" s="7">
        <v>40758</v>
      </c>
      <c r="C870" s="1">
        <v>5</v>
      </c>
      <c r="D870" s="1">
        <v>263</v>
      </c>
      <c r="E870" s="1">
        <v>2</v>
      </c>
      <c r="F870" s="1">
        <v>65</v>
      </c>
      <c r="AB870" s="1">
        <v>1</v>
      </c>
      <c r="BE870" s="1">
        <v>1</v>
      </c>
      <c r="BP870" s="1">
        <v>1</v>
      </c>
      <c r="BR870" s="1">
        <v>1</v>
      </c>
    </row>
    <row r="871" spans="1:70" x14ac:dyDescent="0.3">
      <c r="A871" s="1" t="s">
        <v>41</v>
      </c>
      <c r="B871" s="7">
        <v>40758</v>
      </c>
      <c r="C871" s="1">
        <v>5</v>
      </c>
      <c r="D871" s="1">
        <v>263</v>
      </c>
      <c r="E871" s="1">
        <v>2</v>
      </c>
      <c r="F871" s="1">
        <v>66</v>
      </c>
      <c r="V871" s="1">
        <v>1</v>
      </c>
      <c r="BP871" s="1">
        <v>1</v>
      </c>
    </row>
    <row r="872" spans="1:70" x14ac:dyDescent="0.3">
      <c r="A872" s="1" t="s">
        <v>41</v>
      </c>
      <c r="B872" s="7">
        <v>40758</v>
      </c>
      <c r="C872" s="1">
        <v>5</v>
      </c>
      <c r="D872" s="1">
        <v>263</v>
      </c>
      <c r="E872" s="1">
        <v>2</v>
      </c>
      <c r="F872" s="1">
        <v>67</v>
      </c>
      <c r="R872" s="1">
        <v>1</v>
      </c>
      <c r="V872" s="1">
        <v>1</v>
      </c>
      <c r="BE872" s="1">
        <v>1</v>
      </c>
    </row>
    <row r="873" spans="1:70" x14ac:dyDescent="0.3">
      <c r="A873" s="1" t="s">
        <v>41</v>
      </c>
      <c r="B873" s="7">
        <v>40758</v>
      </c>
      <c r="C873" s="1">
        <v>5</v>
      </c>
      <c r="D873" s="1">
        <v>263</v>
      </c>
      <c r="E873" s="1">
        <v>2</v>
      </c>
      <c r="F873" s="1">
        <v>68</v>
      </c>
      <c r="T873" s="1">
        <v>1</v>
      </c>
      <c r="BR873" s="1">
        <v>1</v>
      </c>
    </row>
    <row r="874" spans="1:70" x14ac:dyDescent="0.3">
      <c r="A874" s="1" t="s">
        <v>41</v>
      </c>
      <c r="B874" s="7">
        <v>40758</v>
      </c>
      <c r="C874" s="1">
        <v>5</v>
      </c>
      <c r="D874" s="1">
        <v>263</v>
      </c>
      <c r="E874" s="1">
        <v>2</v>
      </c>
      <c r="F874" s="1">
        <v>69</v>
      </c>
      <c r="T874" s="1">
        <v>1</v>
      </c>
      <c r="BP874" s="3">
        <v>0</v>
      </c>
      <c r="BQ874" s="3">
        <v>1</v>
      </c>
    </row>
    <row r="875" spans="1:70" x14ac:dyDescent="0.3">
      <c r="A875" s="1" t="s">
        <v>41</v>
      </c>
      <c r="B875" s="7">
        <v>40758</v>
      </c>
      <c r="C875" s="1">
        <v>5</v>
      </c>
      <c r="D875" s="1">
        <v>263</v>
      </c>
      <c r="E875" s="1">
        <v>2</v>
      </c>
      <c r="F875" s="1">
        <v>70</v>
      </c>
      <c r="R875" s="1">
        <v>1</v>
      </c>
      <c r="T875" s="1">
        <v>1</v>
      </c>
    </row>
    <row r="876" spans="1:70" x14ac:dyDescent="0.3">
      <c r="A876" s="1" t="s">
        <v>41</v>
      </c>
      <c r="B876" s="7">
        <v>40758</v>
      </c>
      <c r="C876" s="1">
        <v>5</v>
      </c>
      <c r="D876" s="1">
        <v>263</v>
      </c>
      <c r="E876" s="1">
        <v>2</v>
      </c>
      <c r="F876" s="1">
        <v>71</v>
      </c>
      <c r="R876" s="1">
        <v>1</v>
      </c>
      <c r="T876" s="1">
        <v>1</v>
      </c>
    </row>
    <row r="877" spans="1:70" x14ac:dyDescent="0.3">
      <c r="A877" s="1" t="s">
        <v>41</v>
      </c>
      <c r="B877" s="7">
        <v>40758</v>
      </c>
      <c r="C877" s="1">
        <v>5</v>
      </c>
      <c r="D877" s="1">
        <v>263</v>
      </c>
      <c r="E877" s="1">
        <v>2</v>
      </c>
      <c r="F877" s="1">
        <v>72</v>
      </c>
      <c r="R877" s="1">
        <v>1</v>
      </c>
      <c r="BP877" s="1">
        <v>1</v>
      </c>
    </row>
    <row r="878" spans="1:70" x14ac:dyDescent="0.3">
      <c r="A878" s="1" t="s">
        <v>41</v>
      </c>
      <c r="B878" s="7">
        <v>40758</v>
      </c>
      <c r="C878" s="1">
        <v>5</v>
      </c>
      <c r="D878" s="1">
        <v>263</v>
      </c>
      <c r="E878" s="1">
        <v>2</v>
      </c>
      <c r="F878" s="1">
        <v>73</v>
      </c>
      <c r="R878" s="1">
        <v>1</v>
      </c>
      <c r="T878" s="1">
        <v>1</v>
      </c>
    </row>
    <row r="879" spans="1:70" x14ac:dyDescent="0.3">
      <c r="A879" s="1" t="s">
        <v>41</v>
      </c>
      <c r="B879" s="7">
        <v>40758</v>
      </c>
      <c r="C879" s="1">
        <v>5</v>
      </c>
      <c r="D879" s="1">
        <v>263</v>
      </c>
      <c r="E879" s="1">
        <v>2</v>
      </c>
      <c r="F879" s="1">
        <v>74</v>
      </c>
      <c r="R879" s="1">
        <v>1</v>
      </c>
      <c r="T879" s="1">
        <v>1</v>
      </c>
      <c r="BI879" s="1">
        <v>1</v>
      </c>
    </row>
    <row r="880" spans="1:70" x14ac:dyDescent="0.3">
      <c r="A880" s="1" t="s">
        <v>41</v>
      </c>
      <c r="B880" s="7">
        <v>40758</v>
      </c>
      <c r="C880" s="1">
        <v>5</v>
      </c>
      <c r="D880" s="1">
        <v>263</v>
      </c>
      <c r="E880" s="1">
        <v>2</v>
      </c>
      <c r="F880" s="1">
        <v>75</v>
      </c>
      <c r="R880" s="1">
        <v>1</v>
      </c>
      <c r="BR880" s="1">
        <v>1</v>
      </c>
    </row>
    <row r="881" spans="1:70" x14ac:dyDescent="0.3">
      <c r="A881" s="1" t="s">
        <v>41</v>
      </c>
      <c r="B881" s="7">
        <v>40758</v>
      </c>
      <c r="C881" s="1">
        <v>5</v>
      </c>
      <c r="D881" s="1">
        <v>263</v>
      </c>
      <c r="E881" s="1">
        <v>2</v>
      </c>
      <c r="F881" s="1">
        <v>76</v>
      </c>
      <c r="T881" s="1">
        <v>1</v>
      </c>
      <c r="BR881" s="1">
        <v>1</v>
      </c>
    </row>
    <row r="882" spans="1:70" x14ac:dyDescent="0.3">
      <c r="A882" s="1" t="s">
        <v>41</v>
      </c>
      <c r="B882" s="7">
        <v>40758</v>
      </c>
      <c r="C882" s="1">
        <v>5</v>
      </c>
      <c r="D882" s="1">
        <v>263</v>
      </c>
      <c r="E882" s="1">
        <v>2</v>
      </c>
      <c r="F882" s="1">
        <v>77</v>
      </c>
      <c r="R882" s="1">
        <v>1</v>
      </c>
      <c r="BR882" s="1">
        <v>1</v>
      </c>
    </row>
    <row r="883" spans="1:70" x14ac:dyDescent="0.3">
      <c r="A883" s="1" t="s">
        <v>41</v>
      </c>
      <c r="B883" s="7">
        <v>40758</v>
      </c>
      <c r="C883" s="1">
        <v>5</v>
      </c>
      <c r="D883" s="1">
        <v>263</v>
      </c>
      <c r="E883" s="1">
        <v>2</v>
      </c>
      <c r="F883" s="1">
        <v>78</v>
      </c>
      <c r="R883" s="1">
        <v>1</v>
      </c>
      <c r="BR883" s="1">
        <v>1</v>
      </c>
    </row>
    <row r="884" spans="1:70" x14ac:dyDescent="0.3">
      <c r="A884" s="1" t="s">
        <v>41</v>
      </c>
      <c r="B884" s="7">
        <v>40758</v>
      </c>
      <c r="C884" s="1">
        <v>5</v>
      </c>
      <c r="D884" s="1">
        <v>263</v>
      </c>
      <c r="E884" s="1">
        <v>2</v>
      </c>
      <c r="F884" s="1">
        <v>79</v>
      </c>
      <c r="R884" s="1">
        <v>1</v>
      </c>
      <c r="BR884" s="1">
        <v>1</v>
      </c>
    </row>
    <row r="885" spans="1:70" x14ac:dyDescent="0.3">
      <c r="A885" s="1" t="s">
        <v>41</v>
      </c>
      <c r="B885" s="7">
        <v>40758</v>
      </c>
      <c r="C885" s="1">
        <v>5</v>
      </c>
      <c r="D885" s="1">
        <v>263</v>
      </c>
      <c r="E885" s="1">
        <v>2</v>
      </c>
      <c r="F885" s="1">
        <v>80</v>
      </c>
      <c r="W885" s="1">
        <v>1</v>
      </c>
      <c r="AF885" s="1">
        <v>1</v>
      </c>
      <c r="BR885" s="1">
        <v>1</v>
      </c>
    </row>
    <row r="886" spans="1:70" x14ac:dyDescent="0.3">
      <c r="A886" s="1" t="s">
        <v>41</v>
      </c>
      <c r="B886" s="7">
        <v>40758</v>
      </c>
      <c r="C886" s="1">
        <v>5</v>
      </c>
      <c r="D886" s="1">
        <v>263</v>
      </c>
      <c r="E886" s="1">
        <v>2</v>
      </c>
      <c r="F886" s="1">
        <v>81</v>
      </c>
      <c r="R886" s="1">
        <v>1</v>
      </c>
    </row>
    <row r="887" spans="1:70" x14ac:dyDescent="0.3">
      <c r="A887" s="1" t="s">
        <v>41</v>
      </c>
      <c r="B887" s="7">
        <v>40758</v>
      </c>
      <c r="C887" s="1">
        <v>5</v>
      </c>
      <c r="D887" s="1">
        <v>263</v>
      </c>
      <c r="E887" s="1">
        <v>2</v>
      </c>
      <c r="F887" s="1">
        <v>82</v>
      </c>
      <c r="R887" s="1">
        <v>1</v>
      </c>
    </row>
    <row r="888" spans="1:70" x14ac:dyDescent="0.3">
      <c r="A888" s="1" t="s">
        <v>41</v>
      </c>
      <c r="B888" s="7">
        <v>40758</v>
      </c>
      <c r="C888" s="1">
        <v>5</v>
      </c>
      <c r="D888" s="1">
        <v>263</v>
      </c>
      <c r="E888" s="1">
        <v>2</v>
      </c>
      <c r="F888" s="1">
        <v>83</v>
      </c>
      <c r="R888" s="1">
        <v>1</v>
      </c>
      <c r="AM888" s="1">
        <v>1</v>
      </c>
    </row>
    <row r="889" spans="1:70" x14ac:dyDescent="0.3">
      <c r="A889" s="1" t="s">
        <v>41</v>
      </c>
      <c r="B889" s="7">
        <v>40758</v>
      </c>
      <c r="C889" s="1">
        <v>5</v>
      </c>
      <c r="D889" s="1">
        <v>263</v>
      </c>
      <c r="E889" s="1">
        <v>2</v>
      </c>
      <c r="F889" s="1">
        <v>84</v>
      </c>
      <c r="R889" s="1">
        <v>1</v>
      </c>
      <c r="T889" s="1">
        <v>1</v>
      </c>
    </row>
    <row r="890" spans="1:70" x14ac:dyDescent="0.3">
      <c r="A890" s="1" t="s">
        <v>41</v>
      </c>
      <c r="B890" s="7">
        <v>40758</v>
      </c>
      <c r="C890" s="1">
        <v>5</v>
      </c>
      <c r="D890" s="1">
        <v>263</v>
      </c>
      <c r="E890" s="1">
        <v>2</v>
      </c>
      <c r="F890" s="1">
        <v>85</v>
      </c>
      <c r="T890" s="1">
        <v>1</v>
      </c>
      <c r="BI890" s="1">
        <v>1</v>
      </c>
      <c r="BP890" s="1">
        <v>1</v>
      </c>
    </row>
    <row r="891" spans="1:70" x14ac:dyDescent="0.3">
      <c r="A891" s="1" t="s">
        <v>41</v>
      </c>
      <c r="B891" s="7">
        <v>40758</v>
      </c>
      <c r="C891" s="1">
        <v>5</v>
      </c>
      <c r="D891" s="1">
        <v>263</v>
      </c>
      <c r="E891" s="1">
        <v>2</v>
      </c>
      <c r="F891" s="1">
        <v>86</v>
      </c>
      <c r="R891" s="1">
        <v>1</v>
      </c>
      <c r="AF891" s="1">
        <v>1</v>
      </c>
      <c r="BE891" s="1">
        <v>1</v>
      </c>
      <c r="BP891" s="1">
        <v>1</v>
      </c>
    </row>
    <row r="892" spans="1:70" x14ac:dyDescent="0.3">
      <c r="A892" s="1" t="s">
        <v>41</v>
      </c>
      <c r="B892" s="7">
        <v>40758</v>
      </c>
      <c r="C892" s="1">
        <v>5</v>
      </c>
      <c r="D892" s="1">
        <v>263</v>
      </c>
      <c r="E892" s="1">
        <v>2</v>
      </c>
      <c r="F892" s="1">
        <v>87</v>
      </c>
      <c r="R892" s="1">
        <v>1</v>
      </c>
      <c r="BR892" s="1">
        <v>1</v>
      </c>
    </row>
    <row r="893" spans="1:70" x14ac:dyDescent="0.3">
      <c r="A893" s="1" t="s">
        <v>41</v>
      </c>
      <c r="B893" s="7">
        <v>40758</v>
      </c>
      <c r="C893" s="1">
        <v>5</v>
      </c>
      <c r="D893" s="1">
        <v>263</v>
      </c>
      <c r="E893" s="1">
        <v>2</v>
      </c>
      <c r="F893" s="1">
        <v>88</v>
      </c>
      <c r="R893" s="1">
        <v>1</v>
      </c>
      <c r="T893" s="1">
        <v>1</v>
      </c>
    </row>
    <row r="894" spans="1:70" x14ac:dyDescent="0.3">
      <c r="A894" s="1" t="s">
        <v>41</v>
      </c>
      <c r="B894" s="7">
        <v>40758</v>
      </c>
      <c r="C894" s="1">
        <v>5</v>
      </c>
      <c r="D894" s="1">
        <v>263</v>
      </c>
      <c r="E894" s="1">
        <v>2</v>
      </c>
      <c r="F894" s="1">
        <v>89</v>
      </c>
      <c r="L894" s="1">
        <v>1</v>
      </c>
      <c r="T894" s="1">
        <v>1</v>
      </c>
    </row>
    <row r="895" spans="1:70" x14ac:dyDescent="0.3">
      <c r="A895" s="1" t="s">
        <v>41</v>
      </c>
      <c r="B895" s="7">
        <v>40758</v>
      </c>
      <c r="C895" s="1">
        <v>5</v>
      </c>
      <c r="D895" s="1">
        <v>263</v>
      </c>
      <c r="E895" s="1">
        <v>2</v>
      </c>
      <c r="F895" s="1">
        <v>90</v>
      </c>
      <c r="L895" s="1">
        <v>1</v>
      </c>
      <c r="R895" s="1">
        <v>1</v>
      </c>
      <c r="BR895" s="1">
        <v>1</v>
      </c>
    </row>
    <row r="896" spans="1:70" x14ac:dyDescent="0.3">
      <c r="A896" s="1" t="s">
        <v>41</v>
      </c>
      <c r="B896" s="7">
        <v>40758</v>
      </c>
      <c r="C896" s="1">
        <v>5</v>
      </c>
      <c r="D896" s="1">
        <v>263</v>
      </c>
      <c r="E896" s="1">
        <v>2</v>
      </c>
      <c r="F896" s="1">
        <v>91</v>
      </c>
      <c r="N896" s="1">
        <v>1</v>
      </c>
      <c r="R896" s="1">
        <v>1</v>
      </c>
      <c r="BI896" s="1">
        <v>1</v>
      </c>
    </row>
    <row r="897" spans="1:70" x14ac:dyDescent="0.3">
      <c r="A897" s="1" t="s">
        <v>41</v>
      </c>
      <c r="B897" s="7">
        <v>40758</v>
      </c>
      <c r="C897" s="1">
        <v>5</v>
      </c>
      <c r="D897" s="1">
        <v>263</v>
      </c>
      <c r="E897" s="1">
        <v>2</v>
      </c>
      <c r="F897" s="1">
        <v>92</v>
      </c>
      <c r="N897" s="1">
        <v>1</v>
      </c>
      <c r="T897" s="1">
        <v>1</v>
      </c>
      <c r="BP897" s="1">
        <v>1</v>
      </c>
    </row>
    <row r="898" spans="1:70" x14ac:dyDescent="0.3">
      <c r="A898" s="1" t="s">
        <v>41</v>
      </c>
      <c r="B898" s="7">
        <v>40758</v>
      </c>
      <c r="C898" s="1">
        <v>5</v>
      </c>
      <c r="D898" s="1">
        <v>263</v>
      </c>
      <c r="E898" s="1">
        <v>2</v>
      </c>
      <c r="F898" s="1">
        <v>93</v>
      </c>
      <c r="T898" s="1">
        <v>1</v>
      </c>
      <c r="AF898" s="1">
        <v>1</v>
      </c>
    </row>
    <row r="899" spans="1:70" x14ac:dyDescent="0.3">
      <c r="A899" s="1" t="s">
        <v>41</v>
      </c>
      <c r="B899" s="7">
        <v>40758</v>
      </c>
      <c r="C899" s="1">
        <v>5</v>
      </c>
      <c r="D899" s="1">
        <v>263</v>
      </c>
      <c r="E899" s="1">
        <v>2</v>
      </c>
      <c r="F899" s="1">
        <v>94</v>
      </c>
      <c r="R899" s="1">
        <v>1</v>
      </c>
    </row>
    <row r="900" spans="1:70" x14ac:dyDescent="0.3">
      <c r="A900" s="1" t="s">
        <v>41</v>
      </c>
      <c r="B900" s="7">
        <v>40758</v>
      </c>
      <c r="C900" s="1">
        <v>5</v>
      </c>
      <c r="D900" s="1">
        <v>263</v>
      </c>
      <c r="E900" s="1">
        <v>2</v>
      </c>
      <c r="F900" s="1">
        <v>95</v>
      </c>
      <c r="R900" s="1">
        <v>1</v>
      </c>
      <c r="BE900" s="1">
        <v>1</v>
      </c>
    </row>
    <row r="901" spans="1:70" x14ac:dyDescent="0.3">
      <c r="A901" s="1" t="s">
        <v>41</v>
      </c>
      <c r="B901" s="7">
        <v>40758</v>
      </c>
      <c r="C901" s="1">
        <v>5</v>
      </c>
      <c r="D901" s="1">
        <v>263</v>
      </c>
      <c r="E901" s="1">
        <v>2</v>
      </c>
      <c r="F901" s="1">
        <v>96</v>
      </c>
      <c r="R901" s="1">
        <v>1</v>
      </c>
      <c r="BR901" s="1">
        <v>1</v>
      </c>
    </row>
    <row r="902" spans="1:70" x14ac:dyDescent="0.3">
      <c r="A902" s="1" t="s">
        <v>41</v>
      </c>
      <c r="B902" s="7">
        <v>40758</v>
      </c>
      <c r="C902" s="1">
        <v>5</v>
      </c>
      <c r="D902" s="1">
        <v>263</v>
      </c>
      <c r="E902" s="1">
        <v>2</v>
      </c>
      <c r="F902" s="1">
        <v>97</v>
      </c>
      <c r="T902" s="1">
        <v>1</v>
      </c>
      <c r="AM902" s="1">
        <v>1</v>
      </c>
    </row>
    <row r="903" spans="1:70" x14ac:dyDescent="0.3">
      <c r="A903" s="1" t="s">
        <v>41</v>
      </c>
      <c r="B903" s="7">
        <v>40758</v>
      </c>
      <c r="C903" s="1">
        <v>5</v>
      </c>
      <c r="D903" s="1">
        <v>263</v>
      </c>
      <c r="E903" s="1">
        <v>2</v>
      </c>
      <c r="F903" s="1">
        <v>98</v>
      </c>
      <c r="R903" s="3">
        <v>0</v>
      </c>
      <c r="S903" s="3">
        <v>1</v>
      </c>
      <c r="AS903" s="1">
        <v>1</v>
      </c>
    </row>
    <row r="904" spans="1:70" x14ac:dyDescent="0.3">
      <c r="A904" s="1" t="s">
        <v>41</v>
      </c>
      <c r="B904" s="7">
        <v>40758</v>
      </c>
      <c r="C904" s="1">
        <v>5</v>
      </c>
      <c r="D904" s="1">
        <v>263</v>
      </c>
      <c r="E904" s="1">
        <v>2</v>
      </c>
      <c r="F904" s="1">
        <v>99</v>
      </c>
      <c r="BE904" s="1">
        <v>1</v>
      </c>
      <c r="BP904" s="1">
        <v>1</v>
      </c>
    </row>
    <row r="905" spans="1:70" x14ac:dyDescent="0.3">
      <c r="A905" s="1" t="s">
        <v>41</v>
      </c>
      <c r="B905" s="7">
        <v>40758</v>
      </c>
      <c r="C905" s="1">
        <v>5</v>
      </c>
      <c r="D905" s="1">
        <v>263</v>
      </c>
      <c r="E905" s="1">
        <v>2</v>
      </c>
      <c r="F905" s="1">
        <v>100</v>
      </c>
      <c r="R905" s="1">
        <v>1</v>
      </c>
      <c r="AI905" s="1">
        <v>1</v>
      </c>
      <c r="AS905" s="1">
        <v>1</v>
      </c>
    </row>
    <row r="906" spans="1:70" x14ac:dyDescent="0.3">
      <c r="A906" s="1" t="s">
        <v>41</v>
      </c>
      <c r="B906" s="7">
        <v>40758</v>
      </c>
      <c r="C906" s="1" t="s">
        <v>39</v>
      </c>
      <c r="D906" s="1" t="s">
        <v>39</v>
      </c>
      <c r="E906" s="1" t="s">
        <v>39</v>
      </c>
      <c r="F906" s="1">
        <v>1</v>
      </c>
      <c r="J906" s="1">
        <v>1</v>
      </c>
      <c r="BK906" s="1">
        <v>1</v>
      </c>
    </row>
    <row r="907" spans="1:70" x14ac:dyDescent="0.3">
      <c r="A907" s="1" t="s">
        <v>41</v>
      </c>
      <c r="B907" s="7">
        <v>40758</v>
      </c>
      <c r="C907" s="1" t="s">
        <v>39</v>
      </c>
      <c r="D907" s="1" t="s">
        <v>39</v>
      </c>
      <c r="E907" s="1" t="s">
        <v>39</v>
      </c>
      <c r="F907" s="1">
        <v>2</v>
      </c>
      <c r="J907" s="1">
        <v>1</v>
      </c>
    </row>
    <row r="908" spans="1:70" x14ac:dyDescent="0.3">
      <c r="A908" s="1" t="s">
        <v>41</v>
      </c>
      <c r="B908" s="7">
        <v>40758</v>
      </c>
      <c r="C908" s="1" t="s">
        <v>39</v>
      </c>
      <c r="D908" s="1" t="s">
        <v>39</v>
      </c>
      <c r="E908" s="1" t="s">
        <v>39</v>
      </c>
      <c r="F908" s="1">
        <v>3</v>
      </c>
      <c r="J908" s="1">
        <v>1</v>
      </c>
      <c r="BG908" s="3">
        <v>0</v>
      </c>
      <c r="BH908" s="3">
        <v>1</v>
      </c>
    </row>
    <row r="909" spans="1:70" x14ac:dyDescent="0.3">
      <c r="A909" s="1" t="s">
        <v>41</v>
      </c>
      <c r="B909" s="7">
        <v>40758</v>
      </c>
      <c r="C909" s="1" t="s">
        <v>39</v>
      </c>
      <c r="D909" s="1" t="s">
        <v>39</v>
      </c>
      <c r="E909" s="1" t="s">
        <v>39</v>
      </c>
      <c r="F909" s="1">
        <v>4</v>
      </c>
      <c r="J909" s="3">
        <v>0</v>
      </c>
      <c r="K909" s="3">
        <v>1</v>
      </c>
    </row>
    <row r="910" spans="1:70" x14ac:dyDescent="0.3">
      <c r="A910" s="1" t="s">
        <v>41</v>
      </c>
      <c r="B910" s="7">
        <v>40758</v>
      </c>
      <c r="C910" s="1" t="s">
        <v>39</v>
      </c>
      <c r="D910" s="1" t="s">
        <v>39</v>
      </c>
      <c r="E910" s="1" t="s">
        <v>39</v>
      </c>
      <c r="F910" s="1">
        <v>5</v>
      </c>
      <c r="J910" s="1">
        <v>1</v>
      </c>
      <c r="AS910" s="1">
        <v>1</v>
      </c>
      <c r="BR910" s="1">
        <v>1</v>
      </c>
    </row>
    <row r="911" spans="1:70" x14ac:dyDescent="0.3">
      <c r="A911" s="1" t="s">
        <v>41</v>
      </c>
      <c r="B911" s="7">
        <v>40758</v>
      </c>
      <c r="C911" s="1" t="s">
        <v>39</v>
      </c>
      <c r="D911" s="1" t="s">
        <v>39</v>
      </c>
      <c r="E911" s="1" t="s">
        <v>39</v>
      </c>
      <c r="F911" s="1">
        <v>6</v>
      </c>
      <c r="T911" s="1">
        <v>1</v>
      </c>
      <c r="BG911" s="3">
        <v>0</v>
      </c>
      <c r="BH911" s="3">
        <v>1</v>
      </c>
    </row>
    <row r="912" spans="1:70" x14ac:dyDescent="0.3">
      <c r="A912" s="1" t="s">
        <v>41</v>
      </c>
      <c r="B912" s="7">
        <v>40758</v>
      </c>
      <c r="C912" s="1" t="s">
        <v>39</v>
      </c>
      <c r="D912" s="1" t="s">
        <v>39</v>
      </c>
      <c r="E912" s="1" t="s">
        <v>39</v>
      </c>
      <c r="F912" s="1">
        <v>7</v>
      </c>
      <c r="J912" s="1">
        <v>1</v>
      </c>
      <c r="T912" s="1">
        <v>1</v>
      </c>
    </row>
    <row r="913" spans="1:70" x14ac:dyDescent="0.3">
      <c r="A913" s="1" t="s">
        <v>41</v>
      </c>
      <c r="B913" s="7">
        <v>40758</v>
      </c>
      <c r="C913" s="1" t="s">
        <v>39</v>
      </c>
      <c r="D913" s="1" t="s">
        <v>39</v>
      </c>
      <c r="E913" s="1" t="s">
        <v>39</v>
      </c>
      <c r="F913" s="1">
        <v>8</v>
      </c>
      <c r="J913" s="3">
        <v>0</v>
      </c>
      <c r="K913" s="3">
        <v>1</v>
      </c>
    </row>
    <row r="914" spans="1:70" x14ac:dyDescent="0.3">
      <c r="A914" s="1" t="s">
        <v>41</v>
      </c>
      <c r="B914" s="7">
        <v>40758</v>
      </c>
      <c r="C914" s="1" t="s">
        <v>39</v>
      </c>
      <c r="D914" s="1" t="s">
        <v>39</v>
      </c>
      <c r="E914" s="1" t="s">
        <v>39</v>
      </c>
      <c r="F914" s="1">
        <v>9</v>
      </c>
      <c r="J914" s="1">
        <v>1</v>
      </c>
    </row>
    <row r="915" spans="1:70" x14ac:dyDescent="0.3">
      <c r="A915" s="1" t="s">
        <v>41</v>
      </c>
      <c r="B915" s="7">
        <v>40758</v>
      </c>
      <c r="C915" s="1" t="s">
        <v>39</v>
      </c>
      <c r="D915" s="1" t="s">
        <v>39</v>
      </c>
      <c r="E915" s="1" t="s">
        <v>39</v>
      </c>
      <c r="F915" s="1">
        <v>10</v>
      </c>
      <c r="J915" s="1">
        <v>1</v>
      </c>
      <c r="T915" s="1">
        <v>1</v>
      </c>
    </row>
    <row r="916" spans="1:70" x14ac:dyDescent="0.3">
      <c r="A916" s="1" t="s">
        <v>41</v>
      </c>
      <c r="B916" s="7">
        <v>40758</v>
      </c>
      <c r="C916" s="1" t="s">
        <v>39</v>
      </c>
      <c r="D916" s="1" t="s">
        <v>39</v>
      </c>
      <c r="E916" s="1" t="s">
        <v>39</v>
      </c>
      <c r="F916" s="1">
        <v>11</v>
      </c>
      <c r="J916" s="1">
        <v>1</v>
      </c>
    </row>
    <row r="917" spans="1:70" x14ac:dyDescent="0.3">
      <c r="A917" s="1" t="s">
        <v>41</v>
      </c>
      <c r="B917" s="7">
        <v>40758</v>
      </c>
      <c r="C917" s="1" t="s">
        <v>39</v>
      </c>
      <c r="D917" s="1" t="s">
        <v>39</v>
      </c>
      <c r="E917" s="1" t="s">
        <v>39</v>
      </c>
      <c r="F917" s="1">
        <v>12</v>
      </c>
      <c r="J917" s="1">
        <v>1</v>
      </c>
    </row>
    <row r="918" spans="1:70" x14ac:dyDescent="0.3">
      <c r="A918" s="1" t="s">
        <v>41</v>
      </c>
      <c r="B918" s="7">
        <v>40758</v>
      </c>
      <c r="C918" s="1" t="s">
        <v>39</v>
      </c>
      <c r="D918" s="1" t="s">
        <v>39</v>
      </c>
      <c r="E918" s="1" t="s">
        <v>39</v>
      </c>
      <c r="F918" s="1">
        <v>13</v>
      </c>
      <c r="J918" s="3">
        <v>0</v>
      </c>
      <c r="K918" s="3">
        <v>1</v>
      </c>
    </row>
    <row r="919" spans="1:70" x14ac:dyDescent="0.3">
      <c r="A919" s="1" t="s">
        <v>41</v>
      </c>
      <c r="B919" s="7">
        <v>40758</v>
      </c>
      <c r="C919" s="1" t="s">
        <v>39</v>
      </c>
      <c r="D919" s="1" t="s">
        <v>39</v>
      </c>
      <c r="E919" s="1" t="s">
        <v>39</v>
      </c>
      <c r="F919" s="1">
        <v>14</v>
      </c>
      <c r="J919" s="3">
        <v>0</v>
      </c>
      <c r="K919" s="3">
        <v>1</v>
      </c>
      <c r="AS919" s="1">
        <v>1</v>
      </c>
    </row>
    <row r="920" spans="1:70" x14ac:dyDescent="0.3">
      <c r="A920" s="1" t="s">
        <v>41</v>
      </c>
      <c r="B920" s="7">
        <v>40758</v>
      </c>
      <c r="C920" s="1" t="s">
        <v>39</v>
      </c>
      <c r="D920" s="1" t="s">
        <v>39</v>
      </c>
      <c r="E920" s="1" t="s">
        <v>39</v>
      </c>
      <c r="F920" s="1">
        <v>15</v>
      </c>
      <c r="J920" s="1">
        <v>1</v>
      </c>
    </row>
    <row r="921" spans="1:70" x14ac:dyDescent="0.3">
      <c r="A921" s="1" t="s">
        <v>41</v>
      </c>
      <c r="B921" s="7">
        <v>40758</v>
      </c>
      <c r="C921" s="1" t="s">
        <v>39</v>
      </c>
      <c r="D921" s="1" t="s">
        <v>39</v>
      </c>
      <c r="E921" s="1" t="s">
        <v>39</v>
      </c>
      <c r="F921" s="1">
        <v>16</v>
      </c>
    </row>
    <row r="922" spans="1:70" x14ac:dyDescent="0.3">
      <c r="A922" s="1" t="s">
        <v>41</v>
      </c>
      <c r="B922" s="7">
        <v>40758</v>
      </c>
      <c r="C922" s="1" t="s">
        <v>39</v>
      </c>
      <c r="D922" s="1" t="s">
        <v>39</v>
      </c>
      <c r="E922" s="1" t="s">
        <v>39</v>
      </c>
      <c r="F922" s="1">
        <v>17</v>
      </c>
      <c r="J922" s="1">
        <v>1</v>
      </c>
    </row>
    <row r="923" spans="1:70" x14ac:dyDescent="0.3">
      <c r="A923" s="1" t="s">
        <v>41</v>
      </c>
      <c r="B923" s="7">
        <v>40758</v>
      </c>
      <c r="C923" s="1" t="s">
        <v>39</v>
      </c>
      <c r="D923" s="1" t="s">
        <v>39</v>
      </c>
      <c r="E923" s="1" t="s">
        <v>39</v>
      </c>
      <c r="F923" s="1">
        <v>18</v>
      </c>
      <c r="J923" s="1">
        <v>1</v>
      </c>
      <c r="N923" s="1">
        <v>1</v>
      </c>
      <c r="BK923" s="1">
        <v>1</v>
      </c>
    </row>
    <row r="924" spans="1:70" x14ac:dyDescent="0.3">
      <c r="A924" s="1" t="s">
        <v>41</v>
      </c>
      <c r="B924" s="7">
        <v>40758</v>
      </c>
      <c r="C924" s="1" t="s">
        <v>39</v>
      </c>
      <c r="D924" s="1" t="s">
        <v>39</v>
      </c>
      <c r="E924" s="1" t="s">
        <v>39</v>
      </c>
      <c r="F924" s="1">
        <v>19</v>
      </c>
      <c r="J924" s="3">
        <v>0</v>
      </c>
      <c r="K924" s="3">
        <v>1</v>
      </c>
    </row>
    <row r="925" spans="1:70" x14ac:dyDescent="0.3">
      <c r="A925" s="1" t="s">
        <v>41</v>
      </c>
      <c r="B925" s="7">
        <v>40758</v>
      </c>
      <c r="C925" s="1" t="s">
        <v>39</v>
      </c>
      <c r="D925" s="1" t="s">
        <v>39</v>
      </c>
      <c r="E925" s="1" t="s">
        <v>39</v>
      </c>
      <c r="F925" s="1">
        <v>20</v>
      </c>
      <c r="J925" s="1">
        <v>1</v>
      </c>
      <c r="BK925" s="1">
        <v>1</v>
      </c>
      <c r="BR925" s="1">
        <v>1</v>
      </c>
    </row>
    <row r="926" spans="1:70" x14ac:dyDescent="0.3">
      <c r="A926" s="1" t="s">
        <v>41</v>
      </c>
      <c r="B926" s="7">
        <v>40758</v>
      </c>
      <c r="C926" s="1" t="s">
        <v>39</v>
      </c>
      <c r="D926" s="1" t="s">
        <v>39</v>
      </c>
      <c r="E926" s="1" t="s">
        <v>39</v>
      </c>
      <c r="F926" s="1">
        <v>21</v>
      </c>
      <c r="J926" s="1">
        <v>1</v>
      </c>
      <c r="BK926" s="1">
        <v>1</v>
      </c>
    </row>
    <row r="927" spans="1:70" x14ac:dyDescent="0.3">
      <c r="A927" s="1" t="s">
        <v>41</v>
      </c>
      <c r="B927" s="7">
        <v>40758</v>
      </c>
      <c r="C927" s="1" t="s">
        <v>39</v>
      </c>
      <c r="D927" s="1" t="s">
        <v>39</v>
      </c>
      <c r="E927" s="1" t="s">
        <v>39</v>
      </c>
      <c r="F927" s="1">
        <v>22</v>
      </c>
      <c r="J927" s="1">
        <v>1</v>
      </c>
    </row>
    <row r="928" spans="1:70" x14ac:dyDescent="0.3">
      <c r="A928" s="1" t="s">
        <v>41</v>
      </c>
      <c r="B928" s="7">
        <v>40758</v>
      </c>
      <c r="C928" s="1" t="s">
        <v>39</v>
      </c>
      <c r="D928" s="1" t="s">
        <v>39</v>
      </c>
      <c r="E928" s="1" t="s">
        <v>39</v>
      </c>
      <c r="F928" s="1">
        <v>23</v>
      </c>
      <c r="J928" s="1">
        <v>1</v>
      </c>
    </row>
    <row r="929" spans="1:63" x14ac:dyDescent="0.3">
      <c r="A929" s="1" t="s">
        <v>41</v>
      </c>
      <c r="B929" s="7">
        <v>40758</v>
      </c>
      <c r="C929" s="1" t="s">
        <v>39</v>
      </c>
      <c r="D929" s="1" t="s">
        <v>39</v>
      </c>
      <c r="E929" s="1" t="s">
        <v>39</v>
      </c>
      <c r="F929" s="1">
        <v>24</v>
      </c>
      <c r="J929" s="3">
        <v>0</v>
      </c>
      <c r="K929" s="3">
        <v>1</v>
      </c>
      <c r="N929" s="1">
        <v>1</v>
      </c>
    </row>
    <row r="930" spans="1:63" x14ac:dyDescent="0.3">
      <c r="A930" s="1" t="s">
        <v>41</v>
      </c>
      <c r="B930" s="7">
        <v>40758</v>
      </c>
      <c r="C930" s="1" t="s">
        <v>39</v>
      </c>
      <c r="D930" s="1" t="s">
        <v>39</v>
      </c>
      <c r="E930" s="1" t="s">
        <v>39</v>
      </c>
      <c r="F930" s="1">
        <v>25</v>
      </c>
      <c r="J930" s="1">
        <v>1</v>
      </c>
    </row>
    <row r="931" spans="1:63" x14ac:dyDescent="0.3">
      <c r="A931" s="1" t="s">
        <v>41</v>
      </c>
      <c r="B931" s="7">
        <v>40758</v>
      </c>
      <c r="C931" s="1" t="s">
        <v>39</v>
      </c>
      <c r="D931" s="1" t="s">
        <v>39</v>
      </c>
      <c r="E931" s="1" t="s">
        <v>39</v>
      </c>
      <c r="F931" s="1">
        <v>26</v>
      </c>
    </row>
    <row r="932" spans="1:63" x14ac:dyDescent="0.3">
      <c r="A932" s="1" t="s">
        <v>41</v>
      </c>
      <c r="B932" s="7">
        <v>40758</v>
      </c>
      <c r="C932" s="1" t="s">
        <v>39</v>
      </c>
      <c r="D932" s="1" t="s">
        <v>39</v>
      </c>
      <c r="E932" s="1" t="s">
        <v>39</v>
      </c>
      <c r="F932" s="1">
        <v>27</v>
      </c>
      <c r="BG932" s="3">
        <v>0</v>
      </c>
      <c r="BH932" s="3">
        <v>1</v>
      </c>
      <c r="BK932" s="1">
        <v>1</v>
      </c>
    </row>
    <row r="933" spans="1:63" x14ac:dyDescent="0.3">
      <c r="A933" s="1" t="s">
        <v>41</v>
      </c>
      <c r="B933" s="7">
        <v>40758</v>
      </c>
      <c r="C933" s="1" t="s">
        <v>39</v>
      </c>
      <c r="D933" s="1" t="s">
        <v>39</v>
      </c>
      <c r="E933" s="1" t="s">
        <v>39</v>
      </c>
      <c r="F933" s="1">
        <v>28</v>
      </c>
      <c r="J933" s="1">
        <v>1</v>
      </c>
    </row>
    <row r="934" spans="1:63" x14ac:dyDescent="0.3">
      <c r="A934" s="1" t="s">
        <v>41</v>
      </c>
      <c r="B934" s="7">
        <v>40758</v>
      </c>
      <c r="C934" s="1" t="s">
        <v>39</v>
      </c>
      <c r="D934" s="1" t="s">
        <v>39</v>
      </c>
      <c r="E934" s="1" t="s">
        <v>39</v>
      </c>
      <c r="F934" s="1">
        <v>29</v>
      </c>
      <c r="J934" s="3">
        <v>0</v>
      </c>
      <c r="K934" s="3">
        <v>1</v>
      </c>
    </row>
    <row r="935" spans="1:63" x14ac:dyDescent="0.3">
      <c r="A935" s="1" t="s">
        <v>41</v>
      </c>
      <c r="B935" s="7">
        <v>40758</v>
      </c>
      <c r="C935" s="1" t="s">
        <v>39</v>
      </c>
      <c r="D935" s="1" t="s">
        <v>39</v>
      </c>
      <c r="E935" s="1" t="s">
        <v>39</v>
      </c>
      <c r="F935" s="1">
        <v>30</v>
      </c>
      <c r="J935" s="1">
        <v>1</v>
      </c>
    </row>
    <row r="936" spans="1:63" x14ac:dyDescent="0.3">
      <c r="A936" s="1" t="s">
        <v>41</v>
      </c>
      <c r="B936" s="7">
        <v>40758</v>
      </c>
      <c r="C936" s="1" t="s">
        <v>39</v>
      </c>
      <c r="D936" s="1" t="s">
        <v>39</v>
      </c>
      <c r="E936" s="1" t="s">
        <v>39</v>
      </c>
      <c r="F936" s="1">
        <v>31</v>
      </c>
      <c r="J936" s="1">
        <v>1</v>
      </c>
    </row>
    <row r="937" spans="1:63" x14ac:dyDescent="0.3">
      <c r="A937" s="1" t="s">
        <v>41</v>
      </c>
      <c r="B937" s="7">
        <v>40758</v>
      </c>
      <c r="C937" s="1" t="s">
        <v>39</v>
      </c>
      <c r="D937" s="1" t="s">
        <v>39</v>
      </c>
      <c r="E937" s="1" t="s">
        <v>39</v>
      </c>
      <c r="F937" s="1">
        <v>32</v>
      </c>
      <c r="J937" s="3">
        <v>0</v>
      </c>
      <c r="K937" s="3">
        <v>1</v>
      </c>
    </row>
    <row r="938" spans="1:63" x14ac:dyDescent="0.3">
      <c r="A938" s="1" t="s">
        <v>41</v>
      </c>
      <c r="B938" s="7">
        <v>40758</v>
      </c>
      <c r="C938" s="1" t="s">
        <v>39</v>
      </c>
      <c r="D938" s="1" t="s">
        <v>39</v>
      </c>
      <c r="E938" s="1" t="s">
        <v>39</v>
      </c>
      <c r="F938" s="1">
        <v>33</v>
      </c>
      <c r="J938" s="3">
        <v>0</v>
      </c>
      <c r="K938" s="3">
        <v>1</v>
      </c>
      <c r="AI938" s="3">
        <v>0</v>
      </c>
      <c r="AJ938" s="3">
        <v>1</v>
      </c>
      <c r="AS938" s="1">
        <v>1</v>
      </c>
    </row>
    <row r="939" spans="1:63" x14ac:dyDescent="0.3">
      <c r="A939" s="1" t="s">
        <v>41</v>
      </c>
      <c r="B939" s="7">
        <v>40758</v>
      </c>
      <c r="C939" s="1" t="s">
        <v>39</v>
      </c>
      <c r="D939" s="1" t="s">
        <v>39</v>
      </c>
      <c r="E939" s="1" t="s">
        <v>39</v>
      </c>
      <c r="F939" s="1">
        <v>34</v>
      </c>
      <c r="J939" s="3">
        <v>0</v>
      </c>
      <c r="K939" s="3">
        <v>1</v>
      </c>
    </row>
    <row r="940" spans="1:63" x14ac:dyDescent="0.3">
      <c r="A940" s="1" t="s">
        <v>41</v>
      </c>
      <c r="B940" s="7">
        <v>40758</v>
      </c>
      <c r="C940" s="1" t="s">
        <v>39</v>
      </c>
      <c r="D940" s="1" t="s">
        <v>39</v>
      </c>
      <c r="E940" s="1" t="s">
        <v>39</v>
      </c>
      <c r="F940" s="1">
        <v>35</v>
      </c>
      <c r="J940" s="1">
        <v>1</v>
      </c>
      <c r="BK940" s="1">
        <v>1</v>
      </c>
    </row>
    <row r="941" spans="1:63" x14ac:dyDescent="0.3">
      <c r="A941" s="1" t="s">
        <v>41</v>
      </c>
      <c r="B941" s="7">
        <v>40758</v>
      </c>
      <c r="C941" s="1" t="s">
        <v>39</v>
      </c>
      <c r="D941" s="1" t="s">
        <v>39</v>
      </c>
      <c r="E941" s="1" t="s">
        <v>39</v>
      </c>
      <c r="F941" s="1">
        <v>36</v>
      </c>
      <c r="J941" s="1">
        <v>1</v>
      </c>
      <c r="BK941" s="1">
        <v>1</v>
      </c>
    </row>
    <row r="942" spans="1:63" x14ac:dyDescent="0.3">
      <c r="A942" s="1" t="s">
        <v>41</v>
      </c>
      <c r="B942" s="7">
        <v>40758</v>
      </c>
      <c r="C942" s="1" t="s">
        <v>39</v>
      </c>
      <c r="D942" s="1" t="s">
        <v>39</v>
      </c>
      <c r="E942" s="1" t="s">
        <v>39</v>
      </c>
      <c r="F942" s="1">
        <v>37</v>
      </c>
      <c r="J942" s="1">
        <v>1</v>
      </c>
      <c r="N942" s="1">
        <v>1</v>
      </c>
    </row>
    <row r="943" spans="1:63" x14ac:dyDescent="0.3">
      <c r="A943" s="1" t="s">
        <v>41</v>
      </c>
      <c r="B943" s="7">
        <v>40758</v>
      </c>
      <c r="C943" s="1" t="s">
        <v>39</v>
      </c>
      <c r="D943" s="1" t="s">
        <v>39</v>
      </c>
      <c r="E943" s="1" t="s">
        <v>39</v>
      </c>
      <c r="F943" s="1">
        <v>38</v>
      </c>
      <c r="N943" s="1">
        <v>1</v>
      </c>
      <c r="BI943" s="1">
        <v>1</v>
      </c>
    </row>
    <row r="944" spans="1:63" x14ac:dyDescent="0.3">
      <c r="A944" s="1" t="s">
        <v>41</v>
      </c>
      <c r="B944" s="7">
        <v>40758</v>
      </c>
      <c r="C944" s="1" t="s">
        <v>39</v>
      </c>
      <c r="D944" s="1" t="s">
        <v>39</v>
      </c>
      <c r="E944" s="1" t="s">
        <v>39</v>
      </c>
      <c r="F944" s="1">
        <v>39</v>
      </c>
      <c r="J944" s="1">
        <v>1</v>
      </c>
    </row>
    <row r="945" spans="1:63" x14ac:dyDescent="0.3">
      <c r="A945" s="1" t="s">
        <v>41</v>
      </c>
      <c r="B945" s="7">
        <v>40758</v>
      </c>
      <c r="C945" s="1" t="s">
        <v>39</v>
      </c>
      <c r="D945" s="1" t="s">
        <v>39</v>
      </c>
      <c r="E945" s="1" t="s">
        <v>39</v>
      </c>
      <c r="F945" s="1">
        <v>40</v>
      </c>
      <c r="J945" s="1">
        <v>1</v>
      </c>
    </row>
    <row r="946" spans="1:63" x14ac:dyDescent="0.3">
      <c r="A946" s="1" t="s">
        <v>41</v>
      </c>
      <c r="B946" s="7">
        <v>40758</v>
      </c>
      <c r="C946" s="1" t="s">
        <v>39</v>
      </c>
      <c r="D946" s="1" t="s">
        <v>39</v>
      </c>
      <c r="E946" s="1" t="s">
        <v>39</v>
      </c>
      <c r="F946" s="1">
        <v>41</v>
      </c>
      <c r="J946" s="1">
        <v>1</v>
      </c>
      <c r="R946" s="1">
        <v>1</v>
      </c>
    </row>
    <row r="947" spans="1:63" x14ac:dyDescent="0.3">
      <c r="A947" s="1" t="s">
        <v>41</v>
      </c>
      <c r="B947" s="7">
        <v>40758</v>
      </c>
      <c r="C947" s="1" t="s">
        <v>39</v>
      </c>
      <c r="D947" s="1" t="s">
        <v>39</v>
      </c>
      <c r="E947" s="1" t="s">
        <v>39</v>
      </c>
      <c r="F947" s="1">
        <v>42</v>
      </c>
      <c r="J947" s="1">
        <v>1</v>
      </c>
    </row>
    <row r="948" spans="1:63" x14ac:dyDescent="0.3">
      <c r="A948" s="1" t="s">
        <v>41</v>
      </c>
      <c r="B948" s="7">
        <v>40758</v>
      </c>
      <c r="C948" s="1" t="s">
        <v>39</v>
      </c>
      <c r="D948" s="1" t="s">
        <v>39</v>
      </c>
      <c r="E948" s="1" t="s">
        <v>39</v>
      </c>
      <c r="F948" s="1">
        <v>43</v>
      </c>
      <c r="J948" s="1">
        <v>1</v>
      </c>
      <c r="BG948" s="1">
        <v>1</v>
      </c>
    </row>
    <row r="949" spans="1:63" x14ac:dyDescent="0.3">
      <c r="A949" s="1" t="s">
        <v>41</v>
      </c>
      <c r="B949" s="7">
        <v>40758</v>
      </c>
      <c r="C949" s="1" t="s">
        <v>39</v>
      </c>
      <c r="D949" s="1" t="s">
        <v>39</v>
      </c>
      <c r="E949" s="1" t="s">
        <v>39</v>
      </c>
      <c r="F949" s="1">
        <v>44</v>
      </c>
      <c r="J949" s="1">
        <v>1</v>
      </c>
      <c r="BI949" s="1">
        <v>1</v>
      </c>
    </row>
    <row r="950" spans="1:63" x14ac:dyDescent="0.3">
      <c r="A950" s="1" t="s">
        <v>41</v>
      </c>
      <c r="B950" s="7">
        <v>40758</v>
      </c>
      <c r="C950" s="1" t="s">
        <v>39</v>
      </c>
      <c r="D950" s="1" t="s">
        <v>39</v>
      </c>
      <c r="E950" s="1" t="s">
        <v>39</v>
      </c>
      <c r="F950" s="1">
        <v>45</v>
      </c>
      <c r="J950" s="1">
        <v>1</v>
      </c>
    </row>
    <row r="951" spans="1:63" x14ac:dyDescent="0.3">
      <c r="A951" s="1" t="s">
        <v>41</v>
      </c>
      <c r="B951" s="7">
        <v>40758</v>
      </c>
      <c r="C951" s="1" t="s">
        <v>39</v>
      </c>
      <c r="D951" s="1" t="s">
        <v>39</v>
      </c>
      <c r="E951" s="1" t="s">
        <v>39</v>
      </c>
      <c r="F951" s="1">
        <v>46</v>
      </c>
      <c r="N951" s="1">
        <v>1</v>
      </c>
      <c r="BK951" s="1">
        <v>1</v>
      </c>
    </row>
    <row r="952" spans="1:63" x14ac:dyDescent="0.3">
      <c r="A952" s="1" t="s">
        <v>41</v>
      </c>
      <c r="B952" s="7">
        <v>40758</v>
      </c>
      <c r="C952" s="1" t="s">
        <v>39</v>
      </c>
      <c r="D952" s="1" t="s">
        <v>39</v>
      </c>
      <c r="E952" s="1" t="s">
        <v>39</v>
      </c>
      <c r="F952" s="1">
        <v>47</v>
      </c>
      <c r="J952" s="1">
        <v>1</v>
      </c>
      <c r="AI952" s="1">
        <v>1</v>
      </c>
    </row>
    <row r="953" spans="1:63" x14ac:dyDescent="0.3">
      <c r="A953" s="1" t="s">
        <v>41</v>
      </c>
      <c r="B953" s="7">
        <v>40758</v>
      </c>
      <c r="C953" s="1" t="s">
        <v>39</v>
      </c>
      <c r="D953" s="1" t="s">
        <v>39</v>
      </c>
      <c r="E953" s="1" t="s">
        <v>39</v>
      </c>
      <c r="F953" s="1">
        <v>48</v>
      </c>
      <c r="J953" s="1">
        <v>1</v>
      </c>
    </row>
    <row r="954" spans="1:63" x14ac:dyDescent="0.3">
      <c r="A954" s="1" t="s">
        <v>41</v>
      </c>
      <c r="B954" s="7">
        <v>40758</v>
      </c>
      <c r="C954" s="1" t="s">
        <v>39</v>
      </c>
      <c r="D954" s="1" t="s">
        <v>39</v>
      </c>
      <c r="E954" s="1" t="s">
        <v>39</v>
      </c>
      <c r="F954" s="1">
        <v>49</v>
      </c>
      <c r="J954" s="1">
        <v>1</v>
      </c>
      <c r="R954" s="1">
        <v>1</v>
      </c>
    </row>
    <row r="955" spans="1:63" x14ac:dyDescent="0.3">
      <c r="A955" s="1" t="s">
        <v>41</v>
      </c>
      <c r="B955" s="7">
        <v>40758</v>
      </c>
      <c r="C955" s="1" t="s">
        <v>39</v>
      </c>
      <c r="D955" s="1" t="s">
        <v>39</v>
      </c>
      <c r="E955" s="1" t="s">
        <v>39</v>
      </c>
      <c r="F955" s="1">
        <v>50</v>
      </c>
      <c r="J955" s="1">
        <v>1</v>
      </c>
    </row>
    <row r="956" spans="1:63" x14ac:dyDescent="0.3">
      <c r="A956" s="1" t="s">
        <v>41</v>
      </c>
      <c r="B956" s="7">
        <v>40758</v>
      </c>
      <c r="C956" s="1" t="s">
        <v>39</v>
      </c>
      <c r="D956" s="1" t="s">
        <v>39</v>
      </c>
      <c r="E956" s="1" t="s">
        <v>39</v>
      </c>
      <c r="F956" s="1">
        <v>51</v>
      </c>
      <c r="J956" s="1">
        <v>1</v>
      </c>
    </row>
    <row r="957" spans="1:63" x14ac:dyDescent="0.3">
      <c r="A957" s="1" t="s">
        <v>41</v>
      </c>
      <c r="B957" s="7">
        <v>40758</v>
      </c>
      <c r="C957" s="1" t="s">
        <v>39</v>
      </c>
      <c r="D957" s="1" t="s">
        <v>39</v>
      </c>
      <c r="E957" s="1" t="s">
        <v>39</v>
      </c>
      <c r="F957" s="1">
        <v>52</v>
      </c>
      <c r="J957" s="1">
        <v>1</v>
      </c>
      <c r="BK957" s="1">
        <v>1</v>
      </c>
    </row>
    <row r="958" spans="1:63" x14ac:dyDescent="0.3">
      <c r="A958" s="1" t="s">
        <v>41</v>
      </c>
      <c r="B958" s="7">
        <v>40758</v>
      </c>
      <c r="C958" s="1" t="s">
        <v>39</v>
      </c>
      <c r="D958" s="1" t="s">
        <v>39</v>
      </c>
      <c r="E958" s="1" t="s">
        <v>39</v>
      </c>
      <c r="F958" s="1">
        <v>53</v>
      </c>
      <c r="J958" s="1">
        <v>1</v>
      </c>
    </row>
    <row r="959" spans="1:63" x14ac:dyDescent="0.3">
      <c r="A959" s="1" t="s">
        <v>41</v>
      </c>
      <c r="B959" s="7">
        <v>40758</v>
      </c>
      <c r="C959" s="1" t="s">
        <v>39</v>
      </c>
      <c r="D959" s="1" t="s">
        <v>39</v>
      </c>
      <c r="E959" s="1" t="s">
        <v>39</v>
      </c>
      <c r="F959" s="1">
        <v>54</v>
      </c>
      <c r="J959" s="1">
        <v>1</v>
      </c>
      <c r="R959" s="1">
        <v>1</v>
      </c>
    </row>
    <row r="960" spans="1:63" x14ac:dyDescent="0.3">
      <c r="A960" s="1" t="s">
        <v>41</v>
      </c>
      <c r="B960" s="7">
        <v>40758</v>
      </c>
      <c r="C960" s="1" t="s">
        <v>39</v>
      </c>
      <c r="D960" s="1" t="s">
        <v>39</v>
      </c>
      <c r="E960" s="1" t="s">
        <v>39</v>
      </c>
      <c r="F960" s="1">
        <v>55</v>
      </c>
      <c r="J960" s="1">
        <v>1</v>
      </c>
    </row>
    <row r="961" spans="1:63" x14ac:dyDescent="0.3">
      <c r="A961" s="1" t="s">
        <v>41</v>
      </c>
      <c r="B961" s="7">
        <v>40758</v>
      </c>
      <c r="C961" s="1" t="s">
        <v>39</v>
      </c>
      <c r="D961" s="1" t="s">
        <v>39</v>
      </c>
      <c r="E961" s="1" t="s">
        <v>39</v>
      </c>
      <c r="F961" s="1">
        <v>56</v>
      </c>
      <c r="J961" s="1">
        <v>1</v>
      </c>
      <c r="BG961" s="1">
        <v>1</v>
      </c>
    </row>
    <row r="962" spans="1:63" x14ac:dyDescent="0.3">
      <c r="A962" s="1" t="s">
        <v>41</v>
      </c>
      <c r="B962" s="7">
        <v>40758</v>
      </c>
      <c r="C962" s="1" t="s">
        <v>39</v>
      </c>
      <c r="D962" s="1" t="s">
        <v>39</v>
      </c>
      <c r="E962" s="1" t="s">
        <v>39</v>
      </c>
      <c r="F962" s="1">
        <v>57</v>
      </c>
      <c r="J962" s="1">
        <v>1</v>
      </c>
      <c r="L962" s="1">
        <v>1</v>
      </c>
    </row>
    <row r="963" spans="1:63" x14ac:dyDescent="0.3">
      <c r="A963" s="1" t="s">
        <v>41</v>
      </c>
      <c r="B963" s="7">
        <v>40758</v>
      </c>
      <c r="C963" s="1" t="s">
        <v>39</v>
      </c>
      <c r="D963" s="1" t="s">
        <v>39</v>
      </c>
      <c r="E963" s="1" t="s">
        <v>39</v>
      </c>
      <c r="F963" s="1">
        <v>58</v>
      </c>
      <c r="J963" s="1">
        <v>1</v>
      </c>
    </row>
    <row r="964" spans="1:63" x14ac:dyDescent="0.3">
      <c r="A964" s="1" t="s">
        <v>41</v>
      </c>
      <c r="B964" s="7">
        <v>40758</v>
      </c>
      <c r="C964" s="1" t="s">
        <v>39</v>
      </c>
      <c r="D964" s="1" t="s">
        <v>39</v>
      </c>
      <c r="E964" s="1" t="s">
        <v>39</v>
      </c>
      <c r="F964" s="1">
        <v>59</v>
      </c>
      <c r="J964" s="1">
        <v>1</v>
      </c>
    </row>
    <row r="965" spans="1:63" x14ac:dyDescent="0.3">
      <c r="A965" s="1" t="s">
        <v>41</v>
      </c>
      <c r="B965" s="7">
        <v>40758</v>
      </c>
      <c r="C965" s="1" t="s">
        <v>39</v>
      </c>
      <c r="D965" s="1" t="s">
        <v>39</v>
      </c>
      <c r="E965" s="1" t="s">
        <v>39</v>
      </c>
      <c r="F965" s="1">
        <v>60</v>
      </c>
      <c r="J965" s="1">
        <v>1</v>
      </c>
      <c r="T965" s="1">
        <v>1</v>
      </c>
    </row>
    <row r="966" spans="1:63" x14ac:dyDescent="0.3">
      <c r="A966" s="1" t="s">
        <v>41</v>
      </c>
      <c r="B966" s="7">
        <v>40758</v>
      </c>
      <c r="C966" s="1" t="s">
        <v>39</v>
      </c>
      <c r="D966" s="1" t="s">
        <v>39</v>
      </c>
      <c r="E966" s="1" t="s">
        <v>39</v>
      </c>
      <c r="F966" s="1">
        <v>61</v>
      </c>
      <c r="J966" s="3">
        <v>0</v>
      </c>
      <c r="K966" s="3">
        <v>1</v>
      </c>
    </row>
    <row r="967" spans="1:63" x14ac:dyDescent="0.3">
      <c r="A967" s="1" t="s">
        <v>41</v>
      </c>
      <c r="B967" s="7">
        <v>40758</v>
      </c>
      <c r="C967" s="1" t="s">
        <v>39</v>
      </c>
      <c r="D967" s="1" t="s">
        <v>39</v>
      </c>
      <c r="E967" s="1" t="s">
        <v>39</v>
      </c>
      <c r="F967" s="1">
        <v>62</v>
      </c>
      <c r="J967" s="1">
        <v>1</v>
      </c>
    </row>
    <row r="968" spans="1:63" x14ac:dyDescent="0.3">
      <c r="A968" s="1" t="s">
        <v>41</v>
      </c>
      <c r="B968" s="7">
        <v>40758</v>
      </c>
      <c r="C968" s="1" t="s">
        <v>39</v>
      </c>
      <c r="D968" s="1" t="s">
        <v>39</v>
      </c>
      <c r="E968" s="1" t="s">
        <v>39</v>
      </c>
      <c r="F968" s="1">
        <v>63</v>
      </c>
      <c r="J968" s="1">
        <v>1</v>
      </c>
      <c r="R968" s="1">
        <v>1</v>
      </c>
      <c r="AS968" s="1">
        <v>1</v>
      </c>
    </row>
    <row r="969" spans="1:63" x14ac:dyDescent="0.3">
      <c r="A969" s="1" t="s">
        <v>41</v>
      </c>
      <c r="B969" s="7">
        <v>40758</v>
      </c>
      <c r="C969" s="1" t="s">
        <v>39</v>
      </c>
      <c r="D969" s="1" t="s">
        <v>39</v>
      </c>
      <c r="E969" s="1" t="s">
        <v>39</v>
      </c>
      <c r="F969" s="1">
        <v>64</v>
      </c>
      <c r="J969" s="1">
        <v>1</v>
      </c>
      <c r="BK969" s="1">
        <v>1</v>
      </c>
    </row>
    <row r="970" spans="1:63" x14ac:dyDescent="0.3">
      <c r="A970" s="1" t="s">
        <v>41</v>
      </c>
      <c r="B970" s="7">
        <v>40758</v>
      </c>
      <c r="C970" s="1" t="s">
        <v>39</v>
      </c>
      <c r="D970" s="1" t="s">
        <v>39</v>
      </c>
      <c r="E970" s="1" t="s">
        <v>39</v>
      </c>
      <c r="F970" s="1">
        <v>65</v>
      </c>
      <c r="J970" s="1">
        <v>1</v>
      </c>
    </row>
    <row r="971" spans="1:63" x14ac:dyDescent="0.3">
      <c r="A971" s="1" t="s">
        <v>41</v>
      </c>
      <c r="B971" s="7">
        <v>40758</v>
      </c>
      <c r="C971" s="1" t="s">
        <v>39</v>
      </c>
      <c r="D971" s="1" t="s">
        <v>39</v>
      </c>
      <c r="E971" s="1" t="s">
        <v>39</v>
      </c>
      <c r="F971" s="1">
        <v>66</v>
      </c>
      <c r="J971" s="1">
        <v>1</v>
      </c>
    </row>
    <row r="972" spans="1:63" x14ac:dyDescent="0.3">
      <c r="A972" s="1" t="s">
        <v>41</v>
      </c>
      <c r="B972" s="7">
        <v>40758</v>
      </c>
      <c r="C972" s="1" t="s">
        <v>39</v>
      </c>
      <c r="D972" s="1" t="s">
        <v>39</v>
      </c>
      <c r="E972" s="1" t="s">
        <v>39</v>
      </c>
      <c r="F972" s="1">
        <v>67</v>
      </c>
      <c r="J972" s="1">
        <v>1</v>
      </c>
      <c r="BG972" s="1">
        <v>1</v>
      </c>
    </row>
    <row r="973" spans="1:63" x14ac:dyDescent="0.3">
      <c r="A973" s="1" t="s">
        <v>41</v>
      </c>
      <c r="B973" s="7">
        <v>40758</v>
      </c>
      <c r="C973" s="1" t="s">
        <v>39</v>
      </c>
      <c r="D973" s="1" t="s">
        <v>39</v>
      </c>
      <c r="E973" s="1" t="s">
        <v>39</v>
      </c>
      <c r="F973" s="1">
        <v>68</v>
      </c>
      <c r="J973" s="1">
        <v>1</v>
      </c>
    </row>
    <row r="974" spans="1:63" x14ac:dyDescent="0.3">
      <c r="A974" s="1" t="s">
        <v>41</v>
      </c>
      <c r="B974" s="7">
        <v>40758</v>
      </c>
      <c r="C974" s="1" t="s">
        <v>39</v>
      </c>
      <c r="D974" s="1" t="s">
        <v>39</v>
      </c>
      <c r="E974" s="1" t="s">
        <v>39</v>
      </c>
      <c r="F974" s="1">
        <v>69</v>
      </c>
      <c r="J974" s="1">
        <v>1</v>
      </c>
      <c r="R974" s="1">
        <v>1</v>
      </c>
    </row>
    <row r="975" spans="1:63" x14ac:dyDescent="0.3">
      <c r="A975" s="1" t="s">
        <v>41</v>
      </c>
      <c r="B975" s="7">
        <v>40758</v>
      </c>
      <c r="C975" s="1" t="s">
        <v>39</v>
      </c>
      <c r="D975" s="1" t="s">
        <v>39</v>
      </c>
      <c r="E975" s="1" t="s">
        <v>39</v>
      </c>
      <c r="F975" s="1">
        <v>70</v>
      </c>
      <c r="J975" s="3">
        <v>0</v>
      </c>
      <c r="K975" s="3">
        <v>1</v>
      </c>
    </row>
    <row r="976" spans="1:63" x14ac:dyDescent="0.3">
      <c r="A976" s="1" t="s">
        <v>41</v>
      </c>
      <c r="B976" s="7">
        <v>40758</v>
      </c>
      <c r="C976" s="1" t="s">
        <v>39</v>
      </c>
      <c r="D976" s="1" t="s">
        <v>39</v>
      </c>
      <c r="E976" s="1" t="s">
        <v>39</v>
      </c>
      <c r="F976" s="1">
        <v>71</v>
      </c>
      <c r="J976" s="1">
        <v>1</v>
      </c>
      <c r="AS976" s="1">
        <v>1</v>
      </c>
      <c r="BI976" s="1">
        <v>1</v>
      </c>
    </row>
    <row r="977" spans="1:63" x14ac:dyDescent="0.3">
      <c r="A977" s="1" t="s">
        <v>41</v>
      </c>
      <c r="B977" s="7">
        <v>40758</v>
      </c>
      <c r="C977" s="1" t="s">
        <v>39</v>
      </c>
      <c r="D977" s="1" t="s">
        <v>39</v>
      </c>
      <c r="E977" s="1" t="s">
        <v>39</v>
      </c>
      <c r="F977" s="1">
        <v>72</v>
      </c>
      <c r="BK977" s="1">
        <v>1</v>
      </c>
    </row>
    <row r="978" spans="1:63" x14ac:dyDescent="0.3">
      <c r="A978" s="1" t="s">
        <v>41</v>
      </c>
      <c r="B978" s="7">
        <v>40758</v>
      </c>
      <c r="C978" s="1" t="s">
        <v>39</v>
      </c>
      <c r="D978" s="1" t="s">
        <v>39</v>
      </c>
      <c r="E978" s="1" t="s">
        <v>39</v>
      </c>
      <c r="F978" s="1">
        <v>73</v>
      </c>
      <c r="J978" s="8">
        <v>1</v>
      </c>
      <c r="K978" s="8"/>
    </row>
    <row r="979" spans="1:63" x14ac:dyDescent="0.3">
      <c r="A979" s="1" t="s">
        <v>41</v>
      </c>
      <c r="B979" s="7">
        <v>40758</v>
      </c>
      <c r="C979" s="1" t="s">
        <v>39</v>
      </c>
      <c r="D979" s="1" t="s">
        <v>39</v>
      </c>
      <c r="E979" s="1" t="s">
        <v>39</v>
      </c>
      <c r="F979" s="1">
        <v>74</v>
      </c>
      <c r="J979" s="1">
        <v>1</v>
      </c>
    </row>
    <row r="980" spans="1:63" x14ac:dyDescent="0.3">
      <c r="A980" s="1" t="s">
        <v>41</v>
      </c>
      <c r="B980" s="7">
        <v>40758</v>
      </c>
      <c r="C980" s="1" t="s">
        <v>39</v>
      </c>
      <c r="D980" s="1" t="s">
        <v>39</v>
      </c>
      <c r="E980" s="1" t="s">
        <v>39</v>
      </c>
      <c r="F980" s="1">
        <v>75</v>
      </c>
      <c r="J980" s="3">
        <v>0</v>
      </c>
      <c r="K980" s="3">
        <v>1</v>
      </c>
    </row>
    <row r="981" spans="1:63" x14ac:dyDescent="0.3">
      <c r="A981" s="1" t="s">
        <v>41</v>
      </c>
      <c r="B981" s="7">
        <v>40758</v>
      </c>
      <c r="C981" s="1" t="s">
        <v>39</v>
      </c>
      <c r="D981" s="1" t="s">
        <v>39</v>
      </c>
      <c r="E981" s="1" t="s">
        <v>39</v>
      </c>
      <c r="F981" s="1">
        <v>76</v>
      </c>
      <c r="J981" s="1">
        <v>1</v>
      </c>
      <c r="T981" s="1">
        <v>1</v>
      </c>
    </row>
    <row r="982" spans="1:63" x14ac:dyDescent="0.3">
      <c r="A982" s="1" t="s">
        <v>41</v>
      </c>
      <c r="B982" s="7">
        <v>40758</v>
      </c>
      <c r="C982" s="1" t="s">
        <v>39</v>
      </c>
      <c r="D982" s="1" t="s">
        <v>39</v>
      </c>
      <c r="E982" s="1" t="s">
        <v>39</v>
      </c>
      <c r="F982" s="1">
        <v>77</v>
      </c>
      <c r="J982" s="3">
        <v>0</v>
      </c>
      <c r="K982" s="3">
        <v>1</v>
      </c>
    </row>
    <row r="983" spans="1:63" x14ac:dyDescent="0.3">
      <c r="A983" s="1" t="s">
        <v>41</v>
      </c>
      <c r="B983" s="7">
        <v>40758</v>
      </c>
      <c r="C983" s="1" t="s">
        <v>39</v>
      </c>
      <c r="D983" s="1" t="s">
        <v>39</v>
      </c>
      <c r="E983" s="1" t="s">
        <v>39</v>
      </c>
      <c r="F983" s="1">
        <v>78</v>
      </c>
      <c r="J983" s="1">
        <v>1</v>
      </c>
      <c r="R983" s="1">
        <v>1</v>
      </c>
    </row>
    <row r="984" spans="1:63" x14ac:dyDescent="0.3">
      <c r="A984" s="1" t="s">
        <v>41</v>
      </c>
      <c r="B984" s="7">
        <v>40758</v>
      </c>
      <c r="C984" s="1" t="s">
        <v>39</v>
      </c>
      <c r="D984" s="1" t="s">
        <v>39</v>
      </c>
      <c r="E984" s="1" t="s">
        <v>39</v>
      </c>
      <c r="F984" s="1">
        <v>79</v>
      </c>
      <c r="J984" s="1">
        <v>1</v>
      </c>
    </row>
    <row r="985" spans="1:63" x14ac:dyDescent="0.3">
      <c r="A985" s="1" t="s">
        <v>41</v>
      </c>
      <c r="B985" s="7">
        <v>40758</v>
      </c>
      <c r="C985" s="1" t="s">
        <v>39</v>
      </c>
      <c r="D985" s="1" t="s">
        <v>39</v>
      </c>
      <c r="E985" s="1" t="s">
        <v>39</v>
      </c>
      <c r="F985" s="1">
        <v>80</v>
      </c>
      <c r="J985" s="3">
        <v>0</v>
      </c>
      <c r="K985" s="3">
        <v>1</v>
      </c>
    </row>
    <row r="986" spans="1:63" x14ac:dyDescent="0.3">
      <c r="A986" s="1" t="s">
        <v>41</v>
      </c>
      <c r="B986" s="7">
        <v>40758</v>
      </c>
      <c r="C986" s="1" t="s">
        <v>39</v>
      </c>
      <c r="D986" s="1" t="s">
        <v>39</v>
      </c>
      <c r="E986" s="1" t="s">
        <v>39</v>
      </c>
      <c r="F986" s="1">
        <v>81</v>
      </c>
      <c r="J986" s="1">
        <v>1</v>
      </c>
    </row>
    <row r="987" spans="1:63" x14ac:dyDescent="0.3">
      <c r="A987" s="1" t="s">
        <v>41</v>
      </c>
      <c r="B987" s="7">
        <v>40758</v>
      </c>
      <c r="C987" s="1" t="s">
        <v>39</v>
      </c>
      <c r="D987" s="1" t="s">
        <v>39</v>
      </c>
      <c r="E987" s="1" t="s">
        <v>39</v>
      </c>
      <c r="F987" s="1">
        <v>82</v>
      </c>
      <c r="J987" s="1">
        <v>1</v>
      </c>
      <c r="R987" s="1">
        <v>1</v>
      </c>
    </row>
    <row r="988" spans="1:63" x14ac:dyDescent="0.3">
      <c r="A988" s="1" t="s">
        <v>41</v>
      </c>
      <c r="B988" s="7">
        <v>40758</v>
      </c>
      <c r="C988" s="1" t="s">
        <v>39</v>
      </c>
      <c r="D988" s="1" t="s">
        <v>39</v>
      </c>
      <c r="E988" s="1" t="s">
        <v>39</v>
      </c>
      <c r="F988" s="1">
        <v>83</v>
      </c>
      <c r="J988" s="3">
        <v>0</v>
      </c>
      <c r="K988" s="3">
        <v>1</v>
      </c>
    </row>
    <row r="989" spans="1:63" x14ac:dyDescent="0.3">
      <c r="A989" s="1" t="s">
        <v>41</v>
      </c>
      <c r="B989" s="7">
        <v>40758</v>
      </c>
      <c r="C989" s="1" t="s">
        <v>39</v>
      </c>
      <c r="D989" s="1" t="s">
        <v>39</v>
      </c>
      <c r="E989" s="1" t="s">
        <v>39</v>
      </c>
      <c r="F989" s="1">
        <v>84</v>
      </c>
      <c r="J989" s="1">
        <v>1</v>
      </c>
    </row>
    <row r="990" spans="1:63" x14ac:dyDescent="0.3">
      <c r="A990" s="1" t="s">
        <v>41</v>
      </c>
      <c r="B990" s="7">
        <v>40758</v>
      </c>
      <c r="C990" s="1" t="s">
        <v>39</v>
      </c>
      <c r="D990" s="1" t="s">
        <v>39</v>
      </c>
      <c r="E990" s="1" t="s">
        <v>39</v>
      </c>
      <c r="F990" s="1">
        <v>85</v>
      </c>
      <c r="J990" s="3">
        <v>0</v>
      </c>
      <c r="K990" s="3">
        <v>1</v>
      </c>
    </row>
    <row r="991" spans="1:63" x14ac:dyDescent="0.3">
      <c r="A991" s="1" t="s">
        <v>41</v>
      </c>
      <c r="B991" s="7">
        <v>40758</v>
      </c>
      <c r="C991" s="1" t="s">
        <v>39</v>
      </c>
      <c r="D991" s="1" t="s">
        <v>39</v>
      </c>
      <c r="E991" s="1" t="s">
        <v>39</v>
      </c>
      <c r="F991" s="1">
        <v>86</v>
      </c>
      <c r="J991" s="1">
        <v>1</v>
      </c>
    </row>
    <row r="992" spans="1:63" x14ac:dyDescent="0.3">
      <c r="A992" s="1" t="s">
        <v>41</v>
      </c>
      <c r="B992" s="7">
        <v>40758</v>
      </c>
      <c r="C992" s="1" t="s">
        <v>39</v>
      </c>
      <c r="D992" s="1" t="s">
        <v>39</v>
      </c>
      <c r="E992" s="1" t="s">
        <v>39</v>
      </c>
      <c r="F992" s="1">
        <v>87</v>
      </c>
      <c r="J992" s="1">
        <v>1</v>
      </c>
      <c r="T992" s="1">
        <v>1</v>
      </c>
    </row>
    <row r="993" spans="1:90" x14ac:dyDescent="0.3">
      <c r="A993" s="1" t="s">
        <v>41</v>
      </c>
      <c r="B993" s="7">
        <v>40758</v>
      </c>
      <c r="C993" s="1" t="s">
        <v>39</v>
      </c>
      <c r="D993" s="1" t="s">
        <v>39</v>
      </c>
      <c r="E993" s="1" t="s">
        <v>39</v>
      </c>
      <c r="F993" s="1">
        <v>88</v>
      </c>
      <c r="BG993" s="3">
        <v>0</v>
      </c>
      <c r="BH993" s="3">
        <v>1</v>
      </c>
      <c r="BK993" s="1">
        <v>1</v>
      </c>
    </row>
    <row r="994" spans="1:90" x14ac:dyDescent="0.3">
      <c r="A994" s="1" t="s">
        <v>41</v>
      </c>
      <c r="B994" s="7">
        <v>40758</v>
      </c>
      <c r="C994" s="1" t="s">
        <v>39</v>
      </c>
      <c r="D994" s="1" t="s">
        <v>39</v>
      </c>
      <c r="E994" s="1" t="s">
        <v>39</v>
      </c>
      <c r="F994" s="1">
        <v>89</v>
      </c>
      <c r="J994" s="1">
        <v>1</v>
      </c>
      <c r="T994" s="1">
        <v>1</v>
      </c>
    </row>
    <row r="995" spans="1:90" x14ac:dyDescent="0.3">
      <c r="A995" s="1" t="s">
        <v>41</v>
      </c>
      <c r="B995" s="7">
        <v>40758</v>
      </c>
      <c r="C995" s="1" t="s">
        <v>39</v>
      </c>
      <c r="D995" s="1" t="s">
        <v>39</v>
      </c>
      <c r="E995" s="1" t="s">
        <v>39</v>
      </c>
      <c r="F995" s="1">
        <v>90</v>
      </c>
      <c r="J995" s="1">
        <v>1</v>
      </c>
      <c r="V995" s="1">
        <v>1</v>
      </c>
    </row>
    <row r="996" spans="1:90" x14ac:dyDescent="0.3">
      <c r="A996" s="1" t="s">
        <v>41</v>
      </c>
      <c r="B996" s="7">
        <v>40758</v>
      </c>
      <c r="C996" s="1" t="s">
        <v>39</v>
      </c>
      <c r="D996" s="1" t="s">
        <v>39</v>
      </c>
      <c r="E996" s="1" t="s">
        <v>39</v>
      </c>
      <c r="F996" s="1">
        <v>91</v>
      </c>
      <c r="J996" s="1">
        <v>1</v>
      </c>
      <c r="BR996" s="1">
        <v>1</v>
      </c>
    </row>
    <row r="997" spans="1:90" x14ac:dyDescent="0.3">
      <c r="A997" s="1" t="s">
        <v>41</v>
      </c>
      <c r="B997" s="7">
        <v>40758</v>
      </c>
      <c r="C997" s="1" t="s">
        <v>39</v>
      </c>
      <c r="D997" s="1" t="s">
        <v>39</v>
      </c>
      <c r="E997" s="1" t="s">
        <v>39</v>
      </c>
      <c r="F997" s="1">
        <v>92</v>
      </c>
      <c r="J997" s="3">
        <v>0</v>
      </c>
      <c r="K997" s="3">
        <v>1</v>
      </c>
    </row>
    <row r="998" spans="1:90" x14ac:dyDescent="0.3">
      <c r="A998" s="1" t="s">
        <v>41</v>
      </c>
      <c r="B998" s="7">
        <v>40758</v>
      </c>
      <c r="C998" s="1" t="s">
        <v>39</v>
      </c>
      <c r="D998" s="1" t="s">
        <v>39</v>
      </c>
      <c r="E998" s="1" t="s">
        <v>39</v>
      </c>
      <c r="F998" s="1">
        <v>93</v>
      </c>
      <c r="J998" s="1">
        <v>1</v>
      </c>
    </row>
    <row r="999" spans="1:90" x14ac:dyDescent="0.3">
      <c r="A999" s="1" t="s">
        <v>41</v>
      </c>
      <c r="B999" s="7">
        <v>40758</v>
      </c>
      <c r="C999" s="1" t="s">
        <v>39</v>
      </c>
      <c r="D999" s="1" t="s">
        <v>39</v>
      </c>
      <c r="E999" s="1" t="s">
        <v>39</v>
      </c>
      <c r="F999" s="1">
        <v>94</v>
      </c>
      <c r="J999" s="1">
        <v>1</v>
      </c>
      <c r="V999" s="1">
        <v>1</v>
      </c>
    </row>
    <row r="1000" spans="1:90" x14ac:dyDescent="0.3">
      <c r="A1000" s="1" t="s">
        <v>41</v>
      </c>
      <c r="B1000" s="7">
        <v>40758</v>
      </c>
      <c r="C1000" s="1" t="s">
        <v>39</v>
      </c>
      <c r="D1000" s="1" t="s">
        <v>39</v>
      </c>
      <c r="E1000" s="1" t="s">
        <v>39</v>
      </c>
      <c r="F1000" s="1">
        <v>95</v>
      </c>
      <c r="J1000" s="1">
        <v>1</v>
      </c>
    </row>
    <row r="1001" spans="1:90" x14ac:dyDescent="0.3">
      <c r="A1001" s="1" t="s">
        <v>41</v>
      </c>
      <c r="B1001" s="7">
        <v>40758</v>
      </c>
      <c r="C1001" s="1" t="s">
        <v>39</v>
      </c>
      <c r="D1001" s="1" t="s">
        <v>39</v>
      </c>
      <c r="E1001" s="1" t="s">
        <v>39</v>
      </c>
      <c r="F1001" s="1">
        <v>96</v>
      </c>
      <c r="J1001" s="1">
        <v>1</v>
      </c>
    </row>
    <row r="1002" spans="1:90" x14ac:dyDescent="0.3">
      <c r="A1002" s="1" t="s">
        <v>41</v>
      </c>
      <c r="B1002" s="7">
        <v>40758</v>
      </c>
      <c r="C1002" s="1" t="s">
        <v>39</v>
      </c>
      <c r="D1002" s="1" t="s">
        <v>39</v>
      </c>
      <c r="E1002" s="1" t="s">
        <v>39</v>
      </c>
      <c r="F1002" s="1">
        <v>97</v>
      </c>
      <c r="J1002" s="1">
        <v>1</v>
      </c>
      <c r="T1002" s="1">
        <v>1</v>
      </c>
    </row>
    <row r="1003" spans="1:90" x14ac:dyDescent="0.3">
      <c r="A1003" s="1" t="s">
        <v>41</v>
      </c>
      <c r="B1003" s="7">
        <v>40758</v>
      </c>
      <c r="C1003" s="1" t="s">
        <v>39</v>
      </c>
      <c r="D1003" s="1" t="s">
        <v>39</v>
      </c>
      <c r="E1003" s="1" t="s">
        <v>39</v>
      </c>
      <c r="F1003" s="1">
        <v>98</v>
      </c>
      <c r="J1003" s="3">
        <v>0</v>
      </c>
      <c r="K1003" s="3">
        <v>1</v>
      </c>
      <c r="AU1003" s="1">
        <v>1</v>
      </c>
    </row>
    <row r="1004" spans="1:90" x14ac:dyDescent="0.3">
      <c r="A1004" s="1" t="s">
        <v>41</v>
      </c>
      <c r="B1004" s="7">
        <v>40758</v>
      </c>
      <c r="C1004" s="1" t="s">
        <v>39</v>
      </c>
      <c r="D1004" s="1" t="s">
        <v>39</v>
      </c>
      <c r="E1004" s="1" t="s">
        <v>39</v>
      </c>
      <c r="F1004" s="1">
        <v>99</v>
      </c>
      <c r="J1004" s="1">
        <v>1</v>
      </c>
    </row>
    <row r="1005" spans="1:90" x14ac:dyDescent="0.3">
      <c r="A1005" s="1" t="s">
        <v>41</v>
      </c>
      <c r="B1005" s="7">
        <v>40758</v>
      </c>
      <c r="C1005" s="1" t="s">
        <v>39</v>
      </c>
      <c r="D1005" s="1" t="s">
        <v>39</v>
      </c>
      <c r="E1005" s="1" t="s">
        <v>39</v>
      </c>
      <c r="F1005" s="1">
        <v>100</v>
      </c>
      <c r="J1005" s="3">
        <v>0</v>
      </c>
      <c r="K1005" s="3">
        <v>1</v>
      </c>
      <c r="T1005" s="1">
        <v>1</v>
      </c>
    </row>
    <row r="1006" spans="1:90" s="12" customFormat="1" x14ac:dyDescent="0.3">
      <c r="A1006" s="14" t="s">
        <v>41</v>
      </c>
      <c r="B1006" s="13"/>
      <c r="G1006" s="12">
        <f>SUM(G806:G1005)</f>
        <v>0</v>
      </c>
      <c r="H1006" s="12">
        <f t="shared" ref="H1006" si="276">SUM(H806:H1005)</f>
        <v>0</v>
      </c>
      <c r="I1006" s="12">
        <f t="shared" ref="I1006" si="277">SUM(I806:I1005)</f>
        <v>0</v>
      </c>
      <c r="J1006" s="12">
        <f t="shared" ref="J1006" si="278">SUM(J806:J1005)</f>
        <v>72</v>
      </c>
      <c r="K1006" s="12">
        <f t="shared" ref="K1006" si="279">SUM(K806:K1005)</f>
        <v>20</v>
      </c>
      <c r="L1006" s="12">
        <f t="shared" ref="L1006" si="280">SUM(L806:L1005)</f>
        <v>17</v>
      </c>
      <c r="M1006" s="12">
        <f t="shared" ref="M1006" si="281">SUM(M806:M1005)</f>
        <v>0</v>
      </c>
      <c r="N1006" s="12">
        <f t="shared" ref="N1006" si="282">SUM(N806:N1005)</f>
        <v>7</v>
      </c>
      <c r="O1006" s="12">
        <f t="shared" ref="O1006" si="283">SUM(O806:O1005)</f>
        <v>0</v>
      </c>
      <c r="P1006" s="12">
        <f t="shared" ref="P1006" si="284">SUM(P806:P1005)</f>
        <v>0</v>
      </c>
      <c r="Q1006" s="12">
        <f t="shared" ref="Q1006" si="285">SUM(Q806:Q1005)</f>
        <v>0</v>
      </c>
      <c r="R1006" s="12">
        <f t="shared" ref="R1006" si="286">SUM(R806:R1005)</f>
        <v>51</v>
      </c>
      <c r="S1006" s="12">
        <f t="shared" ref="S1006" si="287">SUM(S806:S1005)</f>
        <v>4</v>
      </c>
      <c r="T1006" s="12">
        <f t="shared" ref="T1006" si="288">SUM(T806:T1005)</f>
        <v>62</v>
      </c>
      <c r="U1006" s="12">
        <f t="shared" ref="U1006" si="289">SUM(U806:U1005)</f>
        <v>0</v>
      </c>
      <c r="V1006" s="12">
        <f t="shared" ref="V1006" si="290">SUM(V806:V1005)</f>
        <v>12</v>
      </c>
      <c r="W1006" s="12">
        <f t="shared" ref="W1006" si="291">SUM(W806:W1005)</f>
        <v>1</v>
      </c>
      <c r="X1006" s="12">
        <f t="shared" ref="X1006" si="292">SUM(X806:X1005)</f>
        <v>2</v>
      </c>
      <c r="Y1006" s="12">
        <f t="shared" ref="Y1006" si="293">SUM(Y806:Y1005)</f>
        <v>0</v>
      </c>
      <c r="Z1006" s="12">
        <f t="shared" ref="Z1006" si="294">SUM(Z806:Z1005)</f>
        <v>0</v>
      </c>
      <c r="AA1006" s="12">
        <f t="shared" ref="AA1006" si="295">SUM(AA806:AA1005)</f>
        <v>0</v>
      </c>
      <c r="AB1006" s="12">
        <f t="shared" ref="AB1006" si="296">SUM(AB806:AB1005)</f>
        <v>4</v>
      </c>
      <c r="AC1006" s="12">
        <f t="shared" ref="AC1006" si="297">SUM(AC806:AC1005)</f>
        <v>0</v>
      </c>
      <c r="AD1006" s="12">
        <f t="shared" ref="AD1006" si="298">SUM(AD806:AD1005)</f>
        <v>0</v>
      </c>
      <c r="AE1006" s="12">
        <f t="shared" ref="AE1006" si="299">SUM(AE806:AE1005)</f>
        <v>0</v>
      </c>
      <c r="AF1006" s="12">
        <f t="shared" ref="AF1006" si="300">SUM(AF806:AF1005)</f>
        <v>5</v>
      </c>
      <c r="AG1006" s="12">
        <f t="shared" ref="AG1006" si="301">SUM(AG806:AG1005)</f>
        <v>0</v>
      </c>
      <c r="AH1006" s="12">
        <f t="shared" ref="AH1006" si="302">SUM(AH806:AH1005)</f>
        <v>0</v>
      </c>
      <c r="AI1006" s="12">
        <f t="shared" ref="AI1006" si="303">SUM(AI806:AI1005)</f>
        <v>5</v>
      </c>
      <c r="AJ1006" s="12">
        <f t="shared" ref="AJ1006" si="304">SUM(AJ806:AJ1005)</f>
        <v>2</v>
      </c>
      <c r="AK1006" s="12">
        <f t="shared" ref="AK1006" si="305">SUM(AK806:AK1005)</f>
        <v>0</v>
      </c>
      <c r="AL1006" s="12">
        <f t="shared" ref="AL1006" si="306">SUM(AL806:AL1005)</f>
        <v>0</v>
      </c>
      <c r="AM1006" s="12">
        <f t="shared" ref="AM1006" si="307">SUM(AM806:AM1005)</f>
        <v>8</v>
      </c>
      <c r="AN1006" s="12">
        <f t="shared" ref="AN1006" si="308">SUM(AN806:AN1005)</f>
        <v>0</v>
      </c>
      <c r="AO1006" s="12">
        <f t="shared" ref="AO1006" si="309">SUM(AO806:AO1005)</f>
        <v>0</v>
      </c>
      <c r="AP1006" s="12">
        <f t="shared" ref="AP1006" si="310">SUM(AP806:AP1005)</f>
        <v>0</v>
      </c>
      <c r="AQ1006" s="12">
        <f t="shared" ref="AQ1006" si="311">SUM(AQ806:AQ1005)</f>
        <v>0</v>
      </c>
      <c r="AR1006" s="12">
        <f t="shared" ref="AR1006" si="312">SUM(AR806:AR1005)</f>
        <v>0</v>
      </c>
      <c r="AS1006" s="12">
        <f t="shared" ref="AS1006" si="313">SUM(AS806:AS1005)</f>
        <v>7</v>
      </c>
      <c r="AT1006" s="12">
        <f t="shared" ref="AT1006" si="314">SUM(AT806:AT1005)</f>
        <v>0</v>
      </c>
      <c r="AU1006" s="12">
        <f t="shared" ref="AU1006" si="315">SUM(AU806:AU1005)</f>
        <v>2</v>
      </c>
      <c r="AV1006" s="12">
        <f t="shared" ref="AV1006" si="316">SUM(AV806:AV1005)</f>
        <v>0</v>
      </c>
      <c r="AW1006" s="12">
        <f t="shared" ref="AW1006" si="317">SUM(AW806:AW1005)</f>
        <v>0</v>
      </c>
      <c r="AX1006" s="12">
        <f t="shared" ref="AX1006" si="318">SUM(AX806:AX1005)</f>
        <v>0</v>
      </c>
      <c r="AY1006" s="12">
        <f t="shared" ref="AY1006" si="319">SUM(AY806:AY1005)</f>
        <v>0</v>
      </c>
      <c r="AZ1006" s="12">
        <f t="shared" ref="AZ1006" si="320">SUM(AZ806:AZ1005)</f>
        <v>0</v>
      </c>
      <c r="BA1006" s="12">
        <f t="shared" ref="BA1006" si="321">SUM(BA806:BA1005)</f>
        <v>0</v>
      </c>
      <c r="BB1006" s="12">
        <f t="shared" ref="BB1006" si="322">SUM(BB806:BB1005)</f>
        <v>0</v>
      </c>
      <c r="BC1006" s="12">
        <f t="shared" ref="BC1006" si="323">SUM(BC806:BC1005)</f>
        <v>0</v>
      </c>
      <c r="BD1006" s="12">
        <f t="shared" ref="BD1006" si="324">SUM(BD806:BD1005)</f>
        <v>0</v>
      </c>
      <c r="BE1006" s="12">
        <f t="shared" ref="BE1006" si="325">SUM(BE806:BE1005)</f>
        <v>19</v>
      </c>
      <c r="BF1006" s="12">
        <f t="shared" ref="BF1006" si="326">SUM(BF806:BF1005)</f>
        <v>1</v>
      </c>
      <c r="BG1006" s="12">
        <f t="shared" ref="BG1006" si="327">SUM(BG806:BG1005)</f>
        <v>3</v>
      </c>
      <c r="BH1006" s="12">
        <f t="shared" ref="BH1006" si="328">SUM(BH806:BH1005)</f>
        <v>4</v>
      </c>
      <c r="BI1006" s="12">
        <f t="shared" ref="BI1006" si="329">SUM(BI806:BI1005)</f>
        <v>11</v>
      </c>
      <c r="BJ1006" s="12">
        <f t="shared" ref="BJ1006" si="330">SUM(BJ806:BJ1005)</f>
        <v>2</v>
      </c>
      <c r="BK1006" s="12">
        <f t="shared" ref="BK1006" si="331">SUM(BK806:BK1005)</f>
        <v>12</v>
      </c>
      <c r="BL1006" s="12">
        <f t="shared" ref="BL1006" si="332">SUM(BL806:BL1005)</f>
        <v>0</v>
      </c>
      <c r="BM1006" s="12">
        <f t="shared" ref="BM1006" si="333">SUM(BM806:BM1005)</f>
        <v>0</v>
      </c>
      <c r="BN1006" s="12">
        <f t="shared" ref="BN1006" si="334">SUM(BN806:BN1005)</f>
        <v>0</v>
      </c>
      <c r="BO1006" s="12">
        <f t="shared" ref="BO1006" si="335">SUM(BO806:BO1005)</f>
        <v>0</v>
      </c>
      <c r="BP1006" s="12">
        <f t="shared" ref="BP1006" si="336">SUM(BP806:BP1005)</f>
        <v>19</v>
      </c>
      <c r="BQ1006" s="12">
        <f t="shared" ref="BQ1006" si="337">SUM(BQ806:BQ1005)</f>
        <v>1</v>
      </c>
      <c r="BR1006" s="12">
        <f t="shared" ref="BR1006" si="338">SUM(BR806:BR1005)</f>
        <v>23</v>
      </c>
      <c r="BS1006" s="12">
        <f t="shared" ref="BS1006" si="339">SUM(BS806:BS1005)</f>
        <v>0</v>
      </c>
      <c r="BT1006" s="12">
        <f t="shared" ref="BT1006" si="340">SUM(BT806:BT1005)</f>
        <v>0</v>
      </c>
      <c r="BU1006" s="12">
        <f t="shared" ref="BU1006" si="341">SUM(BU806:BU1005)</f>
        <v>1</v>
      </c>
      <c r="BV1006" s="12">
        <f t="shared" ref="BV1006" si="342">SUM(BV806:BV1005)</f>
        <v>1</v>
      </c>
      <c r="BW1006" s="12">
        <f t="shared" ref="BW1006" si="343">SUM(BW806:BW1005)</f>
        <v>0</v>
      </c>
      <c r="BX1006" s="12">
        <f t="shared" ref="BX1006" si="344">SUM(BX806:BX1005)</f>
        <v>0</v>
      </c>
      <c r="BY1006" s="12">
        <f t="shared" ref="BY1006" si="345">SUM(BY806:BY1005)</f>
        <v>0</v>
      </c>
      <c r="BZ1006" s="12">
        <f t="shared" ref="BZ1006" si="346">SUM(BZ806:BZ1005)</f>
        <v>0</v>
      </c>
      <c r="CA1006" s="12">
        <f t="shared" ref="CA1006" si="347">SUM(CA806:CA1005)</f>
        <v>0</v>
      </c>
      <c r="CB1006" s="12">
        <f t="shared" ref="CB1006" si="348">SUM(CB806:CB1005)</f>
        <v>0</v>
      </c>
      <c r="CC1006" s="12">
        <f t="shared" ref="CC1006" si="349">SUM(CC806:CC1005)</f>
        <v>0</v>
      </c>
      <c r="CD1006" s="12">
        <f t="shared" ref="CD1006" si="350">SUM(CD806:CD1005)</f>
        <v>0</v>
      </c>
      <c r="CE1006" s="12">
        <f t="shared" ref="CE1006" si="351">SUM(CE806:CE1005)</f>
        <v>0</v>
      </c>
      <c r="CF1006" s="12">
        <f t="shared" ref="CF1006" si="352">SUM(CF806:CF1005)</f>
        <v>0</v>
      </c>
      <c r="CG1006" s="12">
        <f t="shared" ref="CG1006" si="353">SUM(CG806:CG1005)</f>
        <v>0</v>
      </c>
      <c r="CH1006" s="12">
        <f t="shared" ref="CH1006" si="354">SUM(CH806:CH1005)</f>
        <v>0</v>
      </c>
      <c r="CI1006" s="12">
        <f t="shared" ref="CI1006" si="355">SUM(CI806:CI1005)</f>
        <v>0</v>
      </c>
      <c r="CJ1006" s="12">
        <f t="shared" ref="CJ1006" si="356">SUM(CJ806:CJ1005)</f>
        <v>0</v>
      </c>
      <c r="CK1006" s="12">
        <f t="shared" ref="CK1006" si="357">SUM(CK806:CK1005)</f>
        <v>0</v>
      </c>
      <c r="CL1006" s="12">
        <f t="shared" ref="CL1006" si="358">SUM(CL806:CL1005)</f>
        <v>0</v>
      </c>
    </row>
    <row r="1007" spans="1:90" x14ac:dyDescent="0.3">
      <c r="A1007" s="1" t="s">
        <v>46</v>
      </c>
      <c r="B1007" s="7">
        <v>40755</v>
      </c>
      <c r="C1007" s="1">
        <v>6</v>
      </c>
      <c r="D1007" s="1">
        <v>329</v>
      </c>
      <c r="E1007" s="1">
        <v>3</v>
      </c>
      <c r="F1007" s="1">
        <v>1</v>
      </c>
      <c r="J1007" s="3">
        <v>0</v>
      </c>
      <c r="K1007" s="3">
        <v>1</v>
      </c>
    </row>
    <row r="1008" spans="1:90" x14ac:dyDescent="0.3">
      <c r="A1008" s="1" t="s">
        <v>46</v>
      </c>
      <c r="B1008" s="7">
        <v>40755</v>
      </c>
      <c r="C1008" s="1">
        <v>6</v>
      </c>
      <c r="D1008" s="1">
        <v>329</v>
      </c>
      <c r="E1008" s="1">
        <v>3</v>
      </c>
      <c r="F1008" s="1">
        <v>2</v>
      </c>
      <c r="P1008" s="3">
        <v>0</v>
      </c>
      <c r="Q1008" s="3">
        <v>1</v>
      </c>
    </row>
    <row r="1009" spans="1:59" x14ac:dyDescent="0.3">
      <c r="A1009" s="1" t="s">
        <v>46</v>
      </c>
      <c r="B1009" s="7">
        <v>40755</v>
      </c>
      <c r="C1009" s="1">
        <v>6</v>
      </c>
      <c r="D1009" s="1">
        <v>329</v>
      </c>
      <c r="E1009" s="1">
        <v>3</v>
      </c>
      <c r="F1009" s="1">
        <v>3</v>
      </c>
      <c r="J1009" s="3">
        <v>0</v>
      </c>
      <c r="K1009" s="3">
        <v>1</v>
      </c>
      <c r="L1009" s="1">
        <v>1</v>
      </c>
      <c r="AF1009" s="1">
        <v>1</v>
      </c>
      <c r="BC1009" s="1">
        <v>1</v>
      </c>
    </row>
    <row r="1010" spans="1:59" x14ac:dyDescent="0.3">
      <c r="A1010" s="1" t="s">
        <v>46</v>
      </c>
      <c r="B1010" s="7">
        <v>40755</v>
      </c>
      <c r="C1010" s="1">
        <v>6</v>
      </c>
      <c r="D1010" s="1">
        <v>329</v>
      </c>
      <c r="E1010" s="1">
        <v>3</v>
      </c>
      <c r="F1010" s="1">
        <v>4</v>
      </c>
      <c r="L1010" s="1">
        <v>1</v>
      </c>
      <c r="P1010" s="1">
        <v>1</v>
      </c>
    </row>
    <row r="1011" spans="1:59" x14ac:dyDescent="0.3">
      <c r="A1011" s="1" t="s">
        <v>46</v>
      </c>
      <c r="B1011" s="7">
        <v>40755</v>
      </c>
      <c r="C1011" s="1">
        <v>6</v>
      </c>
      <c r="D1011" s="1">
        <v>329</v>
      </c>
      <c r="E1011" s="1">
        <v>3</v>
      </c>
      <c r="F1011" s="1">
        <v>5</v>
      </c>
      <c r="T1011" s="1">
        <v>1</v>
      </c>
    </row>
    <row r="1012" spans="1:59" x14ac:dyDescent="0.3">
      <c r="A1012" s="1" t="s">
        <v>46</v>
      </c>
      <c r="B1012" s="7">
        <v>40755</v>
      </c>
      <c r="C1012" s="1">
        <v>6</v>
      </c>
      <c r="D1012" s="1">
        <v>329</v>
      </c>
      <c r="E1012" s="1">
        <v>3</v>
      </c>
      <c r="F1012" s="1">
        <v>6</v>
      </c>
      <c r="R1012" s="3">
        <v>0</v>
      </c>
      <c r="S1012" s="3">
        <v>1</v>
      </c>
    </row>
    <row r="1013" spans="1:59" x14ac:dyDescent="0.3">
      <c r="A1013" s="1" t="s">
        <v>46</v>
      </c>
      <c r="B1013" s="7">
        <v>40755</v>
      </c>
      <c r="C1013" s="1">
        <v>6</v>
      </c>
      <c r="D1013" s="1">
        <v>329</v>
      </c>
      <c r="E1013" s="1">
        <v>3</v>
      </c>
      <c r="F1013" s="1">
        <v>7</v>
      </c>
      <c r="P1013" s="1">
        <v>1</v>
      </c>
      <c r="BE1013" s="1">
        <v>1</v>
      </c>
    </row>
    <row r="1014" spans="1:59" x14ac:dyDescent="0.3">
      <c r="A1014" s="1" t="s">
        <v>46</v>
      </c>
      <c r="B1014" s="7">
        <v>40755</v>
      </c>
      <c r="C1014" s="1">
        <v>6</v>
      </c>
      <c r="D1014" s="1">
        <v>329</v>
      </c>
      <c r="E1014" s="1">
        <v>3</v>
      </c>
      <c r="F1014" s="1">
        <v>8</v>
      </c>
      <c r="L1014" s="1">
        <v>1</v>
      </c>
    </row>
    <row r="1015" spans="1:59" x14ac:dyDescent="0.3">
      <c r="A1015" s="1" t="s">
        <v>46</v>
      </c>
      <c r="B1015" s="7">
        <v>40755</v>
      </c>
      <c r="C1015" s="1">
        <v>6</v>
      </c>
      <c r="D1015" s="1">
        <v>329</v>
      </c>
      <c r="E1015" s="1">
        <v>3</v>
      </c>
      <c r="F1015" s="1">
        <v>9</v>
      </c>
      <c r="L1015" s="1">
        <v>1</v>
      </c>
      <c r="AG1015" s="3">
        <v>0</v>
      </c>
      <c r="AH1015" s="3">
        <v>1</v>
      </c>
    </row>
    <row r="1016" spans="1:59" x14ac:dyDescent="0.3">
      <c r="A1016" s="1" t="s">
        <v>46</v>
      </c>
      <c r="B1016" s="7">
        <v>40755</v>
      </c>
      <c r="C1016" s="1">
        <v>6</v>
      </c>
      <c r="D1016" s="1">
        <v>329</v>
      </c>
      <c r="E1016" s="1">
        <v>3</v>
      </c>
      <c r="F1016" s="1">
        <v>10</v>
      </c>
      <c r="J1016" s="1">
        <v>1</v>
      </c>
      <c r="L1016" s="1">
        <v>1</v>
      </c>
    </row>
    <row r="1017" spans="1:59" x14ac:dyDescent="0.3">
      <c r="A1017" s="1" t="s">
        <v>46</v>
      </c>
      <c r="B1017" s="7">
        <v>40755</v>
      </c>
      <c r="C1017" s="1">
        <v>6</v>
      </c>
      <c r="D1017" s="1">
        <v>329</v>
      </c>
      <c r="E1017" s="1">
        <v>3</v>
      </c>
      <c r="F1017" s="1">
        <v>11</v>
      </c>
      <c r="J1017" s="3">
        <v>0</v>
      </c>
      <c r="K1017" s="3">
        <v>1</v>
      </c>
      <c r="L1017" s="3">
        <v>0</v>
      </c>
      <c r="M1017" s="3">
        <v>1</v>
      </c>
      <c r="AF1017" s="1">
        <v>1</v>
      </c>
    </row>
    <row r="1018" spans="1:59" x14ac:dyDescent="0.3">
      <c r="A1018" s="1" t="s">
        <v>46</v>
      </c>
      <c r="B1018" s="7">
        <v>40755</v>
      </c>
      <c r="C1018" s="1">
        <v>6</v>
      </c>
      <c r="D1018" s="1">
        <v>329</v>
      </c>
      <c r="E1018" s="1">
        <v>3</v>
      </c>
      <c r="F1018" s="1">
        <v>12</v>
      </c>
      <c r="H1018" s="1">
        <v>1</v>
      </c>
      <c r="J1018" s="1">
        <v>1</v>
      </c>
    </row>
    <row r="1019" spans="1:59" x14ac:dyDescent="0.3">
      <c r="A1019" s="1" t="s">
        <v>46</v>
      </c>
      <c r="B1019" s="7">
        <v>40755</v>
      </c>
      <c r="C1019" s="1">
        <v>6</v>
      </c>
      <c r="D1019" s="1">
        <v>329</v>
      </c>
      <c r="E1019" s="1">
        <v>3</v>
      </c>
      <c r="F1019" s="1">
        <v>13</v>
      </c>
      <c r="H1019" s="1">
        <v>1</v>
      </c>
      <c r="J1019" s="1">
        <v>1</v>
      </c>
      <c r="L1019" s="1">
        <v>1</v>
      </c>
    </row>
    <row r="1020" spans="1:59" x14ac:dyDescent="0.3">
      <c r="A1020" s="1" t="s">
        <v>46</v>
      </c>
      <c r="B1020" s="7">
        <v>40755</v>
      </c>
      <c r="C1020" s="1">
        <v>6</v>
      </c>
      <c r="D1020" s="1">
        <v>329</v>
      </c>
      <c r="E1020" s="1">
        <v>3</v>
      </c>
      <c r="F1020" s="1">
        <v>14</v>
      </c>
      <c r="L1020" s="1">
        <v>1</v>
      </c>
      <c r="BG1020" s="1">
        <v>1</v>
      </c>
    </row>
    <row r="1021" spans="1:59" x14ac:dyDescent="0.3">
      <c r="A1021" s="1" t="s">
        <v>46</v>
      </c>
      <c r="B1021" s="7">
        <v>40755</v>
      </c>
      <c r="C1021" s="1">
        <v>6</v>
      </c>
      <c r="D1021" s="1">
        <v>329</v>
      </c>
      <c r="E1021" s="1">
        <v>3</v>
      </c>
      <c r="F1021" s="1">
        <v>15</v>
      </c>
      <c r="L1021" s="1">
        <v>1</v>
      </c>
      <c r="R1021" s="1">
        <v>1</v>
      </c>
    </row>
    <row r="1022" spans="1:59" x14ac:dyDescent="0.3">
      <c r="A1022" s="1" t="s">
        <v>46</v>
      </c>
      <c r="B1022" s="7">
        <v>40755</v>
      </c>
      <c r="C1022" s="1">
        <v>6</v>
      </c>
      <c r="D1022" s="1">
        <v>329</v>
      </c>
      <c r="E1022" s="1">
        <v>3</v>
      </c>
      <c r="F1022" s="1">
        <v>16</v>
      </c>
      <c r="L1022" s="1">
        <v>1</v>
      </c>
      <c r="R1022" s="3">
        <v>0</v>
      </c>
      <c r="S1022" s="3">
        <v>1</v>
      </c>
    </row>
    <row r="1023" spans="1:59" x14ac:dyDescent="0.3">
      <c r="A1023" s="1" t="s">
        <v>46</v>
      </c>
      <c r="B1023" s="7">
        <v>40755</v>
      </c>
      <c r="C1023" s="1">
        <v>6</v>
      </c>
      <c r="D1023" s="1">
        <v>329</v>
      </c>
      <c r="E1023" s="1">
        <v>3</v>
      </c>
      <c r="F1023" s="1">
        <v>17</v>
      </c>
      <c r="R1023" s="3">
        <v>0</v>
      </c>
      <c r="S1023" s="3">
        <v>1</v>
      </c>
      <c r="T1023" s="1">
        <v>1</v>
      </c>
    </row>
    <row r="1024" spans="1:59" x14ac:dyDescent="0.3">
      <c r="A1024" s="1" t="s">
        <v>46</v>
      </c>
      <c r="B1024" s="7">
        <v>40755</v>
      </c>
      <c r="C1024" s="1">
        <v>6</v>
      </c>
      <c r="D1024" s="1">
        <v>329</v>
      </c>
      <c r="E1024" s="1">
        <v>3</v>
      </c>
      <c r="F1024" s="1">
        <v>18</v>
      </c>
      <c r="J1024" s="3">
        <v>0</v>
      </c>
      <c r="K1024" s="3">
        <v>1</v>
      </c>
      <c r="L1024" s="1">
        <v>1</v>
      </c>
    </row>
    <row r="1025" spans="1:59" x14ac:dyDescent="0.3">
      <c r="A1025" s="1" t="s">
        <v>46</v>
      </c>
      <c r="B1025" s="7">
        <v>40755</v>
      </c>
      <c r="C1025" s="1">
        <v>6</v>
      </c>
      <c r="D1025" s="1">
        <v>329</v>
      </c>
      <c r="E1025" s="1">
        <v>3</v>
      </c>
      <c r="F1025" s="1">
        <v>19</v>
      </c>
      <c r="L1025" s="3">
        <v>0</v>
      </c>
      <c r="M1025" s="3">
        <v>1</v>
      </c>
    </row>
    <row r="1026" spans="1:59" x14ac:dyDescent="0.3">
      <c r="A1026" s="1" t="s">
        <v>46</v>
      </c>
      <c r="B1026" s="7">
        <v>40755</v>
      </c>
      <c r="C1026" s="1">
        <v>6</v>
      </c>
      <c r="D1026" s="1">
        <v>329</v>
      </c>
      <c r="E1026" s="1">
        <v>3</v>
      </c>
      <c r="F1026" s="1">
        <v>20</v>
      </c>
      <c r="H1026" s="1">
        <v>1</v>
      </c>
      <c r="I1026" s="1">
        <v>1</v>
      </c>
      <c r="L1026" s="1">
        <v>1</v>
      </c>
      <c r="R1026" s="3">
        <v>0</v>
      </c>
      <c r="S1026" s="3">
        <v>1</v>
      </c>
    </row>
    <row r="1027" spans="1:59" x14ac:dyDescent="0.3">
      <c r="A1027" s="1" t="s">
        <v>46</v>
      </c>
      <c r="B1027" s="7">
        <v>40755</v>
      </c>
      <c r="C1027" s="1">
        <v>6</v>
      </c>
      <c r="D1027" s="1">
        <v>329</v>
      </c>
      <c r="E1027" s="1">
        <v>3</v>
      </c>
      <c r="F1027" s="1">
        <v>21</v>
      </c>
      <c r="H1027" s="1">
        <v>1</v>
      </c>
      <c r="L1027" s="1">
        <v>1</v>
      </c>
    </row>
    <row r="1028" spans="1:59" x14ac:dyDescent="0.3">
      <c r="A1028" s="1" t="s">
        <v>46</v>
      </c>
      <c r="B1028" s="7">
        <v>40755</v>
      </c>
      <c r="C1028" s="1">
        <v>6</v>
      </c>
      <c r="D1028" s="1">
        <v>329</v>
      </c>
      <c r="E1028" s="1">
        <v>3</v>
      </c>
      <c r="F1028" s="1">
        <v>22</v>
      </c>
      <c r="L1028" s="8">
        <v>1</v>
      </c>
      <c r="M1028" s="8"/>
      <c r="R1028" s="3">
        <v>0</v>
      </c>
      <c r="S1028" s="3">
        <v>1</v>
      </c>
    </row>
    <row r="1029" spans="1:59" x14ac:dyDescent="0.3">
      <c r="A1029" s="1" t="s">
        <v>46</v>
      </c>
      <c r="B1029" s="7">
        <v>40755</v>
      </c>
      <c r="C1029" s="1">
        <v>6</v>
      </c>
      <c r="D1029" s="1">
        <v>329</v>
      </c>
      <c r="E1029" s="1">
        <v>3</v>
      </c>
      <c r="F1029" s="1">
        <v>23</v>
      </c>
      <c r="H1029" s="1">
        <v>1</v>
      </c>
      <c r="J1029" s="1">
        <v>1</v>
      </c>
      <c r="L1029" s="1">
        <v>1</v>
      </c>
      <c r="AG1029" s="3">
        <v>0</v>
      </c>
      <c r="AH1029" s="3">
        <v>1</v>
      </c>
    </row>
    <row r="1030" spans="1:59" x14ac:dyDescent="0.3">
      <c r="A1030" s="1" t="s">
        <v>46</v>
      </c>
      <c r="B1030" s="7">
        <v>40755</v>
      </c>
      <c r="C1030" s="1">
        <v>6</v>
      </c>
      <c r="D1030" s="1">
        <v>329</v>
      </c>
      <c r="E1030" s="1">
        <v>3</v>
      </c>
      <c r="F1030" s="1">
        <v>24</v>
      </c>
      <c r="J1030" s="3">
        <v>0</v>
      </c>
      <c r="K1030" s="3">
        <v>1</v>
      </c>
      <c r="L1030" s="1">
        <v>1</v>
      </c>
      <c r="T1030" s="1">
        <v>1</v>
      </c>
    </row>
    <row r="1031" spans="1:59" x14ac:dyDescent="0.3">
      <c r="A1031" s="1" t="s">
        <v>46</v>
      </c>
      <c r="B1031" s="7">
        <v>40755</v>
      </c>
      <c r="C1031" s="1">
        <v>6</v>
      </c>
      <c r="D1031" s="1">
        <v>329</v>
      </c>
      <c r="E1031" s="1">
        <v>3</v>
      </c>
      <c r="F1031" s="1">
        <v>25</v>
      </c>
      <c r="J1031" s="3">
        <v>0</v>
      </c>
      <c r="K1031" s="3">
        <v>1</v>
      </c>
      <c r="L1031" s="1">
        <v>1</v>
      </c>
      <c r="BG1031" s="1">
        <v>1</v>
      </c>
    </row>
    <row r="1032" spans="1:59" x14ac:dyDescent="0.3">
      <c r="A1032" s="1" t="s">
        <v>46</v>
      </c>
      <c r="B1032" s="7">
        <v>40755</v>
      </c>
      <c r="C1032" s="1">
        <v>6</v>
      </c>
      <c r="D1032" s="1">
        <v>329</v>
      </c>
      <c r="E1032" s="1">
        <v>3</v>
      </c>
      <c r="F1032" s="1">
        <v>26</v>
      </c>
      <c r="I1032" s="1">
        <v>1</v>
      </c>
      <c r="AG1032" s="1">
        <v>1</v>
      </c>
    </row>
    <row r="1033" spans="1:59" x14ac:dyDescent="0.3">
      <c r="A1033" s="1" t="s">
        <v>46</v>
      </c>
      <c r="B1033" s="7">
        <v>40755</v>
      </c>
      <c r="C1033" s="1">
        <v>6</v>
      </c>
      <c r="D1033" s="1">
        <v>329</v>
      </c>
      <c r="E1033" s="1">
        <v>3</v>
      </c>
      <c r="F1033" s="1">
        <v>27</v>
      </c>
      <c r="J1033" s="3">
        <v>0</v>
      </c>
      <c r="K1033" s="3">
        <v>1</v>
      </c>
      <c r="BG1033" s="1">
        <v>1</v>
      </c>
    </row>
    <row r="1034" spans="1:59" x14ac:dyDescent="0.3">
      <c r="A1034" s="1" t="s">
        <v>46</v>
      </c>
      <c r="B1034" s="7">
        <v>40755</v>
      </c>
      <c r="C1034" s="1">
        <v>6</v>
      </c>
      <c r="D1034" s="1">
        <v>329</v>
      </c>
      <c r="E1034" s="1">
        <v>3</v>
      </c>
      <c r="F1034" s="1">
        <v>28</v>
      </c>
      <c r="I1034" s="1">
        <v>1</v>
      </c>
      <c r="J1034" s="3">
        <v>0</v>
      </c>
      <c r="K1034" s="3">
        <v>1</v>
      </c>
    </row>
    <row r="1035" spans="1:59" x14ac:dyDescent="0.3">
      <c r="A1035" s="1" t="s">
        <v>46</v>
      </c>
      <c r="B1035" s="7">
        <v>40755</v>
      </c>
      <c r="C1035" s="1">
        <v>6</v>
      </c>
      <c r="D1035" s="1">
        <v>329</v>
      </c>
      <c r="E1035" s="1">
        <v>3</v>
      </c>
      <c r="F1035" s="1">
        <v>29</v>
      </c>
      <c r="I1035" s="1">
        <v>1</v>
      </c>
      <c r="L1035" s="1">
        <v>1</v>
      </c>
    </row>
    <row r="1036" spans="1:59" x14ac:dyDescent="0.3">
      <c r="A1036" s="1" t="s">
        <v>46</v>
      </c>
      <c r="B1036" s="7">
        <v>40755</v>
      </c>
      <c r="C1036" s="1">
        <v>6</v>
      </c>
      <c r="D1036" s="1">
        <v>329</v>
      </c>
      <c r="E1036" s="1">
        <v>3</v>
      </c>
      <c r="F1036" s="1">
        <v>30</v>
      </c>
      <c r="H1036" s="1">
        <v>1</v>
      </c>
      <c r="L1036" s="1">
        <v>1</v>
      </c>
      <c r="R1036" s="3">
        <v>0</v>
      </c>
      <c r="S1036" s="3">
        <v>1</v>
      </c>
    </row>
    <row r="1037" spans="1:59" x14ac:dyDescent="0.3">
      <c r="A1037" s="1" t="s">
        <v>46</v>
      </c>
      <c r="B1037" s="7">
        <v>40755</v>
      </c>
      <c r="C1037" s="1">
        <v>6</v>
      </c>
      <c r="D1037" s="1">
        <v>329</v>
      </c>
      <c r="E1037" s="1">
        <v>3</v>
      </c>
      <c r="F1037" s="1">
        <v>31</v>
      </c>
      <c r="L1037" s="8">
        <v>1</v>
      </c>
      <c r="M1037" s="8"/>
      <c r="AF1037" s="1">
        <v>1</v>
      </c>
    </row>
    <row r="1038" spans="1:59" x14ac:dyDescent="0.3">
      <c r="A1038" s="1" t="s">
        <v>46</v>
      </c>
      <c r="B1038" s="7">
        <v>40755</v>
      </c>
      <c r="C1038" s="1">
        <v>6</v>
      </c>
      <c r="D1038" s="1">
        <v>329</v>
      </c>
      <c r="E1038" s="1">
        <v>3</v>
      </c>
      <c r="F1038" s="1">
        <v>32</v>
      </c>
      <c r="J1038" s="1">
        <v>1</v>
      </c>
      <c r="L1038" s="8">
        <v>1</v>
      </c>
      <c r="M1038" s="8"/>
    </row>
    <row r="1039" spans="1:59" x14ac:dyDescent="0.3">
      <c r="A1039" s="1" t="s">
        <v>46</v>
      </c>
      <c r="B1039" s="7">
        <v>40755</v>
      </c>
      <c r="C1039" s="1">
        <v>6</v>
      </c>
      <c r="D1039" s="1">
        <v>329</v>
      </c>
      <c r="E1039" s="1">
        <v>3</v>
      </c>
      <c r="F1039" s="1">
        <v>33</v>
      </c>
      <c r="L1039" s="1">
        <v>1</v>
      </c>
      <c r="R1039" s="3">
        <v>0</v>
      </c>
      <c r="S1039" s="3">
        <v>1</v>
      </c>
    </row>
    <row r="1040" spans="1:59" x14ac:dyDescent="0.3">
      <c r="A1040" s="1" t="s">
        <v>46</v>
      </c>
      <c r="B1040" s="7">
        <v>40755</v>
      </c>
      <c r="C1040" s="1">
        <v>6</v>
      </c>
      <c r="D1040" s="1">
        <v>329</v>
      </c>
      <c r="E1040" s="1">
        <v>3</v>
      </c>
      <c r="F1040" s="1">
        <v>34</v>
      </c>
      <c r="J1040" s="3">
        <v>0</v>
      </c>
      <c r="K1040" s="3">
        <v>1</v>
      </c>
      <c r="L1040" s="3">
        <v>0</v>
      </c>
      <c r="M1040" s="3">
        <v>1</v>
      </c>
    </row>
    <row r="1041" spans="1:59" x14ac:dyDescent="0.3">
      <c r="A1041" s="1" t="s">
        <v>46</v>
      </c>
      <c r="B1041" s="7">
        <v>40755</v>
      </c>
      <c r="C1041" s="1">
        <v>6</v>
      </c>
      <c r="D1041" s="1">
        <v>329</v>
      </c>
      <c r="E1041" s="1">
        <v>3</v>
      </c>
      <c r="F1041" s="1">
        <v>35</v>
      </c>
      <c r="I1041" s="1">
        <v>1</v>
      </c>
      <c r="L1041" s="1">
        <v>1</v>
      </c>
      <c r="T1041" s="1">
        <v>1</v>
      </c>
    </row>
    <row r="1042" spans="1:59" x14ac:dyDescent="0.3">
      <c r="A1042" s="1" t="s">
        <v>46</v>
      </c>
      <c r="B1042" s="7">
        <v>40755</v>
      </c>
      <c r="C1042" s="1">
        <v>6</v>
      </c>
      <c r="D1042" s="1">
        <v>329</v>
      </c>
      <c r="E1042" s="1">
        <v>3</v>
      </c>
      <c r="F1042" s="1">
        <v>36</v>
      </c>
      <c r="J1042" s="1">
        <v>1</v>
      </c>
      <c r="AG1042" s="1">
        <v>1</v>
      </c>
    </row>
    <row r="1043" spans="1:59" x14ac:dyDescent="0.3">
      <c r="A1043" s="1" t="s">
        <v>46</v>
      </c>
      <c r="B1043" s="7">
        <v>40755</v>
      </c>
      <c r="C1043" s="1">
        <v>6</v>
      </c>
      <c r="D1043" s="1">
        <v>329</v>
      </c>
      <c r="E1043" s="1">
        <v>3</v>
      </c>
      <c r="F1043" s="1">
        <v>37</v>
      </c>
      <c r="J1043" s="3">
        <v>0</v>
      </c>
      <c r="K1043" s="3">
        <v>1</v>
      </c>
      <c r="L1043" s="1">
        <v>1</v>
      </c>
    </row>
    <row r="1044" spans="1:59" x14ac:dyDescent="0.3">
      <c r="A1044" s="1" t="s">
        <v>46</v>
      </c>
      <c r="B1044" s="7">
        <v>40755</v>
      </c>
      <c r="C1044" s="1">
        <v>6</v>
      </c>
      <c r="D1044" s="1">
        <v>329</v>
      </c>
      <c r="E1044" s="1">
        <v>3</v>
      </c>
      <c r="F1044" s="1">
        <v>38</v>
      </c>
      <c r="L1044" s="1">
        <v>1</v>
      </c>
      <c r="R1044" s="1">
        <v>1</v>
      </c>
      <c r="AI1044" s="3">
        <v>0</v>
      </c>
      <c r="AJ1044" s="3">
        <v>1</v>
      </c>
    </row>
    <row r="1045" spans="1:59" x14ac:dyDescent="0.3">
      <c r="A1045" s="1" t="s">
        <v>46</v>
      </c>
      <c r="B1045" s="7">
        <v>40755</v>
      </c>
      <c r="C1045" s="1">
        <v>6</v>
      </c>
      <c r="D1045" s="1">
        <v>329</v>
      </c>
      <c r="E1045" s="1">
        <v>3</v>
      </c>
      <c r="F1045" s="1">
        <v>39</v>
      </c>
      <c r="L1045" s="1">
        <v>1</v>
      </c>
      <c r="R1045" s="1">
        <v>1</v>
      </c>
    </row>
    <row r="1046" spans="1:59" x14ac:dyDescent="0.3">
      <c r="A1046" s="1" t="s">
        <v>46</v>
      </c>
      <c r="B1046" s="7">
        <v>40755</v>
      </c>
      <c r="C1046" s="1">
        <v>6</v>
      </c>
      <c r="D1046" s="1">
        <v>329</v>
      </c>
      <c r="E1046" s="1">
        <v>3</v>
      </c>
      <c r="F1046" s="1">
        <v>40</v>
      </c>
      <c r="I1046" s="1">
        <v>1</v>
      </c>
      <c r="P1046" s="3">
        <v>0</v>
      </c>
      <c r="Q1046" s="3">
        <v>1</v>
      </c>
    </row>
    <row r="1047" spans="1:59" x14ac:dyDescent="0.3">
      <c r="A1047" s="1" t="s">
        <v>46</v>
      </c>
      <c r="B1047" s="7">
        <v>40755</v>
      </c>
      <c r="C1047" s="1">
        <v>6</v>
      </c>
      <c r="D1047" s="1">
        <v>329</v>
      </c>
      <c r="E1047" s="1">
        <v>3</v>
      </c>
      <c r="F1047" s="1">
        <v>41</v>
      </c>
      <c r="J1047" s="1">
        <v>1</v>
      </c>
      <c r="R1047" s="3">
        <v>0</v>
      </c>
      <c r="S1047" s="3">
        <v>1</v>
      </c>
    </row>
    <row r="1048" spans="1:59" x14ac:dyDescent="0.3">
      <c r="A1048" s="1" t="s">
        <v>46</v>
      </c>
      <c r="B1048" s="7">
        <v>40755</v>
      </c>
      <c r="C1048" s="1">
        <v>6</v>
      </c>
      <c r="D1048" s="1">
        <v>329</v>
      </c>
      <c r="E1048" s="1">
        <v>3</v>
      </c>
      <c r="F1048" s="1">
        <v>42</v>
      </c>
      <c r="J1048" s="1">
        <v>1</v>
      </c>
      <c r="L1048" s="8">
        <v>1</v>
      </c>
      <c r="M1048" s="8"/>
    </row>
    <row r="1049" spans="1:59" x14ac:dyDescent="0.3">
      <c r="A1049" s="1" t="s">
        <v>46</v>
      </c>
      <c r="B1049" s="7">
        <v>40755</v>
      </c>
      <c r="C1049" s="1">
        <v>6</v>
      </c>
      <c r="D1049" s="1">
        <v>329</v>
      </c>
      <c r="E1049" s="1">
        <v>3</v>
      </c>
      <c r="F1049" s="1">
        <v>43</v>
      </c>
      <c r="J1049" s="1">
        <v>1</v>
      </c>
      <c r="L1049" s="1">
        <v>1</v>
      </c>
    </row>
    <row r="1050" spans="1:59" x14ac:dyDescent="0.3">
      <c r="A1050" s="1" t="s">
        <v>46</v>
      </c>
      <c r="B1050" s="7">
        <v>40755</v>
      </c>
      <c r="C1050" s="1">
        <v>6</v>
      </c>
      <c r="D1050" s="1">
        <v>329</v>
      </c>
      <c r="E1050" s="1">
        <v>3</v>
      </c>
      <c r="F1050" s="1">
        <v>44</v>
      </c>
      <c r="V1050" s="1">
        <v>1</v>
      </c>
      <c r="AF1050" s="1">
        <v>1</v>
      </c>
      <c r="BC1050" s="1">
        <v>1</v>
      </c>
    </row>
    <row r="1051" spans="1:59" x14ac:dyDescent="0.3">
      <c r="A1051" s="1" t="s">
        <v>46</v>
      </c>
      <c r="B1051" s="7">
        <v>40755</v>
      </c>
      <c r="C1051" s="1">
        <v>6</v>
      </c>
      <c r="D1051" s="1">
        <v>329</v>
      </c>
      <c r="E1051" s="1">
        <v>3</v>
      </c>
      <c r="F1051" s="1">
        <v>45</v>
      </c>
      <c r="L1051" s="1">
        <v>1</v>
      </c>
      <c r="P1051" s="1">
        <v>1</v>
      </c>
    </row>
    <row r="1052" spans="1:59" x14ac:dyDescent="0.3">
      <c r="A1052" s="1" t="s">
        <v>46</v>
      </c>
      <c r="B1052" s="7">
        <v>40755</v>
      </c>
      <c r="C1052" s="1">
        <v>6</v>
      </c>
      <c r="D1052" s="1">
        <v>329</v>
      </c>
      <c r="E1052" s="1">
        <v>3</v>
      </c>
      <c r="F1052" s="1">
        <v>46</v>
      </c>
      <c r="J1052" s="3">
        <v>0</v>
      </c>
      <c r="K1052" s="3">
        <v>1</v>
      </c>
      <c r="BG1052" s="1">
        <v>1</v>
      </c>
    </row>
    <row r="1053" spans="1:59" x14ac:dyDescent="0.3">
      <c r="A1053" s="1" t="s">
        <v>46</v>
      </c>
      <c r="B1053" s="7">
        <v>40755</v>
      </c>
      <c r="C1053" s="1">
        <v>6</v>
      </c>
      <c r="D1053" s="1">
        <v>329</v>
      </c>
      <c r="E1053" s="1">
        <v>3</v>
      </c>
      <c r="F1053" s="1">
        <v>47</v>
      </c>
      <c r="I1053" s="1">
        <v>1</v>
      </c>
    </row>
    <row r="1054" spans="1:59" x14ac:dyDescent="0.3">
      <c r="A1054" s="1" t="s">
        <v>46</v>
      </c>
      <c r="B1054" s="7">
        <v>40755</v>
      </c>
      <c r="C1054" s="1">
        <v>6</v>
      </c>
      <c r="D1054" s="1">
        <v>329</v>
      </c>
      <c r="E1054" s="1">
        <v>3</v>
      </c>
      <c r="F1054" s="1">
        <v>48</v>
      </c>
      <c r="H1054" s="1">
        <v>1</v>
      </c>
      <c r="L1054" s="1">
        <v>1</v>
      </c>
    </row>
    <row r="1055" spans="1:59" x14ac:dyDescent="0.3">
      <c r="A1055" s="1" t="s">
        <v>46</v>
      </c>
      <c r="B1055" s="7">
        <v>40755</v>
      </c>
      <c r="C1055" s="1">
        <v>6</v>
      </c>
      <c r="D1055" s="1">
        <v>329</v>
      </c>
      <c r="E1055" s="1">
        <v>3</v>
      </c>
      <c r="F1055" s="1">
        <v>49</v>
      </c>
      <c r="L1055" s="1">
        <v>1</v>
      </c>
      <c r="R1055" s="1">
        <v>1</v>
      </c>
    </row>
    <row r="1056" spans="1:59" x14ac:dyDescent="0.3">
      <c r="A1056" s="1" t="s">
        <v>46</v>
      </c>
      <c r="B1056" s="7">
        <v>40755</v>
      </c>
      <c r="C1056" s="1">
        <v>6</v>
      </c>
      <c r="D1056" s="1">
        <v>329</v>
      </c>
      <c r="E1056" s="1">
        <v>3</v>
      </c>
      <c r="F1056" s="1">
        <v>50</v>
      </c>
      <c r="H1056" s="1">
        <v>1</v>
      </c>
      <c r="I1056" s="1">
        <v>1</v>
      </c>
      <c r="L1056" s="1">
        <v>1</v>
      </c>
    </row>
    <row r="1057" spans="1:60" x14ac:dyDescent="0.3">
      <c r="A1057" s="1" t="s">
        <v>46</v>
      </c>
      <c r="B1057" s="7">
        <v>40755</v>
      </c>
      <c r="C1057" s="1">
        <v>6</v>
      </c>
      <c r="D1057" s="1">
        <v>329</v>
      </c>
      <c r="E1057" s="1">
        <v>3</v>
      </c>
      <c r="F1057" s="1">
        <v>51</v>
      </c>
      <c r="I1057" s="1">
        <v>1</v>
      </c>
      <c r="J1057" s="1">
        <v>1</v>
      </c>
      <c r="L1057" s="1">
        <v>1</v>
      </c>
    </row>
    <row r="1058" spans="1:60" x14ac:dyDescent="0.3">
      <c r="A1058" s="1" t="s">
        <v>46</v>
      </c>
      <c r="B1058" s="7">
        <v>40755</v>
      </c>
      <c r="C1058" s="1">
        <v>6</v>
      </c>
      <c r="D1058" s="1">
        <v>329</v>
      </c>
      <c r="E1058" s="1">
        <v>3</v>
      </c>
      <c r="F1058" s="1">
        <v>52</v>
      </c>
      <c r="J1058" s="1">
        <v>1</v>
      </c>
    </row>
    <row r="1059" spans="1:60" x14ac:dyDescent="0.3">
      <c r="A1059" s="1" t="s">
        <v>46</v>
      </c>
      <c r="B1059" s="7">
        <v>40755</v>
      </c>
      <c r="C1059" s="1">
        <v>6</v>
      </c>
      <c r="D1059" s="1">
        <v>329</v>
      </c>
      <c r="E1059" s="1">
        <v>3</v>
      </c>
      <c r="F1059" s="1">
        <v>53</v>
      </c>
      <c r="L1059" s="1">
        <v>1</v>
      </c>
      <c r="P1059" s="1">
        <v>1</v>
      </c>
    </row>
    <row r="1060" spans="1:60" x14ac:dyDescent="0.3">
      <c r="A1060" s="1" t="s">
        <v>46</v>
      </c>
      <c r="B1060" s="7">
        <v>40755</v>
      </c>
      <c r="C1060" s="1">
        <v>6</v>
      </c>
      <c r="D1060" s="1">
        <v>329</v>
      </c>
      <c r="E1060" s="1">
        <v>3</v>
      </c>
      <c r="F1060" s="1">
        <v>54</v>
      </c>
      <c r="J1060" s="1">
        <v>1</v>
      </c>
      <c r="AG1060" s="1">
        <v>1</v>
      </c>
    </row>
    <row r="1061" spans="1:60" x14ac:dyDescent="0.3">
      <c r="A1061" s="1" t="s">
        <v>46</v>
      </c>
      <c r="B1061" s="7">
        <v>40755</v>
      </c>
      <c r="C1061" s="1">
        <v>6</v>
      </c>
      <c r="D1061" s="1">
        <v>329</v>
      </c>
      <c r="E1061" s="1">
        <v>3</v>
      </c>
      <c r="F1061" s="1">
        <v>55</v>
      </c>
      <c r="P1061" s="3">
        <v>0</v>
      </c>
      <c r="Q1061" s="3">
        <v>1</v>
      </c>
      <c r="T1061" s="1">
        <v>1</v>
      </c>
      <c r="BG1061" s="3">
        <v>0</v>
      </c>
      <c r="BH1061" s="3">
        <v>1</v>
      </c>
    </row>
    <row r="1062" spans="1:60" x14ac:dyDescent="0.3">
      <c r="A1062" s="1" t="s">
        <v>46</v>
      </c>
      <c r="B1062" s="7">
        <v>40755</v>
      </c>
      <c r="C1062" s="1">
        <v>6</v>
      </c>
      <c r="D1062" s="1">
        <v>329</v>
      </c>
      <c r="E1062" s="1">
        <v>3</v>
      </c>
      <c r="F1062" s="1">
        <v>56</v>
      </c>
      <c r="P1062" s="3">
        <v>0</v>
      </c>
      <c r="Q1062" s="3">
        <v>1</v>
      </c>
    </row>
    <row r="1063" spans="1:60" x14ac:dyDescent="0.3">
      <c r="A1063" s="1" t="s">
        <v>46</v>
      </c>
      <c r="B1063" s="7">
        <v>40755</v>
      </c>
      <c r="C1063" s="1">
        <v>6</v>
      </c>
      <c r="D1063" s="1">
        <v>329</v>
      </c>
      <c r="E1063" s="1">
        <v>3</v>
      </c>
      <c r="F1063" s="1">
        <v>57</v>
      </c>
      <c r="H1063" s="1">
        <v>1</v>
      </c>
      <c r="P1063" s="3">
        <v>0</v>
      </c>
      <c r="Q1063" s="3">
        <v>1</v>
      </c>
    </row>
    <row r="1064" spans="1:60" x14ac:dyDescent="0.3">
      <c r="A1064" s="1" t="s">
        <v>46</v>
      </c>
      <c r="B1064" s="7">
        <v>40755</v>
      </c>
      <c r="C1064" s="1">
        <v>6</v>
      </c>
      <c r="D1064" s="1">
        <v>329</v>
      </c>
      <c r="E1064" s="1">
        <v>3</v>
      </c>
      <c r="F1064" s="1">
        <v>58</v>
      </c>
      <c r="L1064" s="1">
        <v>1</v>
      </c>
    </row>
    <row r="1065" spans="1:60" x14ac:dyDescent="0.3">
      <c r="A1065" s="1" t="s">
        <v>46</v>
      </c>
      <c r="B1065" s="7">
        <v>40755</v>
      </c>
      <c r="C1065" s="1">
        <v>6</v>
      </c>
      <c r="D1065" s="1">
        <v>329</v>
      </c>
      <c r="E1065" s="1">
        <v>3</v>
      </c>
      <c r="F1065" s="1">
        <v>59</v>
      </c>
      <c r="L1065" s="1">
        <v>1</v>
      </c>
      <c r="P1065" s="1">
        <v>1</v>
      </c>
    </row>
    <row r="1066" spans="1:60" x14ac:dyDescent="0.3">
      <c r="A1066" s="1" t="s">
        <v>46</v>
      </c>
      <c r="B1066" s="7">
        <v>40755</v>
      </c>
      <c r="C1066" s="1">
        <v>6</v>
      </c>
      <c r="D1066" s="1">
        <v>329</v>
      </c>
      <c r="E1066" s="1">
        <v>3</v>
      </c>
      <c r="F1066" s="1">
        <v>60</v>
      </c>
      <c r="L1066" s="1">
        <v>1</v>
      </c>
      <c r="P1066" s="3">
        <v>0</v>
      </c>
      <c r="Q1066" s="3">
        <v>1</v>
      </c>
    </row>
    <row r="1067" spans="1:60" x14ac:dyDescent="0.3">
      <c r="A1067" s="1" t="s">
        <v>46</v>
      </c>
      <c r="B1067" s="7">
        <v>40755</v>
      </c>
      <c r="C1067" s="1">
        <v>6</v>
      </c>
      <c r="D1067" s="1">
        <v>329</v>
      </c>
      <c r="E1067" s="1">
        <v>3</v>
      </c>
      <c r="F1067" s="1">
        <v>61</v>
      </c>
      <c r="P1067" s="3">
        <v>0</v>
      </c>
      <c r="Q1067" s="3">
        <v>1</v>
      </c>
    </row>
    <row r="1068" spans="1:60" x14ac:dyDescent="0.3">
      <c r="A1068" s="1" t="s">
        <v>46</v>
      </c>
      <c r="B1068" s="7">
        <v>40755</v>
      </c>
      <c r="C1068" s="1">
        <v>6</v>
      </c>
      <c r="D1068" s="1">
        <v>329</v>
      </c>
      <c r="E1068" s="1">
        <v>3</v>
      </c>
      <c r="F1068" s="1">
        <v>62</v>
      </c>
      <c r="I1068" s="1">
        <v>1</v>
      </c>
      <c r="L1068" s="1">
        <v>1</v>
      </c>
      <c r="P1068" s="3">
        <v>0</v>
      </c>
      <c r="Q1068" s="3">
        <v>1</v>
      </c>
    </row>
    <row r="1069" spans="1:60" x14ac:dyDescent="0.3">
      <c r="A1069" s="1" t="s">
        <v>46</v>
      </c>
      <c r="B1069" s="7">
        <v>40755</v>
      </c>
      <c r="C1069" s="1">
        <v>6</v>
      </c>
      <c r="D1069" s="1">
        <v>329</v>
      </c>
      <c r="E1069" s="1">
        <v>3</v>
      </c>
      <c r="F1069" s="1">
        <v>63</v>
      </c>
      <c r="L1069" s="1">
        <v>1</v>
      </c>
    </row>
    <row r="1070" spans="1:60" x14ac:dyDescent="0.3">
      <c r="A1070" s="1" t="s">
        <v>46</v>
      </c>
      <c r="B1070" s="7">
        <v>40755</v>
      </c>
      <c r="C1070" s="1">
        <v>6</v>
      </c>
      <c r="D1070" s="1">
        <v>329</v>
      </c>
      <c r="E1070" s="1">
        <v>3</v>
      </c>
      <c r="F1070" s="1">
        <v>64</v>
      </c>
      <c r="J1070" s="3">
        <v>0</v>
      </c>
      <c r="K1070" s="3">
        <v>1</v>
      </c>
      <c r="T1070" s="1">
        <v>1</v>
      </c>
    </row>
    <row r="1071" spans="1:60" x14ac:dyDescent="0.3">
      <c r="A1071" s="1" t="s">
        <v>46</v>
      </c>
      <c r="B1071" s="7">
        <v>40755</v>
      </c>
      <c r="C1071" s="1">
        <v>6</v>
      </c>
      <c r="D1071" s="1">
        <v>329</v>
      </c>
      <c r="E1071" s="1">
        <v>3</v>
      </c>
      <c r="F1071" s="1">
        <v>65</v>
      </c>
      <c r="H1071" s="1">
        <v>1</v>
      </c>
      <c r="I1071" s="1">
        <v>1</v>
      </c>
    </row>
    <row r="1072" spans="1:60" x14ac:dyDescent="0.3">
      <c r="A1072" s="1" t="s">
        <v>46</v>
      </c>
      <c r="B1072" s="7">
        <v>40755</v>
      </c>
      <c r="C1072" s="1">
        <v>6</v>
      </c>
      <c r="D1072" s="1">
        <v>329</v>
      </c>
      <c r="E1072" s="1">
        <v>3</v>
      </c>
      <c r="F1072" s="1">
        <v>66</v>
      </c>
      <c r="H1072" s="1">
        <v>1</v>
      </c>
      <c r="AS1072" s="1">
        <v>1</v>
      </c>
    </row>
    <row r="1073" spans="1:60" x14ac:dyDescent="0.3">
      <c r="A1073" s="1" t="s">
        <v>46</v>
      </c>
      <c r="B1073" s="7">
        <v>40755</v>
      </c>
      <c r="C1073" s="1">
        <v>6</v>
      </c>
      <c r="D1073" s="1">
        <v>329</v>
      </c>
      <c r="E1073" s="1">
        <v>3</v>
      </c>
      <c r="F1073" s="1">
        <v>67</v>
      </c>
      <c r="L1073" s="8">
        <v>1</v>
      </c>
      <c r="M1073" s="8"/>
      <c r="BG1073" s="3">
        <v>0</v>
      </c>
      <c r="BH1073" s="3">
        <v>1</v>
      </c>
    </row>
    <row r="1074" spans="1:60" x14ac:dyDescent="0.3">
      <c r="A1074" s="1" t="s">
        <v>46</v>
      </c>
      <c r="B1074" s="7">
        <v>40755</v>
      </c>
      <c r="C1074" s="1">
        <v>6</v>
      </c>
      <c r="D1074" s="1">
        <v>329</v>
      </c>
      <c r="E1074" s="1">
        <v>3</v>
      </c>
      <c r="F1074" s="1">
        <v>68</v>
      </c>
      <c r="J1074" s="1">
        <v>1</v>
      </c>
      <c r="L1074" s="1">
        <v>1</v>
      </c>
    </row>
    <row r="1075" spans="1:60" x14ac:dyDescent="0.3">
      <c r="A1075" s="1" t="s">
        <v>46</v>
      </c>
      <c r="B1075" s="7">
        <v>40755</v>
      </c>
      <c r="C1075" s="1">
        <v>6</v>
      </c>
      <c r="D1075" s="1">
        <v>329</v>
      </c>
      <c r="E1075" s="1">
        <v>3</v>
      </c>
      <c r="F1075" s="1">
        <v>69</v>
      </c>
      <c r="J1075" s="1">
        <v>1</v>
      </c>
      <c r="L1075" s="1">
        <v>1</v>
      </c>
    </row>
    <row r="1076" spans="1:60" x14ac:dyDescent="0.3">
      <c r="A1076" s="1" t="s">
        <v>46</v>
      </c>
      <c r="B1076" s="7">
        <v>40755</v>
      </c>
      <c r="C1076" s="1">
        <v>6</v>
      </c>
      <c r="D1076" s="1">
        <v>329</v>
      </c>
      <c r="E1076" s="1">
        <v>3</v>
      </c>
      <c r="F1076" s="1">
        <v>70</v>
      </c>
      <c r="P1076" s="3">
        <v>0</v>
      </c>
      <c r="Q1076" s="3">
        <v>1</v>
      </c>
    </row>
    <row r="1077" spans="1:60" x14ac:dyDescent="0.3">
      <c r="A1077" s="1" t="s">
        <v>46</v>
      </c>
      <c r="B1077" s="7">
        <v>40755</v>
      </c>
      <c r="C1077" s="1">
        <v>6</v>
      </c>
      <c r="D1077" s="1">
        <v>329</v>
      </c>
      <c r="E1077" s="1">
        <v>3</v>
      </c>
      <c r="F1077" s="1">
        <v>71</v>
      </c>
      <c r="L1077" s="1">
        <v>1</v>
      </c>
      <c r="P1077" s="1">
        <v>1</v>
      </c>
      <c r="AF1077" s="1">
        <v>1</v>
      </c>
    </row>
    <row r="1078" spans="1:60" x14ac:dyDescent="0.3">
      <c r="A1078" s="1" t="s">
        <v>46</v>
      </c>
      <c r="B1078" s="7">
        <v>40755</v>
      </c>
      <c r="C1078" s="1">
        <v>6</v>
      </c>
      <c r="D1078" s="1">
        <v>329</v>
      </c>
      <c r="E1078" s="1">
        <v>3</v>
      </c>
      <c r="F1078" s="1">
        <v>72</v>
      </c>
      <c r="L1078" s="1">
        <v>1</v>
      </c>
      <c r="P1078" s="1">
        <v>1</v>
      </c>
    </row>
    <row r="1079" spans="1:60" x14ac:dyDescent="0.3">
      <c r="A1079" s="1" t="s">
        <v>46</v>
      </c>
      <c r="B1079" s="7">
        <v>40755</v>
      </c>
      <c r="C1079" s="1">
        <v>6</v>
      </c>
      <c r="D1079" s="1">
        <v>329</v>
      </c>
      <c r="E1079" s="1">
        <v>3</v>
      </c>
      <c r="F1079" s="1">
        <v>73</v>
      </c>
      <c r="J1079" s="1">
        <v>1</v>
      </c>
    </row>
    <row r="1080" spans="1:60" x14ac:dyDescent="0.3">
      <c r="A1080" s="1" t="s">
        <v>46</v>
      </c>
      <c r="B1080" s="7">
        <v>40755</v>
      </c>
      <c r="C1080" s="1">
        <v>6</v>
      </c>
      <c r="D1080" s="1">
        <v>329</v>
      </c>
      <c r="E1080" s="1">
        <v>3</v>
      </c>
      <c r="F1080" s="1">
        <v>74</v>
      </c>
      <c r="H1080" s="1">
        <v>1</v>
      </c>
      <c r="L1080" s="1">
        <v>1</v>
      </c>
      <c r="P1080" s="1">
        <v>1</v>
      </c>
      <c r="AF1080" s="1">
        <v>1</v>
      </c>
    </row>
    <row r="1081" spans="1:60" x14ac:dyDescent="0.3">
      <c r="A1081" s="1" t="s">
        <v>46</v>
      </c>
      <c r="B1081" s="7">
        <v>40755</v>
      </c>
      <c r="C1081" s="1">
        <v>6</v>
      </c>
      <c r="D1081" s="1">
        <v>329</v>
      </c>
      <c r="E1081" s="1">
        <v>3</v>
      </c>
      <c r="F1081" s="1">
        <v>75</v>
      </c>
      <c r="H1081" s="1">
        <v>1</v>
      </c>
      <c r="T1081" s="1">
        <v>1</v>
      </c>
      <c r="AF1081" s="1">
        <v>1</v>
      </c>
    </row>
    <row r="1082" spans="1:60" x14ac:dyDescent="0.3">
      <c r="A1082" s="1" t="s">
        <v>46</v>
      </c>
      <c r="B1082" s="7">
        <v>40755</v>
      </c>
      <c r="C1082" s="1">
        <v>6</v>
      </c>
      <c r="D1082" s="1">
        <v>329</v>
      </c>
      <c r="E1082" s="1">
        <v>3</v>
      </c>
      <c r="F1082" s="1">
        <v>76</v>
      </c>
      <c r="H1082" s="1">
        <v>1</v>
      </c>
      <c r="P1082" s="1">
        <v>1</v>
      </c>
    </row>
    <row r="1083" spans="1:60" x14ac:dyDescent="0.3">
      <c r="A1083" s="1" t="s">
        <v>46</v>
      </c>
      <c r="B1083" s="7">
        <v>40755</v>
      </c>
      <c r="C1083" s="1">
        <v>6</v>
      </c>
      <c r="D1083" s="1">
        <v>329</v>
      </c>
      <c r="E1083" s="1">
        <v>3</v>
      </c>
      <c r="F1083" s="1">
        <v>77</v>
      </c>
      <c r="P1083" s="3">
        <v>0</v>
      </c>
      <c r="Q1083" s="3">
        <v>1</v>
      </c>
      <c r="T1083" s="1">
        <v>1</v>
      </c>
    </row>
    <row r="1084" spans="1:60" x14ac:dyDescent="0.3">
      <c r="A1084" s="1" t="s">
        <v>46</v>
      </c>
      <c r="B1084" s="7">
        <v>40755</v>
      </c>
      <c r="C1084" s="1">
        <v>6</v>
      </c>
      <c r="D1084" s="1">
        <v>329</v>
      </c>
      <c r="E1084" s="1">
        <v>3</v>
      </c>
      <c r="F1084" s="1">
        <v>78</v>
      </c>
      <c r="BG1084" s="3">
        <v>0</v>
      </c>
      <c r="BH1084" s="3">
        <v>1</v>
      </c>
    </row>
    <row r="1085" spans="1:60" x14ac:dyDescent="0.3">
      <c r="A1085" s="1" t="s">
        <v>46</v>
      </c>
      <c r="B1085" s="7">
        <v>40755</v>
      </c>
      <c r="C1085" s="1">
        <v>6</v>
      </c>
      <c r="D1085" s="1">
        <v>329</v>
      </c>
      <c r="E1085" s="1">
        <v>3</v>
      </c>
      <c r="F1085" s="1">
        <v>79</v>
      </c>
      <c r="J1085" s="3">
        <v>0</v>
      </c>
      <c r="K1085" s="3">
        <v>1</v>
      </c>
    </row>
    <row r="1086" spans="1:60" x14ac:dyDescent="0.3">
      <c r="A1086" s="1" t="s">
        <v>46</v>
      </c>
      <c r="B1086" s="7">
        <v>40755</v>
      </c>
      <c r="C1086" s="1">
        <v>6</v>
      </c>
      <c r="D1086" s="1">
        <v>329</v>
      </c>
      <c r="E1086" s="1">
        <v>3</v>
      </c>
      <c r="F1086" s="1">
        <v>80</v>
      </c>
      <c r="J1086" s="1">
        <v>1</v>
      </c>
      <c r="L1086" s="1">
        <v>1</v>
      </c>
    </row>
    <row r="1087" spans="1:60" x14ac:dyDescent="0.3">
      <c r="A1087" s="1" t="s">
        <v>46</v>
      </c>
      <c r="B1087" s="7">
        <v>40755</v>
      </c>
      <c r="C1087" s="1">
        <v>6</v>
      </c>
      <c r="D1087" s="1">
        <v>329</v>
      </c>
      <c r="E1087" s="1">
        <v>3</v>
      </c>
      <c r="F1087" s="1">
        <v>81</v>
      </c>
      <c r="L1087" s="1">
        <v>1</v>
      </c>
    </row>
    <row r="1088" spans="1:60" x14ac:dyDescent="0.3">
      <c r="A1088" s="1" t="s">
        <v>46</v>
      </c>
      <c r="B1088" s="7">
        <v>40755</v>
      </c>
      <c r="C1088" s="1">
        <v>6</v>
      </c>
      <c r="D1088" s="1">
        <v>329</v>
      </c>
      <c r="E1088" s="1">
        <v>3</v>
      </c>
      <c r="F1088" s="1">
        <v>82</v>
      </c>
      <c r="J1088" s="1">
        <v>1</v>
      </c>
      <c r="L1088" s="1">
        <v>1</v>
      </c>
    </row>
    <row r="1089" spans="1:65" x14ac:dyDescent="0.3">
      <c r="A1089" s="1" t="s">
        <v>46</v>
      </c>
      <c r="B1089" s="7">
        <v>40755</v>
      </c>
      <c r="C1089" s="1">
        <v>6</v>
      </c>
      <c r="D1089" s="1">
        <v>329</v>
      </c>
      <c r="E1089" s="1">
        <v>3</v>
      </c>
      <c r="F1089" s="1">
        <v>83</v>
      </c>
      <c r="L1089" s="1">
        <v>1</v>
      </c>
      <c r="P1089" s="1">
        <v>1</v>
      </c>
      <c r="AF1089" s="1">
        <v>1</v>
      </c>
      <c r="AI1089" s="1">
        <v>1</v>
      </c>
    </row>
    <row r="1090" spans="1:65" x14ac:dyDescent="0.3">
      <c r="A1090" s="1" t="s">
        <v>46</v>
      </c>
      <c r="B1090" s="7">
        <v>40755</v>
      </c>
      <c r="C1090" s="1">
        <v>6</v>
      </c>
      <c r="D1090" s="1">
        <v>329</v>
      </c>
      <c r="E1090" s="1">
        <v>3</v>
      </c>
      <c r="F1090" s="1">
        <v>84</v>
      </c>
      <c r="J1090" s="1">
        <v>1</v>
      </c>
      <c r="L1090" s="1">
        <v>1</v>
      </c>
    </row>
    <row r="1091" spans="1:65" x14ac:dyDescent="0.3">
      <c r="A1091" s="1" t="s">
        <v>46</v>
      </c>
      <c r="B1091" s="7">
        <v>40755</v>
      </c>
      <c r="C1091" s="1">
        <v>6</v>
      </c>
      <c r="D1091" s="1">
        <v>329</v>
      </c>
      <c r="E1091" s="1">
        <v>3</v>
      </c>
      <c r="F1091" s="1">
        <v>85</v>
      </c>
      <c r="J1091" s="1">
        <v>1</v>
      </c>
    </row>
    <row r="1092" spans="1:65" x14ac:dyDescent="0.3">
      <c r="A1092" s="1" t="s">
        <v>46</v>
      </c>
      <c r="B1092" s="7">
        <v>40755</v>
      </c>
      <c r="C1092" s="1">
        <v>6</v>
      </c>
      <c r="D1092" s="1">
        <v>329</v>
      </c>
      <c r="E1092" s="1">
        <v>3</v>
      </c>
      <c r="F1092" s="1">
        <v>86</v>
      </c>
      <c r="P1092" s="3">
        <v>0</v>
      </c>
      <c r="Q1092" s="3">
        <v>1</v>
      </c>
    </row>
    <row r="1093" spans="1:65" x14ac:dyDescent="0.3">
      <c r="A1093" s="1" t="s">
        <v>46</v>
      </c>
      <c r="B1093" s="7">
        <v>40755</v>
      </c>
      <c r="C1093" s="1">
        <v>6</v>
      </c>
      <c r="D1093" s="1">
        <v>329</v>
      </c>
      <c r="E1093" s="1">
        <v>3</v>
      </c>
      <c r="F1093" s="1">
        <v>87</v>
      </c>
      <c r="L1093" s="1">
        <v>1</v>
      </c>
      <c r="AI1093" s="1">
        <v>1</v>
      </c>
      <c r="BG1093" s="1">
        <v>1</v>
      </c>
    </row>
    <row r="1094" spans="1:65" x14ac:dyDescent="0.3">
      <c r="A1094" s="1" t="s">
        <v>46</v>
      </c>
      <c r="B1094" s="7">
        <v>40755</v>
      </c>
      <c r="C1094" s="1">
        <v>6</v>
      </c>
      <c r="D1094" s="1">
        <v>329</v>
      </c>
      <c r="E1094" s="1">
        <v>3</v>
      </c>
      <c r="F1094" s="1">
        <v>88</v>
      </c>
      <c r="J1094" s="3">
        <v>0</v>
      </c>
      <c r="K1094" s="3">
        <v>1</v>
      </c>
      <c r="L1094" s="1">
        <v>1</v>
      </c>
    </row>
    <row r="1095" spans="1:65" x14ac:dyDescent="0.3">
      <c r="A1095" s="1" t="s">
        <v>46</v>
      </c>
      <c r="B1095" s="7">
        <v>40755</v>
      </c>
      <c r="C1095" s="1">
        <v>6</v>
      </c>
      <c r="D1095" s="1">
        <v>329</v>
      </c>
      <c r="E1095" s="1">
        <v>3</v>
      </c>
      <c r="F1095" s="1">
        <v>89</v>
      </c>
      <c r="J1095" s="3">
        <v>0</v>
      </c>
      <c r="K1095" s="3">
        <v>1</v>
      </c>
      <c r="BM1095" s="1">
        <v>1</v>
      </c>
    </row>
    <row r="1096" spans="1:65" x14ac:dyDescent="0.3">
      <c r="A1096" s="1" t="s">
        <v>46</v>
      </c>
      <c r="B1096" s="7">
        <v>40755</v>
      </c>
      <c r="C1096" s="1">
        <v>6</v>
      </c>
      <c r="D1096" s="1">
        <v>329</v>
      </c>
      <c r="E1096" s="1">
        <v>3</v>
      </c>
      <c r="F1096" s="1">
        <v>90</v>
      </c>
      <c r="J1096" s="1">
        <v>1</v>
      </c>
      <c r="L1096" s="1">
        <v>1</v>
      </c>
    </row>
    <row r="1097" spans="1:65" x14ac:dyDescent="0.3">
      <c r="A1097" s="1" t="s">
        <v>46</v>
      </c>
      <c r="B1097" s="7">
        <v>40755</v>
      </c>
      <c r="C1097" s="1">
        <v>6</v>
      </c>
      <c r="D1097" s="1">
        <v>329</v>
      </c>
      <c r="E1097" s="1">
        <v>3</v>
      </c>
      <c r="F1097" s="1">
        <v>91</v>
      </c>
      <c r="L1097" s="1">
        <v>1</v>
      </c>
    </row>
    <row r="1098" spans="1:65" x14ac:dyDescent="0.3">
      <c r="A1098" s="1" t="s">
        <v>46</v>
      </c>
      <c r="B1098" s="7">
        <v>40755</v>
      </c>
      <c r="C1098" s="1">
        <v>6</v>
      </c>
      <c r="D1098" s="1">
        <v>329</v>
      </c>
      <c r="E1098" s="1">
        <v>3</v>
      </c>
      <c r="F1098" s="1">
        <v>92</v>
      </c>
      <c r="L1098" s="1">
        <v>1</v>
      </c>
      <c r="AG1098" s="3">
        <v>0</v>
      </c>
      <c r="AH1098" s="3">
        <v>1</v>
      </c>
    </row>
    <row r="1099" spans="1:65" x14ac:dyDescent="0.3">
      <c r="A1099" s="1" t="s">
        <v>46</v>
      </c>
      <c r="B1099" s="7">
        <v>40755</v>
      </c>
      <c r="C1099" s="1">
        <v>6</v>
      </c>
      <c r="D1099" s="1">
        <v>329</v>
      </c>
      <c r="E1099" s="1">
        <v>3</v>
      </c>
      <c r="F1099" s="1">
        <v>93</v>
      </c>
      <c r="H1099" s="1">
        <v>1</v>
      </c>
      <c r="L1099" s="1">
        <v>1</v>
      </c>
    </row>
    <row r="1100" spans="1:65" x14ac:dyDescent="0.3">
      <c r="A1100" s="1" t="s">
        <v>46</v>
      </c>
      <c r="B1100" s="7">
        <v>40755</v>
      </c>
      <c r="C1100" s="1">
        <v>6</v>
      </c>
      <c r="D1100" s="1">
        <v>329</v>
      </c>
      <c r="E1100" s="1">
        <v>3</v>
      </c>
      <c r="F1100" s="1">
        <v>94</v>
      </c>
      <c r="J1100" s="1">
        <v>1</v>
      </c>
      <c r="L1100" s="1">
        <v>1</v>
      </c>
    </row>
    <row r="1101" spans="1:65" x14ac:dyDescent="0.3">
      <c r="A1101" s="1" t="s">
        <v>46</v>
      </c>
      <c r="B1101" s="7">
        <v>40755</v>
      </c>
      <c r="C1101" s="1">
        <v>6</v>
      </c>
      <c r="D1101" s="1">
        <v>329</v>
      </c>
      <c r="E1101" s="1">
        <v>3</v>
      </c>
      <c r="F1101" s="1">
        <v>95</v>
      </c>
      <c r="T1101" s="1">
        <v>1</v>
      </c>
    </row>
    <row r="1102" spans="1:65" x14ac:dyDescent="0.3">
      <c r="A1102" s="1" t="s">
        <v>46</v>
      </c>
      <c r="B1102" s="7">
        <v>40755</v>
      </c>
      <c r="C1102" s="1">
        <v>6</v>
      </c>
      <c r="D1102" s="1">
        <v>329</v>
      </c>
      <c r="E1102" s="1">
        <v>3</v>
      </c>
      <c r="F1102" s="1">
        <v>96</v>
      </c>
      <c r="AI1102" s="1">
        <v>1</v>
      </c>
    </row>
    <row r="1103" spans="1:65" x14ac:dyDescent="0.3">
      <c r="A1103" s="1" t="s">
        <v>46</v>
      </c>
      <c r="B1103" s="7">
        <v>40755</v>
      </c>
      <c r="C1103" s="1">
        <v>6</v>
      </c>
      <c r="D1103" s="1">
        <v>329</v>
      </c>
      <c r="E1103" s="1">
        <v>3</v>
      </c>
      <c r="F1103" s="1">
        <v>97</v>
      </c>
      <c r="L1103" s="1">
        <v>1</v>
      </c>
    </row>
    <row r="1104" spans="1:65" x14ac:dyDescent="0.3">
      <c r="A1104" s="1" t="s">
        <v>46</v>
      </c>
      <c r="B1104" s="7">
        <v>40755</v>
      </c>
      <c r="C1104" s="1">
        <v>6</v>
      </c>
      <c r="D1104" s="1">
        <v>329</v>
      </c>
      <c r="E1104" s="1">
        <v>3</v>
      </c>
      <c r="F1104" s="1">
        <v>98</v>
      </c>
      <c r="J1104" s="1">
        <v>1</v>
      </c>
      <c r="L1104" s="1">
        <v>1</v>
      </c>
    </row>
    <row r="1105" spans="1:84" x14ac:dyDescent="0.3">
      <c r="A1105" s="1" t="s">
        <v>46</v>
      </c>
      <c r="B1105" s="7">
        <v>40755</v>
      </c>
      <c r="C1105" s="1">
        <v>6</v>
      </c>
      <c r="D1105" s="1">
        <v>329</v>
      </c>
      <c r="E1105" s="1">
        <v>3</v>
      </c>
      <c r="F1105" s="1">
        <v>99</v>
      </c>
      <c r="J1105" s="3">
        <v>0</v>
      </c>
      <c r="K1105" s="3">
        <v>1</v>
      </c>
    </row>
    <row r="1106" spans="1:84" x14ac:dyDescent="0.3">
      <c r="A1106" s="1" t="s">
        <v>46</v>
      </c>
      <c r="B1106" s="7">
        <v>40755</v>
      </c>
      <c r="C1106" s="1">
        <v>6</v>
      </c>
      <c r="D1106" s="1">
        <v>329</v>
      </c>
      <c r="E1106" s="1">
        <v>3</v>
      </c>
      <c r="F1106" s="1">
        <v>100</v>
      </c>
      <c r="J1106" s="3">
        <v>0</v>
      </c>
      <c r="K1106" s="3">
        <v>1</v>
      </c>
      <c r="AI1106" s="1">
        <v>1</v>
      </c>
    </row>
    <row r="1107" spans="1:84" x14ac:dyDescent="0.3">
      <c r="A1107" s="1" t="s">
        <v>46</v>
      </c>
      <c r="B1107" s="7">
        <v>40755</v>
      </c>
      <c r="C1107" s="1">
        <v>11</v>
      </c>
      <c r="D1107" s="1">
        <v>210</v>
      </c>
      <c r="E1107" s="1">
        <v>0</v>
      </c>
      <c r="F1107" s="1">
        <v>1</v>
      </c>
      <c r="AF1107" s="1">
        <v>1</v>
      </c>
      <c r="AM1107" s="3">
        <v>0</v>
      </c>
      <c r="AN1107" s="3">
        <v>1</v>
      </c>
    </row>
    <row r="1108" spans="1:84" x14ac:dyDescent="0.3">
      <c r="A1108" s="1" t="s">
        <v>46</v>
      </c>
      <c r="B1108" s="7">
        <v>40755</v>
      </c>
      <c r="C1108" s="1">
        <v>11</v>
      </c>
      <c r="D1108" s="1">
        <v>210</v>
      </c>
      <c r="E1108" s="1">
        <v>0</v>
      </c>
      <c r="F1108" s="1">
        <v>2</v>
      </c>
      <c r="P1108" s="3">
        <v>0</v>
      </c>
      <c r="Q1108" s="3">
        <v>1</v>
      </c>
      <c r="CF1108" s="1">
        <v>1</v>
      </c>
    </row>
    <row r="1109" spans="1:84" x14ac:dyDescent="0.3">
      <c r="A1109" s="1" t="s">
        <v>46</v>
      </c>
      <c r="B1109" s="7">
        <v>40755</v>
      </c>
      <c r="C1109" s="1">
        <v>11</v>
      </c>
      <c r="D1109" s="1">
        <v>210</v>
      </c>
      <c r="E1109" s="1">
        <v>0</v>
      </c>
      <c r="F1109" s="1">
        <v>3</v>
      </c>
      <c r="AS1109" s="1">
        <v>1</v>
      </c>
      <c r="CF1109" s="1">
        <v>1</v>
      </c>
    </row>
    <row r="1110" spans="1:84" x14ac:dyDescent="0.3">
      <c r="A1110" s="1" t="s">
        <v>46</v>
      </c>
      <c r="B1110" s="7">
        <v>40755</v>
      </c>
      <c r="C1110" s="1">
        <v>11</v>
      </c>
      <c r="D1110" s="1">
        <v>210</v>
      </c>
      <c r="E1110" s="1">
        <v>0</v>
      </c>
      <c r="F1110" s="1">
        <v>4</v>
      </c>
      <c r="L1110" s="1">
        <v>1</v>
      </c>
      <c r="N1110" s="8">
        <v>1</v>
      </c>
      <c r="O1110" s="8"/>
      <c r="BI1110" s="1">
        <v>1</v>
      </c>
    </row>
    <row r="1111" spans="1:84" x14ac:dyDescent="0.3">
      <c r="A1111" s="1" t="s">
        <v>46</v>
      </c>
      <c r="B1111" s="7">
        <v>40755</v>
      </c>
      <c r="C1111" s="1">
        <v>11</v>
      </c>
      <c r="D1111" s="1">
        <v>210</v>
      </c>
      <c r="E1111" s="1">
        <v>0</v>
      </c>
      <c r="F1111" s="1">
        <v>5</v>
      </c>
      <c r="P1111" s="3">
        <v>0</v>
      </c>
      <c r="Q1111" s="3">
        <v>1</v>
      </c>
      <c r="BC1111" s="1">
        <v>1</v>
      </c>
    </row>
    <row r="1112" spans="1:84" x14ac:dyDescent="0.3">
      <c r="A1112" s="1" t="s">
        <v>46</v>
      </c>
      <c r="B1112" s="7">
        <v>40755</v>
      </c>
      <c r="C1112" s="1">
        <v>11</v>
      </c>
      <c r="D1112" s="1">
        <v>210</v>
      </c>
      <c r="E1112" s="1">
        <v>0</v>
      </c>
      <c r="F1112" s="1">
        <v>6</v>
      </c>
      <c r="L1112" s="8">
        <v>1</v>
      </c>
      <c r="M1112" s="8"/>
      <c r="T1112" s="8">
        <v>1</v>
      </c>
      <c r="U1112" s="8"/>
    </row>
    <row r="1113" spans="1:84" x14ac:dyDescent="0.3">
      <c r="A1113" s="1" t="s">
        <v>46</v>
      </c>
      <c r="B1113" s="7">
        <v>40755</v>
      </c>
      <c r="C1113" s="1">
        <v>11</v>
      </c>
      <c r="D1113" s="1">
        <v>210</v>
      </c>
      <c r="E1113" s="1">
        <v>0</v>
      </c>
      <c r="F1113" s="1">
        <v>7</v>
      </c>
      <c r="L1113" s="1">
        <v>1</v>
      </c>
      <c r="P1113" s="3">
        <v>0</v>
      </c>
      <c r="Q1113" s="3">
        <v>1</v>
      </c>
    </row>
    <row r="1114" spans="1:84" x14ac:dyDescent="0.3">
      <c r="A1114" s="1" t="s">
        <v>46</v>
      </c>
      <c r="B1114" s="7">
        <v>40755</v>
      </c>
      <c r="C1114" s="1">
        <v>11</v>
      </c>
      <c r="D1114" s="1">
        <v>210</v>
      </c>
      <c r="E1114" s="1">
        <v>0</v>
      </c>
      <c r="F1114" s="1">
        <v>8</v>
      </c>
    </row>
    <row r="1115" spans="1:84" x14ac:dyDescent="0.3">
      <c r="A1115" s="1" t="s">
        <v>46</v>
      </c>
      <c r="B1115" s="7">
        <v>40755</v>
      </c>
      <c r="C1115" s="1">
        <v>11</v>
      </c>
      <c r="D1115" s="1">
        <v>210</v>
      </c>
      <c r="E1115" s="1">
        <v>0</v>
      </c>
      <c r="F1115" s="1">
        <v>9</v>
      </c>
      <c r="G1115" s="1">
        <v>1</v>
      </c>
    </row>
    <row r="1116" spans="1:84" x14ac:dyDescent="0.3">
      <c r="A1116" s="1" t="s">
        <v>46</v>
      </c>
      <c r="B1116" s="7">
        <v>40755</v>
      </c>
      <c r="C1116" s="1">
        <v>11</v>
      </c>
      <c r="D1116" s="1">
        <v>210</v>
      </c>
      <c r="E1116" s="1">
        <v>0</v>
      </c>
      <c r="F1116" s="1">
        <v>10</v>
      </c>
      <c r="R1116" s="3">
        <v>0</v>
      </c>
      <c r="S1116" s="3">
        <v>1</v>
      </c>
    </row>
    <row r="1117" spans="1:84" x14ac:dyDescent="0.3">
      <c r="A1117" s="1" t="s">
        <v>46</v>
      </c>
      <c r="B1117" s="7">
        <v>40755</v>
      </c>
      <c r="C1117" s="1">
        <v>11</v>
      </c>
      <c r="D1117" s="1">
        <v>210</v>
      </c>
      <c r="E1117" s="1">
        <v>0</v>
      </c>
      <c r="F1117" s="1">
        <v>11</v>
      </c>
      <c r="P1117" s="3">
        <v>0</v>
      </c>
      <c r="Q1117" s="3">
        <v>1</v>
      </c>
      <c r="AM1117" s="1">
        <v>1</v>
      </c>
      <c r="BP1117" s="3">
        <v>0</v>
      </c>
      <c r="BQ1117" s="3">
        <v>1</v>
      </c>
    </row>
    <row r="1118" spans="1:84" x14ac:dyDescent="0.3">
      <c r="A1118" s="1" t="s">
        <v>46</v>
      </c>
      <c r="B1118" s="7">
        <v>40755</v>
      </c>
      <c r="C1118" s="1">
        <v>11</v>
      </c>
      <c r="D1118" s="1">
        <v>210</v>
      </c>
      <c r="E1118" s="1">
        <v>0</v>
      </c>
      <c r="F1118" s="1">
        <v>12</v>
      </c>
      <c r="P1118" s="3">
        <v>0</v>
      </c>
      <c r="Q1118" s="3">
        <v>1</v>
      </c>
      <c r="AI1118" s="3">
        <v>0</v>
      </c>
      <c r="AJ1118" s="3">
        <v>1</v>
      </c>
      <c r="BI1118" s="1">
        <v>1</v>
      </c>
      <c r="CF1118" s="1">
        <v>1</v>
      </c>
    </row>
    <row r="1119" spans="1:84" x14ac:dyDescent="0.3">
      <c r="A1119" s="1" t="s">
        <v>46</v>
      </c>
      <c r="B1119" s="7">
        <v>40755</v>
      </c>
      <c r="C1119" s="1">
        <v>11</v>
      </c>
      <c r="D1119" s="1">
        <v>210</v>
      </c>
      <c r="E1119" s="1">
        <v>0</v>
      </c>
      <c r="F1119" s="1">
        <v>13</v>
      </c>
      <c r="L1119" s="1">
        <v>1</v>
      </c>
      <c r="N1119" s="1">
        <v>1</v>
      </c>
      <c r="AM1119" s="1">
        <v>1</v>
      </c>
      <c r="BI1119" s="1">
        <v>1</v>
      </c>
    </row>
    <row r="1120" spans="1:84" x14ac:dyDescent="0.3">
      <c r="A1120" s="1" t="s">
        <v>46</v>
      </c>
      <c r="B1120" s="7">
        <v>40755</v>
      </c>
      <c r="C1120" s="1">
        <v>11</v>
      </c>
      <c r="D1120" s="1">
        <v>210</v>
      </c>
      <c r="E1120" s="1">
        <v>0</v>
      </c>
      <c r="F1120" s="1">
        <v>14</v>
      </c>
      <c r="L1120" s="1">
        <v>1</v>
      </c>
      <c r="P1120" s="1">
        <v>1</v>
      </c>
      <c r="AM1120" s="1">
        <v>1</v>
      </c>
      <c r="BE1120" s="1">
        <v>1</v>
      </c>
      <c r="CF1120" s="1">
        <v>1</v>
      </c>
    </row>
    <row r="1121" spans="1:84" x14ac:dyDescent="0.3">
      <c r="A1121" s="1" t="s">
        <v>46</v>
      </c>
      <c r="B1121" s="7">
        <v>40755</v>
      </c>
      <c r="C1121" s="1">
        <v>11</v>
      </c>
      <c r="D1121" s="1">
        <v>210</v>
      </c>
      <c r="E1121" s="1">
        <v>0</v>
      </c>
      <c r="F1121" s="1">
        <v>15</v>
      </c>
      <c r="L1121" s="8">
        <v>1</v>
      </c>
      <c r="M1121" s="8"/>
      <c r="BE1121" s="1">
        <v>1</v>
      </c>
    </row>
    <row r="1122" spans="1:84" x14ac:dyDescent="0.3">
      <c r="A1122" s="1" t="s">
        <v>46</v>
      </c>
      <c r="B1122" s="7">
        <v>40755</v>
      </c>
      <c r="C1122" s="1">
        <v>11</v>
      </c>
      <c r="D1122" s="1">
        <v>210</v>
      </c>
      <c r="E1122" s="1">
        <v>0</v>
      </c>
      <c r="F1122" s="1">
        <v>16</v>
      </c>
      <c r="T1122" s="1">
        <v>1</v>
      </c>
      <c r="AM1122" s="1">
        <v>1</v>
      </c>
    </row>
    <row r="1123" spans="1:84" x14ac:dyDescent="0.3">
      <c r="A1123" s="1" t="s">
        <v>46</v>
      </c>
      <c r="B1123" s="7">
        <v>40755</v>
      </c>
      <c r="C1123" s="1">
        <v>11</v>
      </c>
      <c r="D1123" s="1">
        <v>210</v>
      </c>
      <c r="E1123" s="1">
        <v>0</v>
      </c>
      <c r="F1123" s="1">
        <v>17</v>
      </c>
      <c r="L1123" s="1">
        <v>1</v>
      </c>
      <c r="AM1123" s="1">
        <v>1</v>
      </c>
      <c r="BE1123" s="1">
        <v>1</v>
      </c>
    </row>
    <row r="1124" spans="1:84" x14ac:dyDescent="0.3">
      <c r="A1124" s="1" t="s">
        <v>46</v>
      </c>
      <c r="B1124" s="7">
        <v>40755</v>
      </c>
      <c r="C1124" s="1">
        <v>11</v>
      </c>
      <c r="D1124" s="1">
        <v>210</v>
      </c>
      <c r="E1124" s="1">
        <v>0</v>
      </c>
      <c r="F1124" s="1">
        <v>18</v>
      </c>
      <c r="L1124" s="1">
        <v>1</v>
      </c>
      <c r="W1124" s="1">
        <v>1</v>
      </c>
    </row>
    <row r="1125" spans="1:84" x14ac:dyDescent="0.3">
      <c r="A1125" s="1" t="s">
        <v>46</v>
      </c>
      <c r="B1125" s="7">
        <v>40755</v>
      </c>
      <c r="C1125" s="1">
        <v>11</v>
      </c>
      <c r="D1125" s="1">
        <v>210</v>
      </c>
      <c r="E1125" s="1">
        <v>0</v>
      </c>
      <c r="F1125" s="1">
        <v>19</v>
      </c>
      <c r="L1125" s="1">
        <v>1</v>
      </c>
      <c r="R1125" s="1">
        <v>1</v>
      </c>
      <c r="W1125" s="1">
        <v>1</v>
      </c>
    </row>
    <row r="1126" spans="1:84" x14ac:dyDescent="0.3">
      <c r="A1126" s="1" t="s">
        <v>46</v>
      </c>
      <c r="B1126" s="7">
        <v>40755</v>
      </c>
      <c r="C1126" s="1">
        <v>11</v>
      </c>
      <c r="D1126" s="1">
        <v>210</v>
      </c>
      <c r="E1126" s="1">
        <v>0</v>
      </c>
      <c r="F1126" s="1">
        <v>20</v>
      </c>
      <c r="H1126" s="1">
        <v>1</v>
      </c>
      <c r="AM1126" s="1">
        <v>1</v>
      </c>
      <c r="CF1126" s="1">
        <v>1</v>
      </c>
    </row>
    <row r="1127" spans="1:84" x14ac:dyDescent="0.3">
      <c r="A1127" s="1" t="s">
        <v>46</v>
      </c>
      <c r="B1127" s="7">
        <v>40755</v>
      </c>
      <c r="C1127" s="1">
        <v>11</v>
      </c>
      <c r="D1127" s="1">
        <v>210</v>
      </c>
      <c r="E1127" s="1">
        <v>0</v>
      </c>
      <c r="F1127" s="1">
        <v>21</v>
      </c>
      <c r="N1127" s="1">
        <v>1</v>
      </c>
      <c r="P1127" s="1">
        <v>1</v>
      </c>
      <c r="AS1127" s="1">
        <v>1</v>
      </c>
    </row>
    <row r="1128" spans="1:84" x14ac:dyDescent="0.3">
      <c r="A1128" s="1" t="s">
        <v>46</v>
      </c>
      <c r="B1128" s="7">
        <v>40755</v>
      </c>
      <c r="C1128" s="1">
        <v>11</v>
      </c>
      <c r="D1128" s="1">
        <v>210</v>
      </c>
      <c r="E1128" s="1">
        <v>0</v>
      </c>
      <c r="F1128" s="1">
        <v>22</v>
      </c>
      <c r="N1128" s="1">
        <v>1</v>
      </c>
      <c r="P1128" s="1">
        <v>1</v>
      </c>
      <c r="AM1128" s="1">
        <v>1</v>
      </c>
      <c r="BW1128" s="1">
        <v>1</v>
      </c>
    </row>
    <row r="1129" spans="1:84" x14ac:dyDescent="0.3">
      <c r="A1129" s="1" t="s">
        <v>46</v>
      </c>
      <c r="B1129" s="7">
        <v>40755</v>
      </c>
      <c r="C1129" s="1">
        <v>11</v>
      </c>
      <c r="D1129" s="1">
        <v>210</v>
      </c>
      <c r="E1129" s="1">
        <v>0</v>
      </c>
      <c r="F1129" s="1">
        <v>23</v>
      </c>
      <c r="L1129" s="1">
        <v>1</v>
      </c>
      <c r="AM1129" s="1">
        <v>1</v>
      </c>
      <c r="CF1129" s="1">
        <v>1</v>
      </c>
    </row>
    <row r="1130" spans="1:84" x14ac:dyDescent="0.3">
      <c r="A1130" s="1" t="s">
        <v>46</v>
      </c>
      <c r="B1130" s="7">
        <v>40755</v>
      </c>
      <c r="C1130" s="1">
        <v>11</v>
      </c>
      <c r="D1130" s="1">
        <v>210</v>
      </c>
      <c r="E1130" s="1">
        <v>0</v>
      </c>
      <c r="F1130" s="1">
        <v>24</v>
      </c>
      <c r="L1130" s="1">
        <v>1</v>
      </c>
      <c r="P1130" s="3">
        <v>0</v>
      </c>
      <c r="Q1130" s="3">
        <v>1</v>
      </c>
      <c r="AM1130" s="1">
        <v>1</v>
      </c>
      <c r="AS1130" s="1">
        <v>1</v>
      </c>
    </row>
    <row r="1131" spans="1:84" x14ac:dyDescent="0.3">
      <c r="A1131" s="1" t="s">
        <v>46</v>
      </c>
      <c r="B1131" s="7">
        <v>40755</v>
      </c>
      <c r="C1131" s="1">
        <v>11</v>
      </c>
      <c r="D1131" s="1">
        <v>210</v>
      </c>
      <c r="E1131" s="1">
        <v>0</v>
      </c>
      <c r="F1131" s="1">
        <v>25</v>
      </c>
      <c r="L1131" s="1">
        <v>1</v>
      </c>
      <c r="P1131" s="3">
        <v>0</v>
      </c>
      <c r="Q1131" s="3">
        <v>1</v>
      </c>
      <c r="AS1131" s="1">
        <v>1</v>
      </c>
    </row>
    <row r="1132" spans="1:84" x14ac:dyDescent="0.3">
      <c r="A1132" s="1" t="s">
        <v>46</v>
      </c>
      <c r="B1132" s="7">
        <v>40755</v>
      </c>
      <c r="C1132" s="1">
        <v>11</v>
      </c>
      <c r="D1132" s="1">
        <v>210</v>
      </c>
      <c r="E1132" s="1">
        <v>0</v>
      </c>
      <c r="F1132" s="1">
        <v>26</v>
      </c>
      <c r="L1132" s="1">
        <v>1</v>
      </c>
      <c r="W1132" s="1">
        <v>1</v>
      </c>
      <c r="AS1132" s="1">
        <v>1</v>
      </c>
      <c r="BE1132" s="1">
        <v>1</v>
      </c>
    </row>
    <row r="1133" spans="1:84" x14ac:dyDescent="0.3">
      <c r="A1133" s="1" t="s">
        <v>46</v>
      </c>
      <c r="B1133" s="7">
        <v>40755</v>
      </c>
      <c r="C1133" s="1">
        <v>11</v>
      </c>
      <c r="D1133" s="1">
        <v>210</v>
      </c>
      <c r="E1133" s="1">
        <v>0</v>
      </c>
      <c r="F1133" s="1">
        <v>27</v>
      </c>
      <c r="L1133" s="1">
        <v>1</v>
      </c>
      <c r="AS1133" s="1">
        <v>1</v>
      </c>
    </row>
    <row r="1134" spans="1:84" x14ac:dyDescent="0.3">
      <c r="A1134" s="1" t="s">
        <v>46</v>
      </c>
      <c r="B1134" s="7">
        <v>40755</v>
      </c>
      <c r="C1134" s="1">
        <v>11</v>
      </c>
      <c r="D1134" s="1">
        <v>210</v>
      </c>
      <c r="E1134" s="1">
        <v>0</v>
      </c>
      <c r="F1134" s="1">
        <v>28</v>
      </c>
      <c r="L1134" s="1">
        <v>1</v>
      </c>
    </row>
    <row r="1135" spans="1:84" x14ac:dyDescent="0.3">
      <c r="A1135" s="1" t="s">
        <v>46</v>
      </c>
      <c r="B1135" s="7">
        <v>40755</v>
      </c>
      <c r="C1135" s="1">
        <v>11</v>
      </c>
      <c r="D1135" s="1">
        <v>210</v>
      </c>
      <c r="E1135" s="1">
        <v>0</v>
      </c>
      <c r="F1135" s="1">
        <v>29</v>
      </c>
      <c r="L1135" s="1">
        <v>1</v>
      </c>
      <c r="BL1135" s="1">
        <v>1</v>
      </c>
    </row>
    <row r="1136" spans="1:84" x14ac:dyDescent="0.3">
      <c r="A1136" s="1" t="s">
        <v>46</v>
      </c>
      <c r="B1136" s="7">
        <v>40755</v>
      </c>
      <c r="C1136" s="1">
        <v>11</v>
      </c>
      <c r="D1136" s="1">
        <v>210</v>
      </c>
      <c r="E1136" s="1">
        <v>0</v>
      </c>
      <c r="F1136" s="1">
        <v>30</v>
      </c>
      <c r="L1136" s="1">
        <v>1</v>
      </c>
      <c r="P1136" s="3">
        <v>0</v>
      </c>
      <c r="Q1136" s="3">
        <v>1</v>
      </c>
      <c r="BE1136" s="1">
        <v>1</v>
      </c>
    </row>
    <row r="1137" spans="1:75" x14ac:dyDescent="0.3">
      <c r="A1137" s="1" t="s">
        <v>46</v>
      </c>
      <c r="B1137" s="7">
        <v>40755</v>
      </c>
      <c r="C1137" s="1">
        <v>11</v>
      </c>
      <c r="D1137" s="1">
        <v>210</v>
      </c>
      <c r="E1137" s="1">
        <v>0</v>
      </c>
      <c r="F1137" s="1">
        <v>31</v>
      </c>
      <c r="N1137" s="1">
        <v>1</v>
      </c>
      <c r="P1137" s="1">
        <v>1</v>
      </c>
      <c r="AS1137" s="1">
        <v>1</v>
      </c>
    </row>
    <row r="1138" spans="1:75" x14ac:dyDescent="0.3">
      <c r="A1138" s="1" t="s">
        <v>46</v>
      </c>
      <c r="B1138" s="7">
        <v>40755</v>
      </c>
      <c r="C1138" s="1">
        <v>11</v>
      </c>
      <c r="D1138" s="1">
        <v>210</v>
      </c>
      <c r="E1138" s="1">
        <v>0</v>
      </c>
      <c r="F1138" s="1">
        <v>32</v>
      </c>
      <c r="L1138" s="1">
        <v>1</v>
      </c>
      <c r="AS1138" s="1">
        <v>1</v>
      </c>
      <c r="BE1138" s="1">
        <v>1</v>
      </c>
    </row>
    <row r="1139" spans="1:75" x14ac:dyDescent="0.3">
      <c r="A1139" s="1" t="s">
        <v>46</v>
      </c>
      <c r="B1139" s="7">
        <v>40755</v>
      </c>
      <c r="C1139" s="1">
        <v>11</v>
      </c>
      <c r="D1139" s="1">
        <v>210</v>
      </c>
      <c r="E1139" s="1">
        <v>0</v>
      </c>
      <c r="F1139" s="1">
        <v>33</v>
      </c>
      <c r="AM1139" s="1">
        <v>1</v>
      </c>
      <c r="AS1139" s="1">
        <v>1</v>
      </c>
      <c r="AU1139" s="1">
        <v>1</v>
      </c>
      <c r="BC1139" s="1">
        <v>1</v>
      </c>
    </row>
    <row r="1140" spans="1:75" x14ac:dyDescent="0.3">
      <c r="A1140" s="1" t="s">
        <v>46</v>
      </c>
      <c r="B1140" s="7">
        <v>40755</v>
      </c>
      <c r="C1140" s="1">
        <v>11</v>
      </c>
      <c r="D1140" s="1">
        <v>210</v>
      </c>
      <c r="E1140" s="1">
        <v>0</v>
      </c>
      <c r="F1140" s="1">
        <v>34</v>
      </c>
      <c r="AS1140" s="1">
        <v>1</v>
      </c>
      <c r="BG1140" s="1">
        <v>1</v>
      </c>
    </row>
    <row r="1141" spans="1:75" x14ac:dyDescent="0.3">
      <c r="A1141" s="1" t="s">
        <v>46</v>
      </c>
      <c r="B1141" s="7">
        <v>40755</v>
      </c>
      <c r="C1141" s="1">
        <v>11</v>
      </c>
      <c r="D1141" s="1">
        <v>210</v>
      </c>
      <c r="E1141" s="1">
        <v>0</v>
      </c>
      <c r="F1141" s="1">
        <v>35</v>
      </c>
      <c r="AS1141" s="1">
        <v>1</v>
      </c>
    </row>
    <row r="1142" spans="1:75" x14ac:dyDescent="0.3">
      <c r="A1142" s="1" t="s">
        <v>46</v>
      </c>
      <c r="B1142" s="7">
        <v>40755</v>
      </c>
      <c r="C1142" s="1">
        <v>11</v>
      </c>
      <c r="D1142" s="1">
        <v>210</v>
      </c>
      <c r="E1142" s="1">
        <v>0</v>
      </c>
      <c r="F1142" s="1">
        <v>36</v>
      </c>
      <c r="L1142" s="1">
        <v>1</v>
      </c>
      <c r="AM1142" s="3">
        <v>0</v>
      </c>
      <c r="AN1142" s="3">
        <v>1</v>
      </c>
      <c r="AS1142" s="1">
        <v>1</v>
      </c>
    </row>
    <row r="1143" spans="1:75" x14ac:dyDescent="0.3">
      <c r="A1143" s="1" t="s">
        <v>46</v>
      </c>
      <c r="B1143" s="7">
        <v>40755</v>
      </c>
      <c r="C1143" s="1">
        <v>11</v>
      </c>
      <c r="D1143" s="1">
        <v>210</v>
      </c>
      <c r="E1143" s="1">
        <v>0</v>
      </c>
      <c r="F1143" s="1">
        <v>37</v>
      </c>
      <c r="L1143" s="1">
        <v>1</v>
      </c>
      <c r="AS1143" s="1">
        <v>1</v>
      </c>
    </row>
    <row r="1144" spans="1:75" x14ac:dyDescent="0.3">
      <c r="A1144" s="1" t="s">
        <v>46</v>
      </c>
      <c r="B1144" s="7">
        <v>40755</v>
      </c>
      <c r="C1144" s="1">
        <v>11</v>
      </c>
      <c r="D1144" s="1">
        <v>210</v>
      </c>
      <c r="E1144" s="1">
        <v>0</v>
      </c>
      <c r="F1144" s="1">
        <v>38</v>
      </c>
      <c r="L1144" s="1">
        <v>1</v>
      </c>
      <c r="AS1144" s="1">
        <v>1</v>
      </c>
      <c r="BL1144" s="1">
        <v>1</v>
      </c>
    </row>
    <row r="1145" spans="1:75" x14ac:dyDescent="0.3">
      <c r="A1145" s="1" t="s">
        <v>46</v>
      </c>
      <c r="B1145" s="7">
        <v>40755</v>
      </c>
      <c r="C1145" s="1">
        <v>11</v>
      </c>
      <c r="D1145" s="1">
        <v>210</v>
      </c>
      <c r="E1145" s="1">
        <v>0</v>
      </c>
      <c r="F1145" s="1">
        <v>39</v>
      </c>
      <c r="P1145" s="3">
        <v>0</v>
      </c>
      <c r="Q1145" s="3">
        <v>1</v>
      </c>
      <c r="AM1145" s="1">
        <v>1</v>
      </c>
      <c r="BL1145" s="1">
        <v>1</v>
      </c>
    </row>
    <row r="1146" spans="1:75" x14ac:dyDescent="0.3">
      <c r="A1146" s="1" t="s">
        <v>46</v>
      </c>
      <c r="B1146" s="7">
        <v>40755</v>
      </c>
      <c r="C1146" s="1">
        <v>11</v>
      </c>
      <c r="D1146" s="1">
        <v>210</v>
      </c>
      <c r="E1146" s="1">
        <v>0</v>
      </c>
      <c r="F1146" s="1">
        <v>40</v>
      </c>
      <c r="L1146" s="1">
        <v>1</v>
      </c>
      <c r="AG1146" s="3">
        <v>0</v>
      </c>
      <c r="AH1146" s="3">
        <v>1</v>
      </c>
      <c r="BE1146" s="1">
        <v>1</v>
      </c>
    </row>
    <row r="1147" spans="1:75" x14ac:dyDescent="0.3">
      <c r="A1147" s="1" t="s">
        <v>46</v>
      </c>
      <c r="B1147" s="7">
        <v>40755</v>
      </c>
      <c r="C1147" s="1">
        <v>11</v>
      </c>
      <c r="D1147" s="1">
        <v>210</v>
      </c>
      <c r="E1147" s="1">
        <v>0</v>
      </c>
      <c r="F1147" s="1">
        <v>41</v>
      </c>
      <c r="L1147" s="1">
        <v>1</v>
      </c>
      <c r="AF1147" s="1">
        <v>1</v>
      </c>
      <c r="AM1147" s="1">
        <v>1</v>
      </c>
      <c r="AS1147" s="1">
        <v>1</v>
      </c>
    </row>
    <row r="1148" spans="1:75" x14ac:dyDescent="0.3">
      <c r="A1148" s="1" t="s">
        <v>46</v>
      </c>
      <c r="B1148" s="7">
        <v>40755</v>
      </c>
      <c r="C1148" s="1">
        <v>11</v>
      </c>
      <c r="D1148" s="1">
        <v>210</v>
      </c>
      <c r="E1148" s="1">
        <v>0</v>
      </c>
      <c r="F1148" s="1">
        <v>42</v>
      </c>
      <c r="AM1148" s="1">
        <v>1</v>
      </c>
      <c r="AS1148" s="1">
        <v>1</v>
      </c>
      <c r="BL1148" s="1">
        <v>1</v>
      </c>
    </row>
    <row r="1149" spans="1:75" x14ac:dyDescent="0.3">
      <c r="A1149" s="1" t="s">
        <v>46</v>
      </c>
      <c r="B1149" s="7">
        <v>40755</v>
      </c>
      <c r="C1149" s="1">
        <v>11</v>
      </c>
      <c r="D1149" s="1">
        <v>210</v>
      </c>
      <c r="E1149" s="1">
        <v>0</v>
      </c>
      <c r="F1149" s="1">
        <v>43</v>
      </c>
      <c r="AM1149" s="1">
        <v>1</v>
      </c>
      <c r="AS1149" s="1">
        <v>1</v>
      </c>
      <c r="BC1149" s="1">
        <v>1</v>
      </c>
    </row>
    <row r="1150" spans="1:75" x14ac:dyDescent="0.3">
      <c r="A1150" s="1" t="s">
        <v>46</v>
      </c>
      <c r="B1150" s="7">
        <v>40755</v>
      </c>
      <c r="C1150" s="1">
        <v>11</v>
      </c>
      <c r="D1150" s="1">
        <v>210</v>
      </c>
      <c r="E1150" s="1">
        <v>0</v>
      </c>
      <c r="F1150" s="1">
        <v>44</v>
      </c>
      <c r="AS1150" s="1">
        <v>1</v>
      </c>
      <c r="BW1150" s="1">
        <v>1</v>
      </c>
    </row>
    <row r="1151" spans="1:75" x14ac:dyDescent="0.3">
      <c r="A1151" s="1" t="s">
        <v>46</v>
      </c>
      <c r="B1151" s="7">
        <v>40755</v>
      </c>
      <c r="C1151" s="1">
        <v>11</v>
      </c>
      <c r="D1151" s="1">
        <v>210</v>
      </c>
      <c r="E1151" s="1">
        <v>0</v>
      </c>
      <c r="F1151" s="1">
        <v>45</v>
      </c>
      <c r="AS1151" s="1">
        <v>1</v>
      </c>
      <c r="BG1151" s="1">
        <v>1</v>
      </c>
    </row>
    <row r="1152" spans="1:75" x14ac:dyDescent="0.3">
      <c r="A1152" s="1" t="s">
        <v>46</v>
      </c>
      <c r="B1152" s="7">
        <v>40755</v>
      </c>
      <c r="C1152" s="1">
        <v>11</v>
      </c>
      <c r="D1152" s="1">
        <v>210</v>
      </c>
      <c r="E1152" s="1">
        <v>0</v>
      </c>
      <c r="F1152" s="1">
        <v>46</v>
      </c>
      <c r="L1152" s="1">
        <v>1</v>
      </c>
      <c r="N1152" s="1">
        <v>1</v>
      </c>
      <c r="AS1152" s="1">
        <v>1</v>
      </c>
    </row>
    <row r="1153" spans="1:75" x14ac:dyDescent="0.3">
      <c r="A1153" s="1" t="s">
        <v>46</v>
      </c>
      <c r="B1153" s="7">
        <v>40755</v>
      </c>
      <c r="C1153" s="1">
        <v>11</v>
      </c>
      <c r="D1153" s="1">
        <v>210</v>
      </c>
      <c r="E1153" s="1">
        <v>0</v>
      </c>
      <c r="F1153" s="1">
        <v>47</v>
      </c>
      <c r="L1153" s="1">
        <v>1</v>
      </c>
      <c r="P1153" s="1">
        <v>1</v>
      </c>
      <c r="AM1153" s="1">
        <v>1</v>
      </c>
    </row>
    <row r="1154" spans="1:75" x14ac:dyDescent="0.3">
      <c r="A1154" s="1" t="s">
        <v>46</v>
      </c>
      <c r="B1154" s="7">
        <v>40755</v>
      </c>
      <c r="C1154" s="1">
        <v>11</v>
      </c>
      <c r="D1154" s="1">
        <v>210</v>
      </c>
      <c r="E1154" s="1">
        <v>0</v>
      </c>
      <c r="F1154" s="1">
        <v>48</v>
      </c>
      <c r="P1154" s="3">
        <v>0</v>
      </c>
      <c r="Q1154" s="3">
        <v>1</v>
      </c>
      <c r="AS1154" s="1">
        <v>1</v>
      </c>
    </row>
    <row r="1155" spans="1:75" x14ac:dyDescent="0.3">
      <c r="A1155" s="1" t="s">
        <v>46</v>
      </c>
      <c r="B1155" s="7">
        <v>40755</v>
      </c>
      <c r="C1155" s="1">
        <v>11</v>
      </c>
      <c r="D1155" s="1">
        <v>210</v>
      </c>
      <c r="E1155" s="1">
        <v>0</v>
      </c>
      <c r="F1155" s="1">
        <v>49</v>
      </c>
      <c r="L1155" s="1">
        <v>1</v>
      </c>
      <c r="BE1155" s="1">
        <v>1</v>
      </c>
    </row>
    <row r="1156" spans="1:75" x14ac:dyDescent="0.3">
      <c r="A1156" s="1" t="s">
        <v>46</v>
      </c>
      <c r="B1156" s="7">
        <v>40755</v>
      </c>
      <c r="C1156" s="1">
        <v>11</v>
      </c>
      <c r="D1156" s="1">
        <v>210</v>
      </c>
      <c r="E1156" s="1">
        <v>0</v>
      </c>
      <c r="F1156" s="1">
        <v>50</v>
      </c>
      <c r="L1156" s="1">
        <v>1</v>
      </c>
      <c r="R1156" s="1">
        <v>1</v>
      </c>
      <c r="AM1156" s="1">
        <v>1</v>
      </c>
    </row>
    <row r="1157" spans="1:75" x14ac:dyDescent="0.3">
      <c r="A1157" s="1" t="s">
        <v>46</v>
      </c>
      <c r="B1157" s="7">
        <v>40755</v>
      </c>
      <c r="C1157" s="1">
        <v>11</v>
      </c>
      <c r="D1157" s="1">
        <v>210</v>
      </c>
      <c r="E1157" s="1">
        <v>0</v>
      </c>
      <c r="F1157" s="1">
        <v>51</v>
      </c>
      <c r="N1157" s="1">
        <v>1</v>
      </c>
      <c r="AF1157" s="1">
        <v>1</v>
      </c>
      <c r="AS1157" s="1">
        <v>1</v>
      </c>
    </row>
    <row r="1158" spans="1:75" x14ac:dyDescent="0.3">
      <c r="A1158" s="1" t="s">
        <v>46</v>
      </c>
      <c r="B1158" s="7">
        <v>40755</v>
      </c>
      <c r="C1158" s="1">
        <v>11</v>
      </c>
      <c r="D1158" s="1">
        <v>210</v>
      </c>
      <c r="E1158" s="1">
        <v>0</v>
      </c>
      <c r="F1158" s="1">
        <v>52</v>
      </c>
      <c r="N1158" s="1">
        <v>1</v>
      </c>
      <c r="AS1158" s="1">
        <v>1</v>
      </c>
      <c r="BL1158" s="1">
        <v>1</v>
      </c>
    </row>
    <row r="1159" spans="1:75" x14ac:dyDescent="0.3">
      <c r="A1159" s="1" t="s">
        <v>46</v>
      </c>
      <c r="B1159" s="7">
        <v>40755</v>
      </c>
      <c r="C1159" s="1">
        <v>11</v>
      </c>
      <c r="D1159" s="1">
        <v>210</v>
      </c>
      <c r="E1159" s="1">
        <v>0</v>
      </c>
      <c r="F1159" s="1">
        <v>53</v>
      </c>
      <c r="AS1159" s="1">
        <v>1</v>
      </c>
    </row>
    <row r="1160" spans="1:75" x14ac:dyDescent="0.3">
      <c r="A1160" s="1" t="s">
        <v>46</v>
      </c>
      <c r="B1160" s="7">
        <v>40755</v>
      </c>
      <c r="C1160" s="1">
        <v>11</v>
      </c>
      <c r="D1160" s="1">
        <v>210</v>
      </c>
      <c r="E1160" s="1">
        <v>0</v>
      </c>
      <c r="F1160" s="1">
        <v>54</v>
      </c>
      <c r="AS1160" s="1">
        <v>1</v>
      </c>
    </row>
    <row r="1161" spans="1:75" x14ac:dyDescent="0.3">
      <c r="A1161" s="1" t="s">
        <v>46</v>
      </c>
      <c r="B1161" s="7">
        <v>40755</v>
      </c>
      <c r="C1161" s="1">
        <v>11</v>
      </c>
      <c r="D1161" s="1">
        <v>210</v>
      </c>
      <c r="E1161" s="1">
        <v>0</v>
      </c>
      <c r="F1161" s="1">
        <v>55</v>
      </c>
      <c r="L1161" s="1">
        <v>1</v>
      </c>
      <c r="AS1161" s="1">
        <v>1</v>
      </c>
    </row>
    <row r="1162" spans="1:75" x14ac:dyDescent="0.3">
      <c r="A1162" s="1" t="s">
        <v>46</v>
      </c>
      <c r="B1162" s="7">
        <v>40755</v>
      </c>
      <c r="C1162" s="1">
        <v>11</v>
      </c>
      <c r="D1162" s="1">
        <v>210</v>
      </c>
      <c r="E1162" s="1">
        <v>0</v>
      </c>
      <c r="F1162" s="1">
        <v>56</v>
      </c>
      <c r="AS1162" s="1">
        <v>1</v>
      </c>
    </row>
    <row r="1163" spans="1:75" x14ac:dyDescent="0.3">
      <c r="A1163" s="1" t="s">
        <v>46</v>
      </c>
      <c r="B1163" s="7">
        <v>40755</v>
      </c>
      <c r="C1163" s="1">
        <v>11</v>
      </c>
      <c r="D1163" s="1">
        <v>210</v>
      </c>
      <c r="E1163" s="1">
        <v>0</v>
      </c>
      <c r="F1163" s="1">
        <v>57</v>
      </c>
      <c r="L1163" s="1">
        <v>1</v>
      </c>
      <c r="BE1163" s="1">
        <v>1</v>
      </c>
    </row>
    <row r="1164" spans="1:75" x14ac:dyDescent="0.3">
      <c r="A1164" s="1" t="s">
        <v>46</v>
      </c>
      <c r="B1164" s="7">
        <v>40755</v>
      </c>
      <c r="C1164" s="1">
        <v>11</v>
      </c>
      <c r="D1164" s="1">
        <v>210</v>
      </c>
      <c r="E1164" s="1">
        <v>0</v>
      </c>
      <c r="F1164" s="1">
        <v>58</v>
      </c>
      <c r="L1164" s="8">
        <v>1</v>
      </c>
      <c r="M1164" s="8"/>
      <c r="P1164" s="3">
        <v>0</v>
      </c>
      <c r="Q1164" s="3">
        <v>1</v>
      </c>
    </row>
    <row r="1165" spans="1:75" x14ac:dyDescent="0.3">
      <c r="A1165" s="1" t="s">
        <v>46</v>
      </c>
      <c r="B1165" s="7">
        <v>40755</v>
      </c>
      <c r="C1165" s="1">
        <v>11</v>
      </c>
      <c r="D1165" s="1">
        <v>210</v>
      </c>
      <c r="E1165" s="1">
        <v>0</v>
      </c>
      <c r="F1165" s="1">
        <v>59</v>
      </c>
      <c r="L1165" s="1">
        <v>1</v>
      </c>
    </row>
    <row r="1166" spans="1:75" x14ac:dyDescent="0.3">
      <c r="A1166" s="1" t="s">
        <v>46</v>
      </c>
      <c r="B1166" s="7">
        <v>40755</v>
      </c>
      <c r="C1166" s="1">
        <v>11</v>
      </c>
      <c r="D1166" s="1">
        <v>210</v>
      </c>
      <c r="E1166" s="1">
        <v>0</v>
      </c>
      <c r="F1166" s="1">
        <v>60</v>
      </c>
      <c r="L1166" s="1">
        <v>1</v>
      </c>
      <c r="AS1166" s="1">
        <v>1</v>
      </c>
      <c r="BE1166" s="1">
        <v>1</v>
      </c>
    </row>
    <row r="1167" spans="1:75" x14ac:dyDescent="0.3">
      <c r="A1167" s="1" t="s">
        <v>46</v>
      </c>
      <c r="B1167" s="7">
        <v>40755</v>
      </c>
      <c r="C1167" s="1">
        <v>11</v>
      </c>
      <c r="D1167" s="1">
        <v>210</v>
      </c>
      <c r="E1167" s="1">
        <v>0</v>
      </c>
      <c r="F1167" s="1">
        <v>61</v>
      </c>
      <c r="AS1167" s="1">
        <v>1</v>
      </c>
    </row>
    <row r="1168" spans="1:75" x14ac:dyDescent="0.3">
      <c r="A1168" s="1" t="s">
        <v>46</v>
      </c>
      <c r="B1168" s="7">
        <v>40755</v>
      </c>
      <c r="C1168" s="1">
        <v>11</v>
      </c>
      <c r="D1168" s="1">
        <v>210</v>
      </c>
      <c r="E1168" s="1">
        <v>0</v>
      </c>
      <c r="F1168" s="1">
        <v>62</v>
      </c>
      <c r="AS1168" s="1">
        <v>1</v>
      </c>
      <c r="BW1168" s="1">
        <v>1</v>
      </c>
    </row>
    <row r="1169" spans="1:85" x14ac:dyDescent="0.3">
      <c r="A1169" s="1" t="s">
        <v>46</v>
      </c>
      <c r="B1169" s="7">
        <v>40755</v>
      </c>
      <c r="C1169" s="1">
        <v>11</v>
      </c>
      <c r="D1169" s="1">
        <v>210</v>
      </c>
      <c r="E1169" s="1">
        <v>0</v>
      </c>
      <c r="F1169" s="1">
        <v>63</v>
      </c>
      <c r="AS1169" s="1">
        <v>1</v>
      </c>
      <c r="BD1169" s="1">
        <v>1</v>
      </c>
    </row>
    <row r="1170" spans="1:85" x14ac:dyDescent="0.3">
      <c r="A1170" s="1" t="s">
        <v>46</v>
      </c>
      <c r="B1170" s="7">
        <v>40755</v>
      </c>
      <c r="C1170" s="1">
        <v>11</v>
      </c>
      <c r="D1170" s="1">
        <v>210</v>
      </c>
      <c r="E1170" s="1">
        <v>0</v>
      </c>
      <c r="F1170" s="1">
        <v>64</v>
      </c>
      <c r="AF1170" s="1">
        <v>1</v>
      </c>
      <c r="AS1170" s="1">
        <v>1</v>
      </c>
    </row>
    <row r="1171" spans="1:85" x14ac:dyDescent="0.3">
      <c r="A1171" s="1" t="s">
        <v>46</v>
      </c>
      <c r="B1171" s="7">
        <v>40755</v>
      </c>
      <c r="C1171" s="1">
        <v>11</v>
      </c>
      <c r="D1171" s="1">
        <v>210</v>
      </c>
      <c r="E1171" s="1">
        <v>0</v>
      </c>
      <c r="F1171" s="1">
        <v>65</v>
      </c>
      <c r="AS1171" s="1">
        <v>1</v>
      </c>
      <c r="CG1171" s="1">
        <v>1</v>
      </c>
    </row>
    <row r="1172" spans="1:85" x14ac:dyDescent="0.3">
      <c r="A1172" s="1" t="s">
        <v>46</v>
      </c>
      <c r="B1172" s="7">
        <v>40755</v>
      </c>
      <c r="C1172" s="1">
        <v>11</v>
      </c>
      <c r="D1172" s="1">
        <v>210</v>
      </c>
      <c r="E1172" s="1">
        <v>0</v>
      </c>
      <c r="F1172" s="1">
        <v>66</v>
      </c>
      <c r="L1172" s="1">
        <v>1</v>
      </c>
      <c r="P1172" s="1">
        <v>1</v>
      </c>
      <c r="AS1172" s="1">
        <v>1</v>
      </c>
    </row>
    <row r="1173" spans="1:85" x14ac:dyDescent="0.3">
      <c r="A1173" s="1" t="s">
        <v>46</v>
      </c>
      <c r="B1173" s="7">
        <v>40755</v>
      </c>
      <c r="C1173" s="1">
        <v>11</v>
      </c>
      <c r="D1173" s="1">
        <v>210</v>
      </c>
      <c r="E1173" s="1">
        <v>0</v>
      </c>
      <c r="F1173" s="1">
        <v>67</v>
      </c>
      <c r="L1173" s="1">
        <v>1</v>
      </c>
      <c r="BC1173" s="1">
        <v>1</v>
      </c>
      <c r="BE1173" s="1">
        <v>1</v>
      </c>
    </row>
    <row r="1174" spans="1:85" x14ac:dyDescent="0.3">
      <c r="A1174" s="1" t="s">
        <v>46</v>
      </c>
      <c r="B1174" s="7">
        <v>40755</v>
      </c>
      <c r="C1174" s="1">
        <v>11</v>
      </c>
      <c r="D1174" s="1">
        <v>210</v>
      </c>
      <c r="E1174" s="1">
        <v>0</v>
      </c>
      <c r="F1174" s="1">
        <v>68</v>
      </c>
      <c r="L1174" s="1">
        <v>1</v>
      </c>
      <c r="AM1174" s="1">
        <v>1</v>
      </c>
    </row>
    <row r="1175" spans="1:85" x14ac:dyDescent="0.3">
      <c r="A1175" s="1" t="s">
        <v>46</v>
      </c>
      <c r="B1175" s="7">
        <v>40755</v>
      </c>
      <c r="C1175" s="1">
        <v>11</v>
      </c>
      <c r="D1175" s="1">
        <v>210</v>
      </c>
      <c r="E1175" s="1">
        <v>0</v>
      </c>
      <c r="F1175" s="1">
        <v>69</v>
      </c>
      <c r="L1175" s="1">
        <v>1</v>
      </c>
      <c r="P1175" s="3">
        <v>0</v>
      </c>
      <c r="Q1175" s="3">
        <v>1</v>
      </c>
    </row>
    <row r="1176" spans="1:85" x14ac:dyDescent="0.3">
      <c r="A1176" s="1" t="s">
        <v>46</v>
      </c>
      <c r="B1176" s="7">
        <v>40755</v>
      </c>
      <c r="C1176" s="1">
        <v>11</v>
      </c>
      <c r="D1176" s="1">
        <v>210</v>
      </c>
      <c r="E1176" s="1">
        <v>0</v>
      </c>
      <c r="F1176" s="1">
        <v>70</v>
      </c>
      <c r="L1176" s="1">
        <v>1</v>
      </c>
      <c r="P1176" s="3">
        <v>0</v>
      </c>
      <c r="Q1176" s="3">
        <v>1</v>
      </c>
    </row>
    <row r="1177" spans="1:85" x14ac:dyDescent="0.3">
      <c r="A1177" s="1" t="s">
        <v>46</v>
      </c>
      <c r="B1177" s="7">
        <v>40755</v>
      </c>
      <c r="C1177" s="1">
        <v>11</v>
      </c>
      <c r="D1177" s="1">
        <v>210</v>
      </c>
      <c r="E1177" s="1">
        <v>0</v>
      </c>
      <c r="F1177" s="1">
        <v>71</v>
      </c>
      <c r="AS1177" s="1">
        <v>1</v>
      </c>
      <c r="BW1177" s="1">
        <v>1</v>
      </c>
    </row>
    <row r="1178" spans="1:85" x14ac:dyDescent="0.3">
      <c r="A1178" s="1" t="s">
        <v>46</v>
      </c>
      <c r="B1178" s="7">
        <v>40755</v>
      </c>
      <c r="C1178" s="1">
        <v>11</v>
      </c>
      <c r="D1178" s="1">
        <v>210</v>
      </c>
      <c r="E1178" s="1">
        <v>0</v>
      </c>
      <c r="F1178" s="1">
        <v>72</v>
      </c>
      <c r="BW1178" s="1">
        <v>1</v>
      </c>
    </row>
    <row r="1179" spans="1:85" x14ac:dyDescent="0.3">
      <c r="A1179" s="1" t="s">
        <v>46</v>
      </c>
      <c r="B1179" s="7">
        <v>40755</v>
      </c>
      <c r="C1179" s="1">
        <v>11</v>
      </c>
      <c r="D1179" s="1">
        <v>210</v>
      </c>
      <c r="E1179" s="1">
        <v>0</v>
      </c>
      <c r="F1179" s="1">
        <v>73</v>
      </c>
      <c r="L1179" s="1">
        <v>1</v>
      </c>
      <c r="AM1179" s="1">
        <v>1</v>
      </c>
      <c r="AS1179" s="1">
        <v>1</v>
      </c>
    </row>
    <row r="1180" spans="1:85" x14ac:dyDescent="0.3">
      <c r="A1180" s="1" t="s">
        <v>46</v>
      </c>
      <c r="B1180" s="7">
        <v>40755</v>
      </c>
      <c r="C1180" s="1">
        <v>11</v>
      </c>
      <c r="D1180" s="1">
        <v>210</v>
      </c>
      <c r="E1180" s="1">
        <v>0</v>
      </c>
      <c r="F1180" s="1">
        <v>74</v>
      </c>
      <c r="AS1180" s="1">
        <v>1</v>
      </c>
      <c r="BL1180" s="1">
        <v>1</v>
      </c>
      <c r="BR1180" s="1">
        <v>1</v>
      </c>
      <c r="CG1180" s="1">
        <v>1</v>
      </c>
    </row>
    <row r="1181" spans="1:85" x14ac:dyDescent="0.3">
      <c r="A1181" s="1" t="s">
        <v>46</v>
      </c>
      <c r="B1181" s="7">
        <v>40755</v>
      </c>
      <c r="C1181" s="1">
        <v>11</v>
      </c>
      <c r="D1181" s="1">
        <v>210</v>
      </c>
      <c r="E1181" s="1">
        <v>0</v>
      </c>
      <c r="F1181" s="1">
        <v>75</v>
      </c>
      <c r="AS1181" s="1">
        <v>1</v>
      </c>
      <c r="BW1181" s="9">
        <v>0</v>
      </c>
      <c r="BX1181" s="9">
        <v>1</v>
      </c>
    </row>
    <row r="1182" spans="1:85" x14ac:dyDescent="0.3">
      <c r="A1182" s="1" t="s">
        <v>46</v>
      </c>
      <c r="B1182" s="7">
        <v>40755</v>
      </c>
      <c r="C1182" s="1">
        <v>11</v>
      </c>
      <c r="D1182" s="1">
        <v>210</v>
      </c>
      <c r="E1182" s="1">
        <v>0</v>
      </c>
      <c r="F1182" s="1">
        <v>76</v>
      </c>
      <c r="L1182" s="1">
        <v>1</v>
      </c>
      <c r="AS1182" s="1">
        <v>1</v>
      </c>
      <c r="BW1182" s="1">
        <v>1</v>
      </c>
    </row>
    <row r="1183" spans="1:85" x14ac:dyDescent="0.3">
      <c r="A1183" s="1" t="s">
        <v>46</v>
      </c>
      <c r="B1183" s="7">
        <v>40755</v>
      </c>
      <c r="C1183" s="1">
        <v>11</v>
      </c>
      <c r="D1183" s="1">
        <v>210</v>
      </c>
      <c r="E1183" s="1">
        <v>0</v>
      </c>
      <c r="F1183" s="1">
        <v>77</v>
      </c>
      <c r="L1183" s="1">
        <v>1</v>
      </c>
      <c r="AS1183" s="1">
        <v>1</v>
      </c>
    </row>
    <row r="1184" spans="1:85" x14ac:dyDescent="0.3">
      <c r="A1184" s="1" t="s">
        <v>46</v>
      </c>
      <c r="B1184" s="7">
        <v>40755</v>
      </c>
      <c r="C1184" s="1">
        <v>11</v>
      </c>
      <c r="D1184" s="1">
        <v>210</v>
      </c>
      <c r="E1184" s="1">
        <v>0</v>
      </c>
      <c r="F1184" s="1">
        <v>78</v>
      </c>
      <c r="AM1184" s="1">
        <v>1</v>
      </c>
      <c r="BC1184" s="1">
        <v>1</v>
      </c>
    </row>
    <row r="1185" spans="1:85" x14ac:dyDescent="0.3">
      <c r="A1185" s="1" t="s">
        <v>46</v>
      </c>
      <c r="B1185" s="7">
        <v>40755</v>
      </c>
      <c r="C1185" s="1">
        <v>11</v>
      </c>
      <c r="D1185" s="1">
        <v>210</v>
      </c>
      <c r="E1185" s="1">
        <v>0</v>
      </c>
      <c r="F1185" s="1">
        <v>79</v>
      </c>
      <c r="G1185" s="1">
        <v>1</v>
      </c>
      <c r="L1185" s="1">
        <v>1</v>
      </c>
      <c r="AM1185" s="1">
        <v>1</v>
      </c>
    </row>
    <row r="1186" spans="1:85" x14ac:dyDescent="0.3">
      <c r="A1186" s="1" t="s">
        <v>46</v>
      </c>
      <c r="B1186" s="7">
        <v>40755</v>
      </c>
      <c r="C1186" s="1">
        <v>11</v>
      </c>
      <c r="D1186" s="1">
        <v>210</v>
      </c>
      <c r="E1186" s="1">
        <v>0</v>
      </c>
      <c r="F1186" s="1">
        <v>80</v>
      </c>
      <c r="L1186" s="1">
        <v>1</v>
      </c>
    </row>
    <row r="1187" spans="1:85" x14ac:dyDescent="0.3">
      <c r="A1187" s="1" t="s">
        <v>46</v>
      </c>
      <c r="B1187" s="7">
        <v>40755</v>
      </c>
      <c r="C1187" s="1">
        <v>11</v>
      </c>
      <c r="D1187" s="1">
        <v>210</v>
      </c>
      <c r="E1187" s="1">
        <v>0</v>
      </c>
      <c r="F1187" s="1">
        <v>81</v>
      </c>
      <c r="P1187" s="3">
        <v>0</v>
      </c>
      <c r="Q1187" s="3">
        <v>1</v>
      </c>
      <c r="AS1187" s="1">
        <v>1</v>
      </c>
    </row>
    <row r="1188" spans="1:85" x14ac:dyDescent="0.3">
      <c r="A1188" s="1" t="s">
        <v>46</v>
      </c>
      <c r="B1188" s="7">
        <v>40755</v>
      </c>
      <c r="C1188" s="1">
        <v>11</v>
      </c>
      <c r="D1188" s="1">
        <v>210</v>
      </c>
      <c r="E1188" s="1">
        <v>0</v>
      </c>
      <c r="F1188" s="1">
        <v>82</v>
      </c>
      <c r="P1188" s="1">
        <v>1</v>
      </c>
      <c r="AM1188" s="1">
        <v>1</v>
      </c>
      <c r="AS1188" s="1">
        <v>1</v>
      </c>
    </row>
    <row r="1189" spans="1:85" x14ac:dyDescent="0.3">
      <c r="A1189" s="1" t="s">
        <v>46</v>
      </c>
      <c r="B1189" s="7">
        <v>40755</v>
      </c>
      <c r="C1189" s="1">
        <v>11</v>
      </c>
      <c r="D1189" s="1">
        <v>210</v>
      </c>
      <c r="E1189" s="1">
        <v>0</v>
      </c>
      <c r="F1189" s="1">
        <v>83</v>
      </c>
      <c r="AS1189" s="1">
        <v>1</v>
      </c>
    </row>
    <row r="1190" spans="1:85" x14ac:dyDescent="0.3">
      <c r="A1190" s="1" t="s">
        <v>46</v>
      </c>
      <c r="B1190" s="7">
        <v>40755</v>
      </c>
      <c r="C1190" s="1">
        <v>11</v>
      </c>
      <c r="D1190" s="1">
        <v>210</v>
      </c>
      <c r="E1190" s="1">
        <v>0</v>
      </c>
      <c r="F1190" s="1">
        <v>84</v>
      </c>
      <c r="L1190" s="1">
        <v>1</v>
      </c>
      <c r="AS1190" s="1">
        <v>1</v>
      </c>
      <c r="BE1190" s="1">
        <v>1</v>
      </c>
    </row>
    <row r="1191" spans="1:85" x14ac:dyDescent="0.3">
      <c r="A1191" s="1" t="s">
        <v>46</v>
      </c>
      <c r="B1191" s="7">
        <v>40755</v>
      </c>
      <c r="C1191" s="1">
        <v>11</v>
      </c>
      <c r="D1191" s="1">
        <v>210</v>
      </c>
      <c r="E1191" s="1">
        <v>0</v>
      </c>
      <c r="F1191" s="1">
        <v>85</v>
      </c>
      <c r="L1191" s="1">
        <v>1</v>
      </c>
      <c r="AS1191" s="1">
        <v>1</v>
      </c>
      <c r="BC1191" s="1">
        <v>1</v>
      </c>
      <c r="BE1191" s="1">
        <v>1</v>
      </c>
    </row>
    <row r="1192" spans="1:85" x14ac:dyDescent="0.3">
      <c r="A1192" s="1" t="s">
        <v>46</v>
      </c>
      <c r="B1192" s="7">
        <v>40755</v>
      </c>
      <c r="C1192" s="1">
        <v>11</v>
      </c>
      <c r="D1192" s="1">
        <v>210</v>
      </c>
      <c r="E1192" s="1">
        <v>0</v>
      </c>
      <c r="F1192" s="1">
        <v>86</v>
      </c>
      <c r="L1192" s="1">
        <v>1</v>
      </c>
      <c r="P1192" s="3">
        <v>0</v>
      </c>
      <c r="Q1192" s="3">
        <v>1</v>
      </c>
    </row>
    <row r="1193" spans="1:85" x14ac:dyDescent="0.3">
      <c r="A1193" s="1" t="s">
        <v>46</v>
      </c>
      <c r="B1193" s="7">
        <v>40755</v>
      </c>
      <c r="C1193" s="1">
        <v>11</v>
      </c>
      <c r="D1193" s="1">
        <v>210</v>
      </c>
      <c r="E1193" s="1">
        <v>0</v>
      </c>
      <c r="F1193" s="1">
        <v>87</v>
      </c>
      <c r="AM1193" s="1">
        <v>1</v>
      </c>
      <c r="AS1193" s="1">
        <v>1</v>
      </c>
    </row>
    <row r="1194" spans="1:85" x14ac:dyDescent="0.3">
      <c r="A1194" s="1" t="s">
        <v>46</v>
      </c>
      <c r="B1194" s="7">
        <v>40755</v>
      </c>
      <c r="C1194" s="1">
        <v>11</v>
      </c>
      <c r="D1194" s="1">
        <v>210</v>
      </c>
      <c r="E1194" s="1">
        <v>0</v>
      </c>
      <c r="F1194" s="1">
        <v>88</v>
      </c>
      <c r="AM1194" s="1">
        <v>1</v>
      </c>
      <c r="BL1194" s="1">
        <v>1</v>
      </c>
      <c r="BW1194" s="1">
        <v>1</v>
      </c>
      <c r="CG1194" s="1">
        <v>1</v>
      </c>
    </row>
    <row r="1195" spans="1:85" x14ac:dyDescent="0.3">
      <c r="A1195" s="1" t="s">
        <v>46</v>
      </c>
      <c r="B1195" s="7">
        <v>40755</v>
      </c>
      <c r="C1195" s="1">
        <v>11</v>
      </c>
      <c r="D1195" s="1">
        <v>210</v>
      </c>
      <c r="E1195" s="1">
        <v>0</v>
      </c>
      <c r="F1195" s="1">
        <v>89</v>
      </c>
      <c r="L1195" s="1">
        <v>1</v>
      </c>
      <c r="AM1195" s="1">
        <v>1</v>
      </c>
    </row>
    <row r="1196" spans="1:85" x14ac:dyDescent="0.3">
      <c r="A1196" s="1" t="s">
        <v>46</v>
      </c>
      <c r="B1196" s="7">
        <v>40755</v>
      </c>
      <c r="C1196" s="1">
        <v>11</v>
      </c>
      <c r="D1196" s="1">
        <v>210</v>
      </c>
      <c r="E1196" s="1">
        <v>0</v>
      </c>
      <c r="F1196" s="1">
        <v>90</v>
      </c>
      <c r="P1196" s="3">
        <v>0</v>
      </c>
      <c r="Q1196" s="3">
        <v>1</v>
      </c>
    </row>
    <row r="1197" spans="1:85" x14ac:dyDescent="0.3">
      <c r="A1197" s="1" t="s">
        <v>46</v>
      </c>
      <c r="B1197" s="7">
        <v>40755</v>
      </c>
      <c r="C1197" s="1">
        <v>11</v>
      </c>
      <c r="D1197" s="1">
        <v>210</v>
      </c>
      <c r="E1197" s="1">
        <v>0</v>
      </c>
      <c r="F1197" s="1">
        <v>91</v>
      </c>
      <c r="AM1197" s="1">
        <v>1</v>
      </c>
      <c r="AS1197" s="1">
        <v>1</v>
      </c>
    </row>
    <row r="1198" spans="1:85" x14ac:dyDescent="0.3">
      <c r="A1198" s="1" t="s">
        <v>46</v>
      </c>
      <c r="B1198" s="7">
        <v>40755</v>
      </c>
      <c r="C1198" s="1">
        <v>11</v>
      </c>
      <c r="D1198" s="1">
        <v>210</v>
      </c>
      <c r="E1198" s="1">
        <v>0</v>
      </c>
      <c r="F1198" s="1">
        <v>92</v>
      </c>
      <c r="L1198" s="1">
        <v>1</v>
      </c>
      <c r="AM1198" s="1">
        <v>1</v>
      </c>
      <c r="AS1198" s="1">
        <v>1</v>
      </c>
    </row>
    <row r="1199" spans="1:85" x14ac:dyDescent="0.3">
      <c r="A1199" s="1" t="s">
        <v>46</v>
      </c>
      <c r="B1199" s="7">
        <v>40755</v>
      </c>
      <c r="C1199" s="1">
        <v>11</v>
      </c>
      <c r="D1199" s="1">
        <v>210</v>
      </c>
      <c r="E1199" s="1">
        <v>0</v>
      </c>
      <c r="F1199" s="1">
        <v>93</v>
      </c>
      <c r="L1199" s="1">
        <v>1</v>
      </c>
      <c r="AF1199" s="1">
        <v>1</v>
      </c>
      <c r="AS1199" s="1">
        <v>1</v>
      </c>
    </row>
    <row r="1200" spans="1:85" x14ac:dyDescent="0.3">
      <c r="A1200" s="1" t="s">
        <v>46</v>
      </c>
      <c r="B1200" s="7">
        <v>40755</v>
      </c>
      <c r="C1200" s="1">
        <v>11</v>
      </c>
      <c r="D1200" s="1">
        <v>210</v>
      </c>
      <c r="E1200" s="1">
        <v>0</v>
      </c>
      <c r="F1200" s="1">
        <v>94</v>
      </c>
      <c r="L1200" s="1">
        <v>1</v>
      </c>
      <c r="AS1200" s="1">
        <v>1</v>
      </c>
    </row>
    <row r="1201" spans="1:90" x14ac:dyDescent="0.3">
      <c r="A1201" s="1" t="s">
        <v>46</v>
      </c>
      <c r="B1201" s="7">
        <v>40755</v>
      </c>
      <c r="C1201" s="1">
        <v>11</v>
      </c>
      <c r="D1201" s="1">
        <v>210</v>
      </c>
      <c r="E1201" s="1">
        <v>0</v>
      </c>
      <c r="F1201" s="1">
        <v>95</v>
      </c>
      <c r="L1201" s="1">
        <v>1</v>
      </c>
      <c r="AS1201" s="1">
        <v>1</v>
      </c>
      <c r="BL1201" s="1">
        <v>1</v>
      </c>
    </row>
    <row r="1202" spans="1:90" x14ac:dyDescent="0.3">
      <c r="A1202" s="1" t="s">
        <v>46</v>
      </c>
      <c r="B1202" s="7">
        <v>40755</v>
      </c>
      <c r="C1202" s="1">
        <v>11</v>
      </c>
      <c r="D1202" s="1">
        <v>210</v>
      </c>
      <c r="E1202" s="1">
        <v>0</v>
      </c>
      <c r="F1202" s="1">
        <v>96</v>
      </c>
      <c r="P1202" s="3">
        <v>0</v>
      </c>
      <c r="Q1202" s="3">
        <v>1</v>
      </c>
      <c r="AS1202" s="1">
        <v>1</v>
      </c>
    </row>
    <row r="1203" spans="1:90" x14ac:dyDescent="0.3">
      <c r="A1203" s="1" t="s">
        <v>46</v>
      </c>
      <c r="B1203" s="7">
        <v>40755</v>
      </c>
      <c r="C1203" s="1">
        <v>11</v>
      </c>
      <c r="D1203" s="1">
        <v>210</v>
      </c>
      <c r="E1203" s="1">
        <v>0</v>
      </c>
      <c r="F1203" s="1">
        <v>97</v>
      </c>
      <c r="AS1203" s="1">
        <v>1</v>
      </c>
    </row>
    <row r="1204" spans="1:90" x14ac:dyDescent="0.3">
      <c r="A1204" s="1" t="s">
        <v>46</v>
      </c>
      <c r="B1204" s="7">
        <v>40755</v>
      </c>
      <c r="C1204" s="1">
        <v>11</v>
      </c>
      <c r="D1204" s="1">
        <v>210</v>
      </c>
      <c r="E1204" s="1">
        <v>0</v>
      </c>
      <c r="F1204" s="1">
        <v>98</v>
      </c>
      <c r="L1204" s="1">
        <v>1</v>
      </c>
      <c r="AS1204" s="1">
        <v>1</v>
      </c>
      <c r="CF1204" s="1">
        <v>1</v>
      </c>
    </row>
    <row r="1205" spans="1:90" x14ac:dyDescent="0.3">
      <c r="A1205" s="1" t="s">
        <v>46</v>
      </c>
      <c r="B1205" s="7">
        <v>40755</v>
      </c>
      <c r="C1205" s="1">
        <v>11</v>
      </c>
      <c r="D1205" s="1">
        <v>210</v>
      </c>
      <c r="E1205" s="1">
        <v>0</v>
      </c>
      <c r="F1205" s="1">
        <v>99</v>
      </c>
      <c r="L1205" s="1">
        <v>1</v>
      </c>
      <c r="AM1205" s="1">
        <v>1</v>
      </c>
      <c r="AS1205" s="1">
        <v>1</v>
      </c>
    </row>
    <row r="1206" spans="1:90" x14ac:dyDescent="0.3">
      <c r="A1206" s="1" t="s">
        <v>46</v>
      </c>
      <c r="B1206" s="7">
        <v>40755</v>
      </c>
      <c r="C1206" s="1">
        <v>11</v>
      </c>
      <c r="D1206" s="1">
        <v>210</v>
      </c>
      <c r="E1206" s="1">
        <v>0</v>
      </c>
      <c r="F1206" s="1">
        <v>100</v>
      </c>
      <c r="P1206" s="3">
        <v>0</v>
      </c>
      <c r="Q1206" s="3">
        <v>1</v>
      </c>
      <c r="AS1206" s="1">
        <v>1</v>
      </c>
      <c r="BC1206" s="1">
        <v>1</v>
      </c>
      <c r="CF1206" s="1">
        <v>1</v>
      </c>
    </row>
    <row r="1207" spans="1:90" s="12" customFormat="1" x14ac:dyDescent="0.3">
      <c r="A1207" s="14" t="s">
        <v>46</v>
      </c>
      <c r="B1207" s="13"/>
      <c r="G1207" s="12">
        <f>SUM(G1007:G1206)</f>
        <v>2</v>
      </c>
      <c r="H1207" s="12">
        <f t="shared" ref="H1207" si="359">SUM(H1007:H1206)</f>
        <v>16</v>
      </c>
      <c r="I1207" s="12">
        <f t="shared" ref="I1207" si="360">SUM(I1007:I1206)</f>
        <v>11</v>
      </c>
      <c r="J1207" s="12">
        <f t="shared" ref="J1207" si="361">SUM(J1007:J1206)</f>
        <v>22</v>
      </c>
      <c r="K1207" s="12">
        <f t="shared" ref="K1207" si="362">SUM(K1007:K1206)</f>
        <v>17</v>
      </c>
      <c r="L1207" s="12">
        <f t="shared" ref="L1207" si="363">SUM(L1007:L1206)</f>
        <v>110</v>
      </c>
      <c r="M1207" s="12">
        <f t="shared" ref="M1207" si="364">SUM(M1007:M1206)</f>
        <v>3</v>
      </c>
      <c r="N1207" s="12">
        <f t="shared" ref="N1207" si="365">SUM(N1007:N1206)</f>
        <v>8</v>
      </c>
      <c r="O1207" s="12">
        <f t="shared" ref="O1207" si="366">SUM(O1007:O1206)</f>
        <v>0</v>
      </c>
      <c r="P1207" s="12">
        <f t="shared" ref="P1207" si="367">SUM(P1007:P1206)</f>
        <v>17</v>
      </c>
      <c r="Q1207" s="12">
        <f t="shared" ref="Q1207" si="368">SUM(Q1007:Q1206)</f>
        <v>29</v>
      </c>
      <c r="R1207" s="12">
        <f t="shared" ref="R1207" si="369">SUM(R1007:R1206)</f>
        <v>6</v>
      </c>
      <c r="S1207" s="12">
        <f t="shared" ref="S1207" si="370">SUM(S1007:S1206)</f>
        <v>9</v>
      </c>
      <c r="T1207" s="12">
        <f t="shared" ref="T1207" si="371">SUM(T1007:T1206)</f>
        <v>11</v>
      </c>
      <c r="U1207" s="12">
        <f t="shared" ref="U1207" si="372">SUM(U1007:U1206)</f>
        <v>0</v>
      </c>
      <c r="V1207" s="12">
        <f t="shared" ref="V1207" si="373">SUM(V1007:V1206)</f>
        <v>1</v>
      </c>
      <c r="W1207" s="12">
        <f t="shared" ref="W1207" si="374">SUM(W1007:W1206)</f>
        <v>3</v>
      </c>
      <c r="X1207" s="12">
        <f t="shared" ref="X1207" si="375">SUM(X1007:X1206)</f>
        <v>0</v>
      </c>
      <c r="Y1207" s="12">
        <f t="shared" ref="Y1207" si="376">SUM(Y1007:Y1206)</f>
        <v>0</v>
      </c>
      <c r="Z1207" s="12">
        <f t="shared" ref="Z1207" si="377">SUM(Z1007:Z1206)</f>
        <v>0</v>
      </c>
      <c r="AA1207" s="12">
        <f t="shared" ref="AA1207" si="378">SUM(AA1007:AA1206)</f>
        <v>0</v>
      </c>
      <c r="AB1207" s="12">
        <f t="shared" ref="AB1207" si="379">SUM(AB1007:AB1206)</f>
        <v>0</v>
      </c>
      <c r="AC1207" s="12">
        <f t="shared" ref="AC1207" si="380">SUM(AC1007:AC1206)</f>
        <v>0</v>
      </c>
      <c r="AD1207" s="12">
        <f t="shared" ref="AD1207" si="381">SUM(AD1007:AD1206)</f>
        <v>0</v>
      </c>
      <c r="AE1207" s="12">
        <f t="shared" ref="AE1207" si="382">SUM(AE1007:AE1206)</f>
        <v>0</v>
      </c>
      <c r="AF1207" s="12">
        <f t="shared" ref="AF1207" si="383">SUM(AF1007:AF1206)</f>
        <v>13</v>
      </c>
      <c r="AG1207" s="12">
        <f t="shared" ref="AG1207" si="384">SUM(AG1007:AG1206)</f>
        <v>3</v>
      </c>
      <c r="AH1207" s="12">
        <f t="shared" ref="AH1207" si="385">SUM(AH1007:AH1206)</f>
        <v>4</v>
      </c>
      <c r="AI1207" s="12">
        <f t="shared" ref="AI1207" si="386">SUM(AI1007:AI1206)</f>
        <v>4</v>
      </c>
      <c r="AJ1207" s="12">
        <f t="shared" ref="AJ1207" si="387">SUM(AJ1007:AJ1206)</f>
        <v>2</v>
      </c>
      <c r="AK1207" s="12">
        <f t="shared" ref="AK1207" si="388">SUM(AK1007:AK1206)</f>
        <v>0</v>
      </c>
      <c r="AL1207" s="12">
        <f t="shared" ref="AL1207" si="389">SUM(AL1007:AL1206)</f>
        <v>0</v>
      </c>
      <c r="AM1207" s="12">
        <f t="shared" ref="AM1207" si="390">SUM(AM1007:AM1206)</f>
        <v>27</v>
      </c>
      <c r="AN1207" s="12">
        <f t="shared" ref="AN1207" si="391">SUM(AN1007:AN1206)</f>
        <v>2</v>
      </c>
      <c r="AO1207" s="12">
        <f t="shared" ref="AO1207" si="392">SUM(AO1007:AO1206)</f>
        <v>0</v>
      </c>
      <c r="AP1207" s="12">
        <f t="shared" ref="AP1207" si="393">SUM(AP1007:AP1206)</f>
        <v>0</v>
      </c>
      <c r="AQ1207" s="12">
        <f t="shared" ref="AQ1207" si="394">SUM(AQ1007:AQ1206)</f>
        <v>0</v>
      </c>
      <c r="AR1207" s="12">
        <f t="shared" ref="AR1207" si="395">SUM(AR1007:AR1206)</f>
        <v>0</v>
      </c>
      <c r="AS1207" s="12">
        <f t="shared" ref="AS1207" si="396">SUM(AS1007:AS1206)</f>
        <v>57</v>
      </c>
      <c r="AT1207" s="12">
        <f t="shared" ref="AT1207" si="397">SUM(AT1007:AT1206)</f>
        <v>0</v>
      </c>
      <c r="AU1207" s="12">
        <f t="shared" ref="AU1207" si="398">SUM(AU1007:AU1206)</f>
        <v>1</v>
      </c>
      <c r="AV1207" s="12">
        <f t="shared" ref="AV1207" si="399">SUM(AV1007:AV1206)</f>
        <v>0</v>
      </c>
      <c r="AW1207" s="12">
        <f t="shared" ref="AW1207" si="400">SUM(AW1007:AW1206)</f>
        <v>0</v>
      </c>
      <c r="AX1207" s="12">
        <f t="shared" ref="AX1207" si="401">SUM(AX1007:AX1206)</f>
        <v>0</v>
      </c>
      <c r="AY1207" s="12">
        <f t="shared" ref="AY1207" si="402">SUM(AY1007:AY1206)</f>
        <v>0</v>
      </c>
      <c r="AZ1207" s="12">
        <f t="shared" ref="AZ1207" si="403">SUM(AZ1007:AZ1206)</f>
        <v>0</v>
      </c>
      <c r="BA1207" s="12">
        <f t="shared" ref="BA1207" si="404">SUM(BA1007:BA1206)</f>
        <v>0</v>
      </c>
      <c r="BB1207" s="12">
        <f t="shared" ref="BB1207" si="405">SUM(BB1007:BB1206)</f>
        <v>0</v>
      </c>
      <c r="BC1207" s="12">
        <f t="shared" ref="BC1207" si="406">SUM(BC1007:BC1206)</f>
        <v>9</v>
      </c>
      <c r="BD1207" s="12">
        <f t="shared" ref="BD1207" si="407">SUM(BD1007:BD1206)</f>
        <v>1</v>
      </c>
      <c r="BE1207" s="12">
        <f t="shared" ref="BE1207" si="408">SUM(BE1007:BE1206)</f>
        <v>14</v>
      </c>
      <c r="BF1207" s="12">
        <f t="shared" ref="BF1207" si="409">SUM(BF1007:BF1206)</f>
        <v>0</v>
      </c>
      <c r="BG1207" s="12">
        <f t="shared" ref="BG1207" si="410">SUM(BG1007:BG1206)</f>
        <v>7</v>
      </c>
      <c r="BH1207" s="12">
        <f t="shared" ref="BH1207" si="411">SUM(BH1007:BH1206)</f>
        <v>3</v>
      </c>
      <c r="BI1207" s="12">
        <f t="shared" ref="BI1207" si="412">SUM(BI1007:BI1206)</f>
        <v>3</v>
      </c>
      <c r="BJ1207" s="12">
        <f t="shared" ref="BJ1207" si="413">SUM(BJ1007:BJ1206)</f>
        <v>0</v>
      </c>
      <c r="BK1207" s="12">
        <f t="shared" ref="BK1207" si="414">SUM(BK1007:BK1206)</f>
        <v>0</v>
      </c>
      <c r="BL1207" s="12">
        <f t="shared" ref="BL1207" si="415">SUM(BL1007:BL1206)</f>
        <v>8</v>
      </c>
      <c r="BM1207" s="12">
        <f t="shared" ref="BM1207" si="416">SUM(BM1007:BM1206)</f>
        <v>1</v>
      </c>
      <c r="BN1207" s="12">
        <f t="shared" ref="BN1207" si="417">SUM(BN1007:BN1206)</f>
        <v>0</v>
      </c>
      <c r="BO1207" s="12">
        <f t="shared" ref="BO1207" si="418">SUM(BO1007:BO1206)</f>
        <v>0</v>
      </c>
      <c r="BP1207" s="12">
        <f t="shared" ref="BP1207" si="419">SUM(BP1007:BP1206)</f>
        <v>0</v>
      </c>
      <c r="BQ1207" s="12">
        <f t="shared" ref="BQ1207" si="420">SUM(BQ1007:BQ1206)</f>
        <v>1</v>
      </c>
      <c r="BR1207" s="12">
        <f t="shared" ref="BR1207" si="421">SUM(BR1007:BR1206)</f>
        <v>1</v>
      </c>
      <c r="BS1207" s="12">
        <f t="shared" ref="BS1207" si="422">SUM(BS1007:BS1206)</f>
        <v>0</v>
      </c>
      <c r="BT1207" s="12">
        <f t="shared" ref="BT1207" si="423">SUM(BT1007:BT1206)</f>
        <v>0</v>
      </c>
      <c r="BU1207" s="12">
        <f t="shared" ref="BU1207" si="424">SUM(BU1007:BU1206)</f>
        <v>0</v>
      </c>
      <c r="BV1207" s="12">
        <f t="shared" ref="BV1207" si="425">SUM(BV1007:BV1206)</f>
        <v>0</v>
      </c>
      <c r="BW1207" s="12">
        <f t="shared" ref="BW1207" si="426">SUM(BW1007:BW1206)</f>
        <v>7</v>
      </c>
      <c r="BX1207" s="12">
        <f t="shared" ref="BX1207" si="427">SUM(BX1007:BX1206)</f>
        <v>1</v>
      </c>
      <c r="BY1207" s="12">
        <f t="shared" ref="BY1207" si="428">SUM(BY1007:BY1206)</f>
        <v>0</v>
      </c>
      <c r="BZ1207" s="12">
        <f t="shared" ref="BZ1207" si="429">SUM(BZ1007:BZ1206)</f>
        <v>0</v>
      </c>
      <c r="CA1207" s="12">
        <f t="shared" ref="CA1207" si="430">SUM(CA1007:CA1206)</f>
        <v>0</v>
      </c>
      <c r="CB1207" s="12">
        <f t="shared" ref="CB1207" si="431">SUM(CB1007:CB1206)</f>
        <v>0</v>
      </c>
      <c r="CC1207" s="12">
        <f t="shared" ref="CC1207" si="432">SUM(CC1007:CC1206)</f>
        <v>0</v>
      </c>
      <c r="CD1207" s="12">
        <f t="shared" ref="CD1207" si="433">SUM(CD1007:CD1206)</f>
        <v>0</v>
      </c>
      <c r="CE1207" s="12">
        <f t="shared" ref="CE1207" si="434">SUM(CE1007:CE1206)</f>
        <v>0</v>
      </c>
      <c r="CF1207" s="12">
        <f t="shared" ref="CF1207" si="435">SUM(CF1007:CF1206)</f>
        <v>8</v>
      </c>
      <c r="CG1207" s="12">
        <f t="shared" ref="CG1207" si="436">SUM(CG1007:CG1206)</f>
        <v>3</v>
      </c>
      <c r="CH1207" s="12">
        <f t="shared" ref="CH1207" si="437">SUM(CH1007:CH1206)</f>
        <v>0</v>
      </c>
      <c r="CI1207" s="12">
        <f t="shared" ref="CI1207" si="438">SUM(CI1007:CI1206)</f>
        <v>0</v>
      </c>
      <c r="CJ1207" s="12">
        <f t="shared" ref="CJ1207" si="439">SUM(CJ1007:CJ1206)</f>
        <v>0</v>
      </c>
      <c r="CK1207" s="12">
        <f t="shared" ref="CK1207" si="440">SUM(CK1007:CK1206)</f>
        <v>0</v>
      </c>
      <c r="CL1207" s="12">
        <f t="shared" ref="CL1207" si="441">SUM(CL1007:CL1206)</f>
        <v>0</v>
      </c>
    </row>
    <row r="1208" spans="1:90" x14ac:dyDescent="0.3">
      <c r="A1208" s="1" t="s">
        <v>48</v>
      </c>
      <c r="B1208" s="7">
        <v>40751</v>
      </c>
      <c r="C1208" s="1">
        <v>3</v>
      </c>
      <c r="D1208" s="1">
        <v>10</v>
      </c>
      <c r="E1208" s="1">
        <v>2</v>
      </c>
      <c r="F1208" s="1">
        <v>1</v>
      </c>
      <c r="L1208" s="1">
        <v>1</v>
      </c>
      <c r="AM1208" s="1">
        <v>1</v>
      </c>
    </row>
    <row r="1209" spans="1:90" x14ac:dyDescent="0.3">
      <c r="A1209" s="1" t="s">
        <v>48</v>
      </c>
      <c r="B1209" s="7">
        <v>40751</v>
      </c>
      <c r="C1209" s="1">
        <v>3</v>
      </c>
      <c r="D1209" s="1">
        <v>10</v>
      </c>
      <c r="E1209" s="1">
        <v>2</v>
      </c>
      <c r="F1209" s="1">
        <v>2</v>
      </c>
      <c r="L1209" s="1">
        <v>1</v>
      </c>
      <c r="AM1209" s="3">
        <v>0</v>
      </c>
      <c r="AN1209" s="3">
        <v>1</v>
      </c>
    </row>
    <row r="1210" spans="1:90" x14ac:dyDescent="0.3">
      <c r="A1210" s="1" t="s">
        <v>48</v>
      </c>
      <c r="B1210" s="7">
        <v>40751</v>
      </c>
      <c r="C1210" s="1">
        <v>3</v>
      </c>
      <c r="D1210" s="1">
        <v>10</v>
      </c>
      <c r="E1210" s="1">
        <v>2</v>
      </c>
      <c r="F1210" s="1">
        <v>3</v>
      </c>
      <c r="L1210" s="1">
        <v>1</v>
      </c>
      <c r="BM1210" s="1">
        <v>1</v>
      </c>
    </row>
    <row r="1211" spans="1:90" x14ac:dyDescent="0.3">
      <c r="A1211" s="1" t="s">
        <v>48</v>
      </c>
      <c r="B1211" s="7">
        <v>40751</v>
      </c>
      <c r="C1211" s="1">
        <v>3</v>
      </c>
      <c r="D1211" s="1">
        <v>10</v>
      </c>
      <c r="E1211" s="1">
        <v>2</v>
      </c>
      <c r="F1211" s="1">
        <v>4</v>
      </c>
      <c r="L1211" s="1">
        <v>1</v>
      </c>
      <c r="AF1211" s="1">
        <v>1</v>
      </c>
    </row>
    <row r="1212" spans="1:90" x14ac:dyDescent="0.3">
      <c r="A1212" s="1" t="s">
        <v>48</v>
      </c>
      <c r="B1212" s="7">
        <v>40751</v>
      </c>
      <c r="C1212" s="1">
        <v>3</v>
      </c>
      <c r="D1212" s="1">
        <v>10</v>
      </c>
      <c r="E1212" s="1">
        <v>2</v>
      </c>
      <c r="F1212" s="1">
        <v>5</v>
      </c>
      <c r="I1212" s="1">
        <v>1</v>
      </c>
      <c r="L1212" s="3">
        <v>0</v>
      </c>
      <c r="M1212" s="3">
        <v>1</v>
      </c>
    </row>
    <row r="1213" spans="1:90" x14ac:dyDescent="0.3">
      <c r="A1213" s="1" t="s">
        <v>48</v>
      </c>
      <c r="B1213" s="7">
        <v>40751</v>
      </c>
      <c r="C1213" s="1">
        <v>3</v>
      </c>
      <c r="D1213" s="1">
        <v>10</v>
      </c>
      <c r="E1213" s="1">
        <v>2</v>
      </c>
      <c r="F1213" s="1">
        <v>6</v>
      </c>
      <c r="L1213" s="1">
        <v>1</v>
      </c>
      <c r="AF1213" s="1">
        <v>1</v>
      </c>
      <c r="AG1213" s="3">
        <v>0</v>
      </c>
      <c r="AH1213" s="3">
        <v>1</v>
      </c>
    </row>
    <row r="1214" spans="1:90" x14ac:dyDescent="0.3">
      <c r="A1214" s="1" t="s">
        <v>48</v>
      </c>
      <c r="B1214" s="7">
        <v>40751</v>
      </c>
      <c r="C1214" s="1">
        <v>3</v>
      </c>
      <c r="D1214" s="1">
        <v>10</v>
      </c>
      <c r="E1214" s="1">
        <v>2</v>
      </c>
      <c r="F1214" s="1">
        <v>7</v>
      </c>
      <c r="I1214" s="1">
        <v>1</v>
      </c>
      <c r="AG1214" s="1">
        <v>1</v>
      </c>
      <c r="AW1214" s="1">
        <v>1</v>
      </c>
    </row>
    <row r="1215" spans="1:90" x14ac:dyDescent="0.3">
      <c r="A1215" s="1" t="s">
        <v>48</v>
      </c>
      <c r="B1215" s="7">
        <v>40751</v>
      </c>
      <c r="C1215" s="1">
        <v>3</v>
      </c>
      <c r="D1215" s="1">
        <v>10</v>
      </c>
      <c r="E1215" s="1">
        <v>2</v>
      </c>
      <c r="F1215" s="1">
        <v>8</v>
      </c>
      <c r="I1215" s="1">
        <v>1</v>
      </c>
      <c r="L1215" s="1">
        <v>1</v>
      </c>
    </row>
    <row r="1216" spans="1:90" x14ac:dyDescent="0.3">
      <c r="A1216" s="1" t="s">
        <v>48</v>
      </c>
      <c r="B1216" s="7">
        <v>40751</v>
      </c>
      <c r="C1216" s="1">
        <v>3</v>
      </c>
      <c r="D1216" s="1">
        <v>10</v>
      </c>
      <c r="E1216" s="1">
        <v>2</v>
      </c>
      <c r="F1216" s="1">
        <v>9</v>
      </c>
      <c r="AG1216" s="3">
        <v>0</v>
      </c>
      <c r="AH1216" s="3">
        <v>1</v>
      </c>
      <c r="AS1216" s="1">
        <v>1</v>
      </c>
    </row>
    <row r="1217" spans="1:67" x14ac:dyDescent="0.3">
      <c r="A1217" s="1" t="s">
        <v>48</v>
      </c>
      <c r="B1217" s="7">
        <v>40751</v>
      </c>
      <c r="C1217" s="1">
        <v>3</v>
      </c>
      <c r="D1217" s="1">
        <v>10</v>
      </c>
      <c r="E1217" s="1">
        <v>2</v>
      </c>
      <c r="F1217" s="1">
        <v>10</v>
      </c>
      <c r="AF1217" s="1">
        <v>1</v>
      </c>
      <c r="BC1217" s="1">
        <v>1</v>
      </c>
    </row>
    <row r="1218" spans="1:67" x14ac:dyDescent="0.3">
      <c r="A1218" s="1" t="s">
        <v>48</v>
      </c>
      <c r="B1218" s="7">
        <v>40751</v>
      </c>
      <c r="C1218" s="1">
        <v>3</v>
      </c>
      <c r="D1218" s="1">
        <v>10</v>
      </c>
      <c r="E1218" s="1">
        <v>2</v>
      </c>
      <c r="F1218" s="1">
        <v>11</v>
      </c>
      <c r="L1218" s="1">
        <v>1</v>
      </c>
    </row>
    <row r="1219" spans="1:67" x14ac:dyDescent="0.3">
      <c r="A1219" s="1" t="s">
        <v>48</v>
      </c>
      <c r="B1219" s="7">
        <v>40751</v>
      </c>
      <c r="C1219" s="1">
        <v>3</v>
      </c>
      <c r="D1219" s="1">
        <v>10</v>
      </c>
      <c r="E1219" s="1">
        <v>2</v>
      </c>
      <c r="F1219" s="1">
        <v>12</v>
      </c>
      <c r="L1219" s="1">
        <v>1</v>
      </c>
      <c r="AS1219" s="1">
        <v>1</v>
      </c>
    </row>
    <row r="1220" spans="1:67" x14ac:dyDescent="0.3">
      <c r="A1220" s="1" t="s">
        <v>48</v>
      </c>
      <c r="B1220" s="7">
        <v>40751</v>
      </c>
      <c r="C1220" s="1">
        <v>3</v>
      </c>
      <c r="D1220" s="1">
        <v>10</v>
      </c>
      <c r="E1220" s="1">
        <v>2</v>
      </c>
      <c r="F1220" s="1">
        <v>13</v>
      </c>
      <c r="H1220" s="1">
        <v>1</v>
      </c>
      <c r="AG1220" s="1">
        <v>1</v>
      </c>
      <c r="AS1220" s="1">
        <v>1</v>
      </c>
    </row>
    <row r="1221" spans="1:67" x14ac:dyDescent="0.3">
      <c r="A1221" s="1" t="s">
        <v>48</v>
      </c>
      <c r="B1221" s="7">
        <v>40751</v>
      </c>
      <c r="C1221" s="1">
        <v>3</v>
      </c>
      <c r="D1221" s="1">
        <v>10</v>
      </c>
      <c r="E1221" s="1">
        <v>2</v>
      </c>
      <c r="F1221" s="1">
        <v>14</v>
      </c>
      <c r="H1221" s="1">
        <v>1</v>
      </c>
      <c r="AU1221" s="1">
        <v>1</v>
      </c>
    </row>
    <row r="1222" spans="1:67" x14ac:dyDescent="0.3">
      <c r="A1222" s="1" t="s">
        <v>48</v>
      </c>
      <c r="B1222" s="7">
        <v>40751</v>
      </c>
      <c r="C1222" s="1">
        <v>3</v>
      </c>
      <c r="D1222" s="1">
        <v>10</v>
      </c>
      <c r="E1222" s="1">
        <v>2</v>
      </c>
      <c r="F1222" s="1">
        <v>15</v>
      </c>
      <c r="AS1222" s="1">
        <v>1</v>
      </c>
      <c r="AU1222" s="1">
        <v>1</v>
      </c>
    </row>
    <row r="1223" spans="1:67" x14ac:dyDescent="0.3">
      <c r="A1223" s="1" t="s">
        <v>48</v>
      </c>
      <c r="B1223" s="7">
        <v>40751</v>
      </c>
      <c r="C1223" s="1">
        <v>3</v>
      </c>
      <c r="D1223" s="1">
        <v>10</v>
      </c>
      <c r="E1223" s="1">
        <v>2</v>
      </c>
      <c r="F1223" s="1">
        <v>16</v>
      </c>
      <c r="I1223" s="1">
        <v>1</v>
      </c>
      <c r="L1223" s="1">
        <v>1</v>
      </c>
      <c r="AF1223" s="1">
        <v>1</v>
      </c>
    </row>
    <row r="1224" spans="1:67" x14ac:dyDescent="0.3">
      <c r="A1224" s="1" t="s">
        <v>48</v>
      </c>
      <c r="B1224" s="7">
        <v>40751</v>
      </c>
      <c r="C1224" s="1">
        <v>3</v>
      </c>
      <c r="D1224" s="1">
        <v>10</v>
      </c>
      <c r="E1224" s="1">
        <v>2</v>
      </c>
      <c r="F1224" s="1">
        <v>17</v>
      </c>
      <c r="AG1224" s="1">
        <v>1</v>
      </c>
      <c r="AS1224" s="1">
        <v>1</v>
      </c>
      <c r="AW1224" s="1">
        <v>1</v>
      </c>
    </row>
    <row r="1225" spans="1:67" x14ac:dyDescent="0.3">
      <c r="A1225" s="1" t="s">
        <v>48</v>
      </c>
      <c r="B1225" s="7">
        <v>40751</v>
      </c>
      <c r="C1225" s="1">
        <v>3</v>
      </c>
      <c r="D1225" s="1">
        <v>10</v>
      </c>
      <c r="E1225" s="1">
        <v>2</v>
      </c>
      <c r="F1225" s="1">
        <v>18</v>
      </c>
      <c r="L1225" s="1">
        <v>1</v>
      </c>
      <c r="AS1225" s="1">
        <v>1</v>
      </c>
    </row>
    <row r="1226" spans="1:67" x14ac:dyDescent="0.3">
      <c r="A1226" s="1" t="s">
        <v>48</v>
      </c>
      <c r="B1226" s="7">
        <v>40751</v>
      </c>
      <c r="C1226" s="1">
        <v>3</v>
      </c>
      <c r="D1226" s="1">
        <v>10</v>
      </c>
      <c r="E1226" s="1">
        <v>2</v>
      </c>
      <c r="F1226" s="1">
        <v>19</v>
      </c>
      <c r="I1226" s="1">
        <v>1</v>
      </c>
    </row>
    <row r="1227" spans="1:67" x14ac:dyDescent="0.3">
      <c r="A1227" s="1" t="s">
        <v>48</v>
      </c>
      <c r="B1227" s="7">
        <v>40751</v>
      </c>
      <c r="C1227" s="1">
        <v>3</v>
      </c>
      <c r="D1227" s="1">
        <v>10</v>
      </c>
      <c r="E1227" s="1">
        <v>2</v>
      </c>
      <c r="F1227" s="1">
        <v>20</v>
      </c>
      <c r="AG1227" s="1">
        <v>1</v>
      </c>
      <c r="BO1227" s="1">
        <v>1</v>
      </c>
    </row>
    <row r="1228" spans="1:67" x14ac:dyDescent="0.3">
      <c r="A1228" s="1" t="s">
        <v>48</v>
      </c>
      <c r="B1228" s="7">
        <v>40751</v>
      </c>
      <c r="C1228" s="1">
        <v>3</v>
      </c>
      <c r="D1228" s="1">
        <v>10</v>
      </c>
      <c r="E1228" s="1">
        <v>2</v>
      </c>
      <c r="F1228" s="1">
        <v>21</v>
      </c>
      <c r="AM1228" s="1">
        <v>1</v>
      </c>
      <c r="AW1228" s="3">
        <v>0</v>
      </c>
      <c r="AX1228" s="3">
        <v>1</v>
      </c>
      <c r="BE1228" s="1">
        <v>1</v>
      </c>
    </row>
    <row r="1229" spans="1:67" x14ac:dyDescent="0.3">
      <c r="A1229" s="1" t="s">
        <v>48</v>
      </c>
      <c r="B1229" s="7">
        <v>40751</v>
      </c>
      <c r="C1229" s="1">
        <v>3</v>
      </c>
      <c r="D1229" s="1">
        <v>10</v>
      </c>
      <c r="E1229" s="1">
        <v>2</v>
      </c>
      <c r="F1229" s="1">
        <v>22</v>
      </c>
      <c r="L1229" s="3">
        <v>0</v>
      </c>
      <c r="M1229" s="3">
        <v>1</v>
      </c>
      <c r="AU1229" s="1">
        <v>1</v>
      </c>
      <c r="BE1229" s="1">
        <v>1</v>
      </c>
    </row>
    <row r="1230" spans="1:67" x14ac:dyDescent="0.3">
      <c r="A1230" s="1" t="s">
        <v>48</v>
      </c>
      <c r="B1230" s="7">
        <v>40751</v>
      </c>
      <c r="C1230" s="1">
        <v>3</v>
      </c>
      <c r="D1230" s="1">
        <v>10</v>
      </c>
      <c r="E1230" s="1">
        <v>2</v>
      </c>
      <c r="F1230" s="1">
        <v>23</v>
      </c>
      <c r="AD1230" s="1">
        <v>1</v>
      </c>
      <c r="BE1230" s="1">
        <v>1</v>
      </c>
    </row>
    <row r="1231" spans="1:67" x14ac:dyDescent="0.3">
      <c r="A1231" s="1" t="s">
        <v>48</v>
      </c>
      <c r="B1231" s="7">
        <v>40751</v>
      </c>
      <c r="C1231" s="1">
        <v>3</v>
      </c>
      <c r="D1231" s="1">
        <v>10</v>
      </c>
      <c r="E1231" s="1">
        <v>2</v>
      </c>
      <c r="F1231" s="1">
        <v>24</v>
      </c>
      <c r="AU1231" s="1">
        <v>1</v>
      </c>
    </row>
    <row r="1232" spans="1:67" x14ac:dyDescent="0.3">
      <c r="A1232" s="1" t="s">
        <v>48</v>
      </c>
      <c r="B1232" s="7">
        <v>40751</v>
      </c>
      <c r="C1232" s="1">
        <v>3</v>
      </c>
      <c r="D1232" s="1">
        <v>10</v>
      </c>
      <c r="E1232" s="1">
        <v>2</v>
      </c>
      <c r="F1232" s="1">
        <v>25</v>
      </c>
      <c r="AS1232" s="1">
        <v>1</v>
      </c>
    </row>
    <row r="1233" spans="1:58" x14ac:dyDescent="0.3">
      <c r="A1233" s="1" t="s">
        <v>48</v>
      </c>
      <c r="B1233" s="7">
        <v>40751</v>
      </c>
      <c r="C1233" s="1">
        <v>3</v>
      </c>
      <c r="D1233" s="1">
        <v>10</v>
      </c>
      <c r="E1233" s="1">
        <v>2</v>
      </c>
      <c r="F1233" s="1">
        <v>26</v>
      </c>
      <c r="L1233" s="1">
        <v>1</v>
      </c>
      <c r="AF1233" s="1">
        <v>1</v>
      </c>
    </row>
    <row r="1234" spans="1:58" x14ac:dyDescent="0.3">
      <c r="A1234" s="1" t="s">
        <v>48</v>
      </c>
      <c r="B1234" s="7">
        <v>40751</v>
      </c>
      <c r="C1234" s="1">
        <v>3</v>
      </c>
      <c r="D1234" s="1">
        <v>10</v>
      </c>
      <c r="E1234" s="1">
        <v>2</v>
      </c>
      <c r="F1234" s="1">
        <v>27</v>
      </c>
      <c r="AS1234" s="1">
        <v>1</v>
      </c>
    </row>
    <row r="1235" spans="1:58" x14ac:dyDescent="0.3">
      <c r="A1235" s="1" t="s">
        <v>48</v>
      </c>
      <c r="B1235" s="7">
        <v>40751</v>
      </c>
      <c r="C1235" s="1">
        <v>3</v>
      </c>
      <c r="D1235" s="1">
        <v>10</v>
      </c>
      <c r="E1235" s="1">
        <v>2</v>
      </c>
      <c r="F1235" s="1">
        <v>28</v>
      </c>
      <c r="L1235" s="1">
        <v>1</v>
      </c>
    </row>
    <row r="1236" spans="1:58" x14ac:dyDescent="0.3">
      <c r="A1236" s="1" t="s">
        <v>48</v>
      </c>
      <c r="B1236" s="7">
        <v>40751</v>
      </c>
      <c r="C1236" s="1">
        <v>3</v>
      </c>
      <c r="D1236" s="1">
        <v>10</v>
      </c>
      <c r="E1236" s="1">
        <v>2</v>
      </c>
      <c r="F1236" s="1">
        <v>29</v>
      </c>
      <c r="L1236" s="1">
        <v>1</v>
      </c>
    </row>
    <row r="1237" spans="1:58" x14ac:dyDescent="0.3">
      <c r="A1237" s="1" t="s">
        <v>48</v>
      </c>
      <c r="B1237" s="7">
        <v>40751</v>
      </c>
      <c r="C1237" s="1">
        <v>3</v>
      </c>
      <c r="D1237" s="1">
        <v>10</v>
      </c>
      <c r="E1237" s="1">
        <v>2</v>
      </c>
      <c r="F1237" s="1">
        <v>30</v>
      </c>
      <c r="AG1237" s="3">
        <v>0</v>
      </c>
      <c r="AH1237" s="3">
        <v>1</v>
      </c>
    </row>
    <row r="1238" spans="1:58" x14ac:dyDescent="0.3">
      <c r="A1238" s="1" t="s">
        <v>48</v>
      </c>
      <c r="B1238" s="7">
        <v>40751</v>
      </c>
      <c r="C1238" s="1">
        <v>3</v>
      </c>
      <c r="D1238" s="1">
        <v>10</v>
      </c>
      <c r="E1238" s="1">
        <v>2</v>
      </c>
      <c r="F1238" s="1">
        <v>31</v>
      </c>
      <c r="H1238" s="1">
        <v>1</v>
      </c>
      <c r="BE1238" s="1">
        <v>1</v>
      </c>
    </row>
    <row r="1239" spans="1:58" x14ac:dyDescent="0.3">
      <c r="A1239" s="1" t="s">
        <v>48</v>
      </c>
      <c r="B1239" s="7">
        <v>40751</v>
      </c>
      <c r="C1239" s="1">
        <v>3</v>
      </c>
      <c r="D1239" s="1">
        <v>10</v>
      </c>
      <c r="E1239" s="1">
        <v>2</v>
      </c>
      <c r="F1239" s="1">
        <v>32</v>
      </c>
      <c r="AS1239" s="1">
        <v>1</v>
      </c>
      <c r="BE1239" s="1">
        <v>1</v>
      </c>
    </row>
    <row r="1240" spans="1:58" x14ac:dyDescent="0.3">
      <c r="A1240" s="1" t="s">
        <v>48</v>
      </c>
      <c r="B1240" s="7">
        <v>40751</v>
      </c>
      <c r="C1240" s="1">
        <v>3</v>
      </c>
      <c r="D1240" s="1">
        <v>10</v>
      </c>
      <c r="E1240" s="1">
        <v>2</v>
      </c>
      <c r="F1240" s="1">
        <v>33</v>
      </c>
      <c r="L1240" s="8">
        <v>1</v>
      </c>
      <c r="M1240" s="8"/>
      <c r="BE1240" s="3">
        <v>0</v>
      </c>
      <c r="BF1240" s="3">
        <v>1</v>
      </c>
    </row>
    <row r="1241" spans="1:58" x14ac:dyDescent="0.3">
      <c r="A1241" s="1" t="s">
        <v>48</v>
      </c>
      <c r="B1241" s="7">
        <v>40751</v>
      </c>
      <c r="C1241" s="1">
        <v>3</v>
      </c>
      <c r="D1241" s="1">
        <v>10</v>
      </c>
      <c r="E1241" s="1">
        <v>2</v>
      </c>
      <c r="F1241" s="1">
        <v>34</v>
      </c>
      <c r="L1241" s="1">
        <v>1</v>
      </c>
      <c r="AM1241" s="1">
        <v>1</v>
      </c>
      <c r="AS1241" s="1">
        <v>1</v>
      </c>
    </row>
    <row r="1242" spans="1:58" x14ac:dyDescent="0.3">
      <c r="A1242" s="1" t="s">
        <v>48</v>
      </c>
      <c r="B1242" s="7">
        <v>40751</v>
      </c>
      <c r="C1242" s="1">
        <v>3</v>
      </c>
      <c r="D1242" s="1">
        <v>10</v>
      </c>
      <c r="E1242" s="1">
        <v>2</v>
      </c>
      <c r="F1242" s="1">
        <v>35</v>
      </c>
      <c r="I1242" s="1">
        <v>1</v>
      </c>
      <c r="V1242" s="1">
        <v>1</v>
      </c>
    </row>
    <row r="1243" spans="1:58" x14ac:dyDescent="0.3">
      <c r="A1243" s="1" t="s">
        <v>48</v>
      </c>
      <c r="B1243" s="7">
        <v>40751</v>
      </c>
      <c r="C1243" s="1">
        <v>3</v>
      </c>
      <c r="D1243" s="1">
        <v>10</v>
      </c>
      <c r="E1243" s="1">
        <v>2</v>
      </c>
      <c r="F1243" s="1">
        <v>36</v>
      </c>
      <c r="L1243" s="1">
        <v>1</v>
      </c>
      <c r="V1243" s="1">
        <v>1</v>
      </c>
      <c r="AM1243" s="1">
        <v>1</v>
      </c>
    </row>
    <row r="1244" spans="1:58" x14ac:dyDescent="0.3">
      <c r="A1244" s="1" t="s">
        <v>48</v>
      </c>
      <c r="B1244" s="7">
        <v>40751</v>
      </c>
      <c r="C1244" s="1">
        <v>3</v>
      </c>
      <c r="D1244" s="1">
        <v>10</v>
      </c>
      <c r="E1244" s="1">
        <v>2</v>
      </c>
      <c r="F1244" s="1">
        <v>37</v>
      </c>
      <c r="L1244" s="8">
        <v>1</v>
      </c>
      <c r="M1244" s="8"/>
      <c r="AM1244" s="1">
        <v>1</v>
      </c>
    </row>
    <row r="1245" spans="1:58" x14ac:dyDescent="0.3">
      <c r="A1245" s="1" t="s">
        <v>48</v>
      </c>
      <c r="B1245" s="7">
        <v>40751</v>
      </c>
      <c r="C1245" s="1">
        <v>3</v>
      </c>
      <c r="D1245" s="1">
        <v>10</v>
      </c>
      <c r="E1245" s="1">
        <v>2</v>
      </c>
      <c r="F1245" s="1">
        <v>38</v>
      </c>
      <c r="L1245" s="1">
        <v>1</v>
      </c>
    </row>
    <row r="1246" spans="1:58" x14ac:dyDescent="0.3">
      <c r="A1246" s="1" t="s">
        <v>48</v>
      </c>
      <c r="B1246" s="7">
        <v>40751</v>
      </c>
      <c r="C1246" s="1">
        <v>3</v>
      </c>
      <c r="D1246" s="1">
        <v>10</v>
      </c>
      <c r="E1246" s="1">
        <v>2</v>
      </c>
      <c r="F1246" s="1">
        <v>39</v>
      </c>
      <c r="L1246" s="1">
        <v>1</v>
      </c>
    </row>
    <row r="1247" spans="1:58" x14ac:dyDescent="0.3">
      <c r="A1247" s="1" t="s">
        <v>48</v>
      </c>
      <c r="B1247" s="7">
        <v>40751</v>
      </c>
      <c r="C1247" s="1">
        <v>3</v>
      </c>
      <c r="D1247" s="1">
        <v>10</v>
      </c>
      <c r="E1247" s="1">
        <v>2</v>
      </c>
      <c r="F1247" s="1">
        <v>40</v>
      </c>
      <c r="L1247" s="8">
        <v>1</v>
      </c>
      <c r="M1247" s="8"/>
      <c r="P1247" s="1">
        <v>1</v>
      </c>
    </row>
    <row r="1248" spans="1:58" x14ac:dyDescent="0.3">
      <c r="A1248" s="1" t="s">
        <v>48</v>
      </c>
      <c r="B1248" s="7">
        <v>40751</v>
      </c>
      <c r="C1248" s="1">
        <v>3</v>
      </c>
      <c r="D1248" s="1">
        <v>10</v>
      </c>
      <c r="E1248" s="1">
        <v>2</v>
      </c>
      <c r="F1248" s="1">
        <v>41</v>
      </c>
      <c r="L1248" s="1">
        <v>1</v>
      </c>
      <c r="BE1248" s="1">
        <v>1</v>
      </c>
    </row>
    <row r="1249" spans="1:57" x14ac:dyDescent="0.3">
      <c r="A1249" s="1" t="s">
        <v>48</v>
      </c>
      <c r="B1249" s="7">
        <v>40751</v>
      </c>
      <c r="C1249" s="1">
        <v>3</v>
      </c>
      <c r="D1249" s="1">
        <v>10</v>
      </c>
      <c r="E1249" s="1">
        <v>2</v>
      </c>
      <c r="F1249" s="1">
        <v>42</v>
      </c>
      <c r="L1249" s="1">
        <v>1</v>
      </c>
      <c r="BE1249" s="1">
        <v>1</v>
      </c>
    </row>
    <row r="1250" spans="1:57" x14ac:dyDescent="0.3">
      <c r="A1250" s="1" t="s">
        <v>48</v>
      </c>
      <c r="B1250" s="7">
        <v>40751</v>
      </c>
      <c r="C1250" s="1">
        <v>3</v>
      </c>
      <c r="D1250" s="1">
        <v>10</v>
      </c>
      <c r="E1250" s="1">
        <v>2</v>
      </c>
      <c r="F1250" s="1">
        <v>43</v>
      </c>
      <c r="L1250" s="1">
        <v>1</v>
      </c>
      <c r="BE1250" s="1">
        <v>1</v>
      </c>
    </row>
    <row r="1251" spans="1:57" x14ac:dyDescent="0.3">
      <c r="A1251" s="1" t="s">
        <v>48</v>
      </c>
      <c r="B1251" s="7">
        <v>40751</v>
      </c>
      <c r="C1251" s="1">
        <v>3</v>
      </c>
      <c r="D1251" s="1">
        <v>10</v>
      </c>
      <c r="E1251" s="1">
        <v>2</v>
      </c>
      <c r="F1251" s="1">
        <v>44</v>
      </c>
      <c r="L1251" s="8">
        <v>1</v>
      </c>
      <c r="M1251" s="8"/>
    </row>
    <row r="1252" spans="1:57" x14ac:dyDescent="0.3">
      <c r="A1252" s="1" t="s">
        <v>48</v>
      </c>
      <c r="B1252" s="7">
        <v>40751</v>
      </c>
      <c r="C1252" s="1">
        <v>3</v>
      </c>
      <c r="D1252" s="1">
        <v>10</v>
      </c>
      <c r="E1252" s="1">
        <v>2</v>
      </c>
      <c r="F1252" s="1">
        <v>45</v>
      </c>
      <c r="L1252" s="8">
        <v>1</v>
      </c>
      <c r="M1252" s="8"/>
    </row>
    <row r="1253" spans="1:57" x14ac:dyDescent="0.3">
      <c r="A1253" s="1" t="s">
        <v>48</v>
      </c>
      <c r="B1253" s="7">
        <v>40751</v>
      </c>
      <c r="C1253" s="1">
        <v>3</v>
      </c>
      <c r="D1253" s="1">
        <v>10</v>
      </c>
      <c r="E1253" s="1">
        <v>2</v>
      </c>
      <c r="F1253" s="1">
        <v>46</v>
      </c>
      <c r="AS1253" s="1">
        <v>1</v>
      </c>
    </row>
    <row r="1254" spans="1:57" x14ac:dyDescent="0.3">
      <c r="A1254" s="1" t="s">
        <v>48</v>
      </c>
      <c r="B1254" s="7">
        <v>40751</v>
      </c>
      <c r="C1254" s="1">
        <v>3</v>
      </c>
      <c r="D1254" s="1">
        <v>10</v>
      </c>
      <c r="E1254" s="1">
        <v>2</v>
      </c>
      <c r="F1254" s="1">
        <v>47</v>
      </c>
      <c r="L1254" s="1">
        <v>1</v>
      </c>
    </row>
    <row r="1255" spans="1:57" x14ac:dyDescent="0.3">
      <c r="A1255" s="1" t="s">
        <v>48</v>
      </c>
      <c r="B1255" s="7">
        <v>40751</v>
      </c>
      <c r="C1255" s="1">
        <v>3</v>
      </c>
      <c r="D1255" s="1">
        <v>10</v>
      </c>
      <c r="E1255" s="1">
        <v>2</v>
      </c>
      <c r="F1255" s="1">
        <v>48</v>
      </c>
      <c r="L1255" s="1">
        <v>1</v>
      </c>
      <c r="AS1255" s="1">
        <v>1</v>
      </c>
    </row>
    <row r="1256" spans="1:57" x14ac:dyDescent="0.3">
      <c r="A1256" s="1" t="s">
        <v>48</v>
      </c>
      <c r="B1256" s="7">
        <v>40751</v>
      </c>
      <c r="C1256" s="1">
        <v>3</v>
      </c>
      <c r="D1256" s="1">
        <v>10</v>
      </c>
      <c r="E1256" s="1">
        <v>2</v>
      </c>
      <c r="F1256" s="1">
        <v>49</v>
      </c>
      <c r="L1256" s="1">
        <v>1</v>
      </c>
      <c r="AY1256" s="3">
        <v>0</v>
      </c>
      <c r="AZ1256" s="3">
        <v>1</v>
      </c>
    </row>
    <row r="1257" spans="1:57" x14ac:dyDescent="0.3">
      <c r="A1257" s="1" t="s">
        <v>48</v>
      </c>
      <c r="B1257" s="7">
        <v>40751</v>
      </c>
      <c r="C1257" s="1">
        <v>3</v>
      </c>
      <c r="D1257" s="1">
        <v>10</v>
      </c>
      <c r="E1257" s="1">
        <v>2</v>
      </c>
      <c r="F1257" s="1">
        <v>50</v>
      </c>
      <c r="P1257" s="1">
        <v>1</v>
      </c>
    </row>
    <row r="1258" spans="1:57" x14ac:dyDescent="0.3">
      <c r="A1258" s="1" t="s">
        <v>48</v>
      </c>
      <c r="B1258" s="7">
        <v>40751</v>
      </c>
      <c r="C1258" s="1">
        <v>3</v>
      </c>
      <c r="D1258" s="1">
        <v>10</v>
      </c>
      <c r="E1258" s="1">
        <v>2</v>
      </c>
      <c r="F1258" s="1">
        <v>51</v>
      </c>
      <c r="L1258" s="1">
        <v>1</v>
      </c>
      <c r="BE1258" s="1">
        <v>1</v>
      </c>
    </row>
    <row r="1259" spans="1:57" x14ac:dyDescent="0.3">
      <c r="A1259" s="1" t="s">
        <v>48</v>
      </c>
      <c r="B1259" s="7">
        <v>40751</v>
      </c>
      <c r="C1259" s="1">
        <v>3</v>
      </c>
      <c r="D1259" s="1">
        <v>10</v>
      </c>
      <c r="E1259" s="1">
        <v>2</v>
      </c>
      <c r="F1259" s="1">
        <v>52</v>
      </c>
      <c r="BE1259" s="1">
        <v>1</v>
      </c>
    </row>
    <row r="1260" spans="1:57" x14ac:dyDescent="0.3">
      <c r="A1260" s="1" t="s">
        <v>48</v>
      </c>
      <c r="B1260" s="7">
        <v>40751</v>
      </c>
      <c r="C1260" s="1">
        <v>3</v>
      </c>
      <c r="D1260" s="1">
        <v>10</v>
      </c>
      <c r="E1260" s="1">
        <v>2</v>
      </c>
      <c r="F1260" s="1">
        <v>53</v>
      </c>
      <c r="L1260" s="1">
        <v>1</v>
      </c>
      <c r="BE1260" s="1">
        <v>1</v>
      </c>
    </row>
    <row r="1261" spans="1:57" x14ac:dyDescent="0.3">
      <c r="A1261" s="1" t="s">
        <v>48</v>
      </c>
      <c r="B1261" s="7">
        <v>40751</v>
      </c>
      <c r="C1261" s="1">
        <v>3</v>
      </c>
      <c r="D1261" s="1">
        <v>10</v>
      </c>
      <c r="E1261" s="1">
        <v>2</v>
      </c>
      <c r="F1261" s="1">
        <v>54</v>
      </c>
      <c r="H1261" s="1">
        <v>1</v>
      </c>
      <c r="BE1261" s="1">
        <v>1</v>
      </c>
    </row>
    <row r="1262" spans="1:57" x14ac:dyDescent="0.3">
      <c r="A1262" s="1" t="s">
        <v>48</v>
      </c>
      <c r="B1262" s="7">
        <v>40751</v>
      </c>
      <c r="C1262" s="1">
        <v>3</v>
      </c>
      <c r="D1262" s="1">
        <v>10</v>
      </c>
      <c r="E1262" s="1">
        <v>2</v>
      </c>
      <c r="F1262" s="1">
        <v>55</v>
      </c>
      <c r="AG1262" s="8">
        <v>1</v>
      </c>
      <c r="AH1262" s="8"/>
      <c r="AI1262" s="8"/>
      <c r="AJ1262" s="8"/>
      <c r="BE1262" s="1">
        <v>1</v>
      </c>
    </row>
    <row r="1263" spans="1:57" x14ac:dyDescent="0.3">
      <c r="A1263" s="1" t="s">
        <v>48</v>
      </c>
      <c r="B1263" s="7">
        <v>40751</v>
      </c>
      <c r="C1263" s="1">
        <v>3</v>
      </c>
      <c r="D1263" s="1">
        <v>10</v>
      </c>
      <c r="E1263" s="1">
        <v>2</v>
      </c>
      <c r="F1263" s="1">
        <v>56</v>
      </c>
      <c r="I1263" s="1">
        <v>1</v>
      </c>
      <c r="L1263" s="1">
        <v>1</v>
      </c>
    </row>
    <row r="1264" spans="1:57" x14ac:dyDescent="0.3">
      <c r="A1264" s="1" t="s">
        <v>48</v>
      </c>
      <c r="B1264" s="7">
        <v>40751</v>
      </c>
      <c r="C1264" s="1">
        <v>3</v>
      </c>
      <c r="D1264" s="1">
        <v>10</v>
      </c>
      <c r="E1264" s="1">
        <v>2</v>
      </c>
      <c r="F1264" s="1">
        <v>57</v>
      </c>
      <c r="L1264" s="8">
        <v>1</v>
      </c>
      <c r="M1264" s="8"/>
      <c r="AY1264" s="1">
        <v>1</v>
      </c>
    </row>
    <row r="1265" spans="1:60" x14ac:dyDescent="0.3">
      <c r="A1265" s="1" t="s">
        <v>48</v>
      </c>
      <c r="B1265" s="7">
        <v>40751</v>
      </c>
      <c r="C1265" s="1">
        <v>3</v>
      </c>
      <c r="D1265" s="1">
        <v>10</v>
      </c>
      <c r="E1265" s="1">
        <v>2</v>
      </c>
      <c r="F1265" s="1">
        <v>58</v>
      </c>
      <c r="H1265" s="1">
        <v>1</v>
      </c>
      <c r="P1265" s="1">
        <v>1</v>
      </c>
    </row>
    <row r="1266" spans="1:60" x14ac:dyDescent="0.3">
      <c r="A1266" s="1" t="s">
        <v>48</v>
      </c>
      <c r="B1266" s="7">
        <v>40751</v>
      </c>
      <c r="C1266" s="1">
        <v>3</v>
      </c>
      <c r="D1266" s="1">
        <v>10</v>
      </c>
      <c r="E1266" s="1">
        <v>2</v>
      </c>
      <c r="F1266" s="1">
        <v>59</v>
      </c>
      <c r="L1266" s="8">
        <v>1</v>
      </c>
      <c r="M1266" s="8"/>
      <c r="BG1266" s="3">
        <v>0</v>
      </c>
      <c r="BH1266" s="3">
        <v>1</v>
      </c>
    </row>
    <row r="1267" spans="1:60" x14ac:dyDescent="0.3">
      <c r="A1267" s="1" t="s">
        <v>48</v>
      </c>
      <c r="B1267" s="7">
        <v>40751</v>
      </c>
      <c r="C1267" s="1">
        <v>3</v>
      </c>
      <c r="D1267" s="1">
        <v>10</v>
      </c>
      <c r="E1267" s="1">
        <v>2</v>
      </c>
      <c r="F1267" s="1">
        <v>60</v>
      </c>
      <c r="L1267" s="8">
        <v>1</v>
      </c>
      <c r="M1267" s="8"/>
    </row>
    <row r="1268" spans="1:60" x14ac:dyDescent="0.3">
      <c r="A1268" s="1" t="s">
        <v>48</v>
      </c>
      <c r="B1268" s="7">
        <v>40751</v>
      </c>
      <c r="C1268" s="1">
        <v>3</v>
      </c>
      <c r="D1268" s="1">
        <v>10</v>
      </c>
      <c r="E1268" s="1">
        <v>2</v>
      </c>
      <c r="F1268" s="1">
        <v>61</v>
      </c>
      <c r="L1268" s="8">
        <v>1</v>
      </c>
      <c r="M1268" s="8"/>
    </row>
    <row r="1269" spans="1:60" x14ac:dyDescent="0.3">
      <c r="A1269" s="1" t="s">
        <v>48</v>
      </c>
      <c r="B1269" s="7">
        <v>40751</v>
      </c>
      <c r="C1269" s="1">
        <v>3</v>
      </c>
      <c r="D1269" s="1">
        <v>10</v>
      </c>
      <c r="E1269" s="1">
        <v>2</v>
      </c>
      <c r="F1269" s="1">
        <v>62</v>
      </c>
      <c r="R1269" s="1">
        <v>1</v>
      </c>
    </row>
    <row r="1270" spans="1:60" x14ac:dyDescent="0.3">
      <c r="A1270" s="1" t="s">
        <v>48</v>
      </c>
      <c r="B1270" s="7">
        <v>40751</v>
      </c>
      <c r="C1270" s="1">
        <v>3</v>
      </c>
      <c r="D1270" s="1">
        <v>10</v>
      </c>
      <c r="E1270" s="1">
        <v>2</v>
      </c>
      <c r="F1270" s="1">
        <v>63</v>
      </c>
      <c r="L1270" s="1">
        <v>1</v>
      </c>
      <c r="BG1270" s="1">
        <v>1</v>
      </c>
    </row>
    <row r="1271" spans="1:60" x14ac:dyDescent="0.3">
      <c r="A1271" s="1" t="s">
        <v>48</v>
      </c>
      <c r="B1271" s="7">
        <v>40751</v>
      </c>
      <c r="C1271" s="1">
        <v>3</v>
      </c>
      <c r="D1271" s="1">
        <v>10</v>
      </c>
      <c r="E1271" s="1">
        <v>2</v>
      </c>
      <c r="F1271" s="1">
        <v>64</v>
      </c>
      <c r="L1271" s="1">
        <v>1</v>
      </c>
      <c r="BE1271" s="1">
        <v>1</v>
      </c>
    </row>
    <row r="1272" spans="1:60" x14ac:dyDescent="0.3">
      <c r="A1272" s="1" t="s">
        <v>48</v>
      </c>
      <c r="B1272" s="7">
        <v>40751</v>
      </c>
      <c r="C1272" s="1">
        <v>3</v>
      </c>
      <c r="D1272" s="1">
        <v>10</v>
      </c>
      <c r="E1272" s="1">
        <v>2</v>
      </c>
      <c r="F1272" s="1">
        <v>65</v>
      </c>
      <c r="L1272" s="1">
        <v>1</v>
      </c>
      <c r="BE1272" s="1">
        <v>1</v>
      </c>
    </row>
    <row r="1273" spans="1:60" x14ac:dyDescent="0.3">
      <c r="A1273" s="1" t="s">
        <v>48</v>
      </c>
      <c r="B1273" s="7">
        <v>40751</v>
      </c>
      <c r="C1273" s="1">
        <v>3</v>
      </c>
      <c r="D1273" s="1">
        <v>10</v>
      </c>
      <c r="E1273" s="1">
        <v>2</v>
      </c>
      <c r="F1273" s="1">
        <v>66</v>
      </c>
      <c r="I1273" s="1">
        <v>1</v>
      </c>
      <c r="BG1273" s="3">
        <v>0</v>
      </c>
      <c r="BH1273" s="3">
        <v>1</v>
      </c>
    </row>
    <row r="1274" spans="1:60" x14ac:dyDescent="0.3">
      <c r="A1274" s="1" t="s">
        <v>48</v>
      </c>
      <c r="B1274" s="7">
        <v>40751</v>
      </c>
      <c r="C1274" s="1">
        <v>3</v>
      </c>
      <c r="D1274" s="1">
        <v>10</v>
      </c>
      <c r="E1274" s="1">
        <v>2</v>
      </c>
      <c r="F1274" s="1">
        <v>67</v>
      </c>
      <c r="H1274" s="1">
        <v>1</v>
      </c>
      <c r="L1274" s="1">
        <v>1</v>
      </c>
      <c r="AS1274" s="1">
        <v>1</v>
      </c>
    </row>
    <row r="1275" spans="1:60" x14ac:dyDescent="0.3">
      <c r="A1275" s="1" t="s">
        <v>48</v>
      </c>
      <c r="B1275" s="7">
        <v>40751</v>
      </c>
      <c r="C1275" s="1">
        <v>3</v>
      </c>
      <c r="D1275" s="1">
        <v>10</v>
      </c>
      <c r="E1275" s="1">
        <v>2</v>
      </c>
      <c r="F1275" s="1">
        <v>68</v>
      </c>
      <c r="L1275" s="8">
        <v>1</v>
      </c>
      <c r="M1275" s="8"/>
      <c r="R1275" s="3">
        <v>0</v>
      </c>
      <c r="S1275" s="3">
        <v>1</v>
      </c>
    </row>
    <row r="1276" spans="1:60" x14ac:dyDescent="0.3">
      <c r="A1276" s="1" t="s">
        <v>48</v>
      </c>
      <c r="B1276" s="7">
        <v>40751</v>
      </c>
      <c r="C1276" s="1">
        <v>3</v>
      </c>
      <c r="D1276" s="1">
        <v>10</v>
      </c>
      <c r="E1276" s="1">
        <v>2</v>
      </c>
      <c r="F1276" s="1">
        <v>69</v>
      </c>
      <c r="L1276" s="8">
        <v>1</v>
      </c>
      <c r="M1276" s="8"/>
      <c r="BG1276" s="3">
        <v>0</v>
      </c>
      <c r="BH1276" s="3">
        <v>1</v>
      </c>
    </row>
    <row r="1277" spans="1:60" x14ac:dyDescent="0.3">
      <c r="A1277" s="1" t="s">
        <v>48</v>
      </c>
      <c r="B1277" s="7">
        <v>40751</v>
      </c>
      <c r="C1277" s="1">
        <v>3</v>
      </c>
      <c r="D1277" s="1">
        <v>10</v>
      </c>
      <c r="E1277" s="1">
        <v>2</v>
      </c>
      <c r="F1277" s="1">
        <v>70</v>
      </c>
    </row>
    <row r="1278" spans="1:60" x14ac:dyDescent="0.3">
      <c r="A1278" s="1" t="s">
        <v>48</v>
      </c>
      <c r="B1278" s="7">
        <v>40751</v>
      </c>
      <c r="C1278" s="1">
        <v>3</v>
      </c>
      <c r="D1278" s="1">
        <v>10</v>
      </c>
      <c r="E1278" s="1">
        <v>2</v>
      </c>
      <c r="F1278" s="1">
        <v>71</v>
      </c>
      <c r="L1278" s="8">
        <v>1</v>
      </c>
      <c r="M1278" s="8"/>
      <c r="AS1278" s="1">
        <v>1</v>
      </c>
    </row>
    <row r="1279" spans="1:60" x14ac:dyDescent="0.3">
      <c r="A1279" s="1" t="s">
        <v>48</v>
      </c>
      <c r="B1279" s="7">
        <v>40751</v>
      </c>
      <c r="C1279" s="1">
        <v>3</v>
      </c>
      <c r="D1279" s="1">
        <v>10</v>
      </c>
      <c r="E1279" s="1">
        <v>2</v>
      </c>
      <c r="F1279" s="1">
        <v>72</v>
      </c>
      <c r="T1279" s="1">
        <v>1</v>
      </c>
      <c r="AS1279" s="1">
        <v>1</v>
      </c>
    </row>
    <row r="1280" spans="1:60" x14ac:dyDescent="0.3">
      <c r="A1280" s="1" t="s">
        <v>48</v>
      </c>
      <c r="B1280" s="7">
        <v>40751</v>
      </c>
      <c r="C1280" s="1">
        <v>3</v>
      </c>
      <c r="D1280" s="1">
        <v>10</v>
      </c>
      <c r="E1280" s="1">
        <v>2</v>
      </c>
      <c r="F1280" s="1">
        <v>73</v>
      </c>
      <c r="I1280" s="1">
        <v>1</v>
      </c>
      <c r="L1280" s="1">
        <v>1</v>
      </c>
    </row>
    <row r="1281" spans="1:59" x14ac:dyDescent="0.3">
      <c r="A1281" s="1" t="s">
        <v>48</v>
      </c>
      <c r="B1281" s="7">
        <v>40751</v>
      </c>
      <c r="C1281" s="1">
        <v>3</v>
      </c>
      <c r="D1281" s="1">
        <v>10</v>
      </c>
      <c r="E1281" s="1">
        <v>2</v>
      </c>
      <c r="F1281" s="1">
        <v>74</v>
      </c>
      <c r="L1281" s="1">
        <v>1</v>
      </c>
      <c r="AD1281" s="1">
        <v>1</v>
      </c>
    </row>
    <row r="1282" spans="1:59" x14ac:dyDescent="0.3">
      <c r="A1282" s="1" t="s">
        <v>48</v>
      </c>
      <c r="B1282" s="7">
        <v>40751</v>
      </c>
      <c r="C1282" s="1">
        <v>3</v>
      </c>
      <c r="D1282" s="1">
        <v>10</v>
      </c>
      <c r="E1282" s="1">
        <v>2</v>
      </c>
      <c r="F1282" s="1">
        <v>75</v>
      </c>
      <c r="H1282" s="1">
        <v>1</v>
      </c>
    </row>
    <row r="1283" spans="1:59" x14ac:dyDescent="0.3">
      <c r="A1283" s="1" t="s">
        <v>48</v>
      </c>
      <c r="B1283" s="7">
        <v>40751</v>
      </c>
      <c r="C1283" s="1">
        <v>3</v>
      </c>
      <c r="D1283" s="1">
        <v>10</v>
      </c>
      <c r="E1283" s="1">
        <v>2</v>
      </c>
      <c r="F1283" s="1">
        <v>76</v>
      </c>
      <c r="P1283" s="3">
        <v>0</v>
      </c>
      <c r="Q1283" s="3">
        <v>1</v>
      </c>
      <c r="R1283" s="3">
        <v>0</v>
      </c>
      <c r="S1283" s="3">
        <v>1</v>
      </c>
    </row>
    <row r="1284" spans="1:59" x14ac:dyDescent="0.3">
      <c r="A1284" s="1" t="s">
        <v>48</v>
      </c>
      <c r="B1284" s="7">
        <v>40751</v>
      </c>
      <c r="C1284" s="1">
        <v>3</v>
      </c>
      <c r="D1284" s="1">
        <v>10</v>
      </c>
      <c r="E1284" s="1">
        <v>2</v>
      </c>
      <c r="F1284" s="1">
        <v>77</v>
      </c>
      <c r="L1284" s="1">
        <v>1</v>
      </c>
      <c r="BG1284" s="1">
        <v>1</v>
      </c>
    </row>
    <row r="1285" spans="1:59" x14ac:dyDescent="0.3">
      <c r="A1285" s="1" t="s">
        <v>48</v>
      </c>
      <c r="B1285" s="7">
        <v>40751</v>
      </c>
      <c r="C1285" s="1">
        <v>3</v>
      </c>
      <c r="D1285" s="1">
        <v>10</v>
      </c>
      <c r="E1285" s="1">
        <v>2</v>
      </c>
      <c r="F1285" s="1">
        <v>78</v>
      </c>
      <c r="R1285" s="1">
        <v>1</v>
      </c>
    </row>
    <row r="1286" spans="1:59" x14ac:dyDescent="0.3">
      <c r="A1286" s="1" t="s">
        <v>48</v>
      </c>
      <c r="B1286" s="7">
        <v>40751</v>
      </c>
      <c r="C1286" s="1">
        <v>3</v>
      </c>
      <c r="D1286" s="1">
        <v>10</v>
      </c>
      <c r="E1286" s="1">
        <v>2</v>
      </c>
      <c r="F1286" s="1">
        <v>79</v>
      </c>
      <c r="H1286" s="1">
        <v>1</v>
      </c>
    </row>
    <row r="1287" spans="1:59" x14ac:dyDescent="0.3">
      <c r="A1287" s="1" t="s">
        <v>48</v>
      </c>
      <c r="B1287" s="7">
        <v>40751</v>
      </c>
      <c r="C1287" s="1">
        <v>3</v>
      </c>
      <c r="D1287" s="1">
        <v>10</v>
      </c>
      <c r="E1287" s="1">
        <v>2</v>
      </c>
      <c r="F1287" s="1">
        <v>80</v>
      </c>
      <c r="L1287" s="1">
        <v>1</v>
      </c>
      <c r="AD1287" s="1">
        <v>1</v>
      </c>
    </row>
    <row r="1288" spans="1:59" x14ac:dyDescent="0.3">
      <c r="A1288" s="1" t="s">
        <v>48</v>
      </c>
      <c r="B1288" s="7">
        <v>40751</v>
      </c>
      <c r="C1288" s="1">
        <v>3</v>
      </c>
      <c r="D1288" s="1">
        <v>10</v>
      </c>
      <c r="E1288" s="1">
        <v>2</v>
      </c>
      <c r="F1288" s="1">
        <v>81</v>
      </c>
      <c r="I1288" s="1">
        <v>1</v>
      </c>
      <c r="AM1288" s="1">
        <v>1</v>
      </c>
      <c r="AS1288" s="1">
        <v>1</v>
      </c>
    </row>
    <row r="1289" spans="1:59" x14ac:dyDescent="0.3">
      <c r="A1289" s="1" t="s">
        <v>48</v>
      </c>
      <c r="B1289" s="7">
        <v>40751</v>
      </c>
      <c r="C1289" s="1">
        <v>3</v>
      </c>
      <c r="D1289" s="1">
        <v>10</v>
      </c>
      <c r="E1289" s="1">
        <v>2</v>
      </c>
      <c r="F1289" s="1">
        <v>82</v>
      </c>
      <c r="I1289" s="1">
        <v>1</v>
      </c>
      <c r="T1289" s="1">
        <v>1</v>
      </c>
    </row>
    <row r="1290" spans="1:59" x14ac:dyDescent="0.3">
      <c r="A1290" s="1" t="s">
        <v>48</v>
      </c>
      <c r="B1290" s="7">
        <v>40751</v>
      </c>
      <c r="C1290" s="1">
        <v>3</v>
      </c>
      <c r="D1290" s="1">
        <v>10</v>
      </c>
      <c r="E1290" s="1">
        <v>2</v>
      </c>
      <c r="F1290" s="1">
        <v>83</v>
      </c>
      <c r="AD1290" s="1">
        <v>1</v>
      </c>
      <c r="BE1290" s="1">
        <v>1</v>
      </c>
    </row>
    <row r="1291" spans="1:59" x14ac:dyDescent="0.3">
      <c r="A1291" s="1" t="s">
        <v>48</v>
      </c>
      <c r="B1291" s="7">
        <v>40751</v>
      </c>
      <c r="C1291" s="1">
        <v>3</v>
      </c>
      <c r="D1291" s="1">
        <v>10</v>
      </c>
      <c r="E1291" s="1">
        <v>2</v>
      </c>
      <c r="F1291" s="1">
        <v>84</v>
      </c>
      <c r="I1291" s="1">
        <v>1</v>
      </c>
      <c r="AG1291" s="1">
        <v>1</v>
      </c>
    </row>
    <row r="1292" spans="1:59" x14ac:dyDescent="0.3">
      <c r="A1292" s="1" t="s">
        <v>48</v>
      </c>
      <c r="B1292" s="7">
        <v>40751</v>
      </c>
      <c r="C1292" s="1">
        <v>3</v>
      </c>
      <c r="D1292" s="1">
        <v>10</v>
      </c>
      <c r="E1292" s="1">
        <v>2</v>
      </c>
      <c r="F1292" s="1">
        <v>85</v>
      </c>
      <c r="I1292" s="1">
        <v>1</v>
      </c>
      <c r="L1292" s="1">
        <v>1</v>
      </c>
    </row>
    <row r="1293" spans="1:59" x14ac:dyDescent="0.3">
      <c r="A1293" s="1" t="s">
        <v>48</v>
      </c>
      <c r="B1293" s="7">
        <v>40751</v>
      </c>
      <c r="C1293" s="1">
        <v>3</v>
      </c>
      <c r="D1293" s="1">
        <v>10</v>
      </c>
      <c r="E1293" s="1">
        <v>2</v>
      </c>
      <c r="F1293" s="1">
        <v>86</v>
      </c>
      <c r="L1293" s="1">
        <v>1</v>
      </c>
      <c r="R1293" s="1">
        <v>1</v>
      </c>
    </row>
    <row r="1294" spans="1:59" x14ac:dyDescent="0.3">
      <c r="A1294" s="1" t="s">
        <v>48</v>
      </c>
      <c r="B1294" s="7">
        <v>40751</v>
      </c>
      <c r="C1294" s="1">
        <v>3</v>
      </c>
      <c r="D1294" s="1">
        <v>10</v>
      </c>
      <c r="E1294" s="1">
        <v>2</v>
      </c>
      <c r="F1294" s="1">
        <v>87</v>
      </c>
      <c r="H1294" s="1">
        <v>1</v>
      </c>
      <c r="L1294" s="1">
        <v>1</v>
      </c>
    </row>
    <row r="1295" spans="1:59" x14ac:dyDescent="0.3">
      <c r="A1295" s="1" t="s">
        <v>48</v>
      </c>
      <c r="B1295" s="7">
        <v>40751</v>
      </c>
      <c r="C1295" s="1">
        <v>3</v>
      </c>
      <c r="D1295" s="1">
        <v>10</v>
      </c>
      <c r="E1295" s="1">
        <v>2</v>
      </c>
      <c r="F1295" s="1">
        <v>88</v>
      </c>
      <c r="L1295" s="1">
        <v>1</v>
      </c>
      <c r="R1295" s="3">
        <v>0</v>
      </c>
      <c r="S1295" s="3">
        <v>1</v>
      </c>
    </row>
    <row r="1296" spans="1:59" x14ac:dyDescent="0.3">
      <c r="A1296" s="1" t="s">
        <v>48</v>
      </c>
      <c r="B1296" s="7">
        <v>40751</v>
      </c>
      <c r="C1296" s="1">
        <v>3</v>
      </c>
      <c r="D1296" s="1">
        <v>10</v>
      </c>
      <c r="E1296" s="1">
        <v>2</v>
      </c>
      <c r="F1296" s="1">
        <v>89</v>
      </c>
      <c r="H1296" s="1">
        <v>1</v>
      </c>
      <c r="L1296" s="1">
        <v>1</v>
      </c>
    </row>
    <row r="1297" spans="1:30" x14ac:dyDescent="0.3">
      <c r="A1297" s="1" t="s">
        <v>48</v>
      </c>
      <c r="B1297" s="7">
        <v>40751</v>
      </c>
      <c r="C1297" s="1">
        <v>3</v>
      </c>
      <c r="D1297" s="1">
        <v>10</v>
      </c>
      <c r="E1297" s="1">
        <v>2</v>
      </c>
      <c r="F1297" s="1">
        <v>90</v>
      </c>
      <c r="I1297" s="1">
        <v>1</v>
      </c>
      <c r="L1297" s="1">
        <v>1</v>
      </c>
    </row>
    <row r="1298" spans="1:30" x14ac:dyDescent="0.3">
      <c r="A1298" s="1" t="s">
        <v>48</v>
      </c>
      <c r="B1298" s="7">
        <v>40751</v>
      </c>
      <c r="C1298" s="1">
        <v>3</v>
      </c>
      <c r="D1298" s="1">
        <v>10</v>
      </c>
      <c r="E1298" s="1">
        <v>2</v>
      </c>
      <c r="F1298" s="1">
        <v>91</v>
      </c>
      <c r="R1298" s="1">
        <v>1</v>
      </c>
      <c r="T1298" s="1">
        <v>1</v>
      </c>
    </row>
    <row r="1299" spans="1:30" x14ac:dyDescent="0.3">
      <c r="A1299" s="1" t="s">
        <v>48</v>
      </c>
      <c r="B1299" s="7">
        <v>40751</v>
      </c>
      <c r="C1299" s="1">
        <v>3</v>
      </c>
      <c r="D1299" s="1">
        <v>10</v>
      </c>
      <c r="E1299" s="1">
        <v>2</v>
      </c>
      <c r="F1299" s="1">
        <v>92</v>
      </c>
    </row>
    <row r="1300" spans="1:30" x14ac:dyDescent="0.3">
      <c r="A1300" s="1" t="s">
        <v>48</v>
      </c>
      <c r="B1300" s="7">
        <v>40751</v>
      </c>
      <c r="C1300" s="1">
        <v>3</v>
      </c>
      <c r="D1300" s="1">
        <v>10</v>
      </c>
      <c r="E1300" s="1">
        <v>2</v>
      </c>
      <c r="F1300" s="1">
        <v>93</v>
      </c>
      <c r="H1300" s="1">
        <v>1</v>
      </c>
    </row>
    <row r="1301" spans="1:30" x14ac:dyDescent="0.3">
      <c r="A1301" s="1" t="s">
        <v>48</v>
      </c>
      <c r="B1301" s="7">
        <v>40751</v>
      </c>
      <c r="C1301" s="1">
        <v>3</v>
      </c>
      <c r="D1301" s="1">
        <v>10</v>
      </c>
      <c r="E1301" s="1">
        <v>2</v>
      </c>
      <c r="F1301" s="1">
        <v>94</v>
      </c>
      <c r="H1301" s="1">
        <v>1</v>
      </c>
      <c r="L1301" s="1">
        <v>1</v>
      </c>
    </row>
    <row r="1302" spans="1:30" x14ac:dyDescent="0.3">
      <c r="A1302" s="1" t="s">
        <v>48</v>
      </c>
      <c r="B1302" s="7">
        <v>40751</v>
      </c>
      <c r="C1302" s="1">
        <v>3</v>
      </c>
      <c r="D1302" s="1">
        <v>10</v>
      </c>
      <c r="E1302" s="1">
        <v>2</v>
      </c>
      <c r="F1302" s="1">
        <v>95</v>
      </c>
      <c r="P1302" s="3">
        <v>0</v>
      </c>
      <c r="Q1302" s="3">
        <v>1</v>
      </c>
    </row>
    <row r="1303" spans="1:30" x14ac:dyDescent="0.3">
      <c r="A1303" s="1" t="s">
        <v>48</v>
      </c>
      <c r="B1303" s="7">
        <v>40751</v>
      </c>
      <c r="C1303" s="1">
        <v>3</v>
      </c>
      <c r="D1303" s="1">
        <v>10</v>
      </c>
      <c r="E1303" s="1">
        <v>2</v>
      </c>
      <c r="F1303" s="1">
        <v>96</v>
      </c>
      <c r="L1303" s="8">
        <v>1</v>
      </c>
      <c r="M1303" s="8"/>
    </row>
    <row r="1304" spans="1:30" x14ac:dyDescent="0.3">
      <c r="A1304" s="1" t="s">
        <v>48</v>
      </c>
      <c r="B1304" s="7">
        <v>40751</v>
      </c>
      <c r="C1304" s="1">
        <v>3</v>
      </c>
      <c r="D1304" s="1">
        <v>10</v>
      </c>
      <c r="E1304" s="1">
        <v>2</v>
      </c>
      <c r="F1304" s="1">
        <v>97</v>
      </c>
      <c r="L1304" s="8">
        <v>1</v>
      </c>
      <c r="M1304" s="8"/>
    </row>
    <row r="1305" spans="1:30" x14ac:dyDescent="0.3">
      <c r="A1305" s="1" t="s">
        <v>48</v>
      </c>
      <c r="B1305" s="7">
        <v>40751</v>
      </c>
      <c r="C1305" s="1">
        <v>3</v>
      </c>
      <c r="D1305" s="1">
        <v>10</v>
      </c>
      <c r="E1305" s="1">
        <v>2</v>
      </c>
      <c r="F1305" s="1">
        <v>98</v>
      </c>
      <c r="R1305" s="3">
        <v>0</v>
      </c>
      <c r="S1305" s="3">
        <v>1</v>
      </c>
    </row>
    <row r="1306" spans="1:30" x14ac:dyDescent="0.3">
      <c r="A1306" s="1" t="s">
        <v>48</v>
      </c>
      <c r="B1306" s="7">
        <v>40751</v>
      </c>
      <c r="C1306" s="1">
        <v>3</v>
      </c>
      <c r="D1306" s="1">
        <v>10</v>
      </c>
      <c r="E1306" s="1">
        <v>2</v>
      </c>
      <c r="F1306" s="1">
        <v>99</v>
      </c>
      <c r="L1306" s="1">
        <v>1</v>
      </c>
    </row>
    <row r="1307" spans="1:30" x14ac:dyDescent="0.3">
      <c r="A1307" s="1" t="s">
        <v>48</v>
      </c>
      <c r="B1307" s="7">
        <v>40751</v>
      </c>
      <c r="C1307" s="1">
        <v>3</v>
      </c>
      <c r="D1307" s="1">
        <v>10</v>
      </c>
      <c r="E1307" s="1">
        <v>2</v>
      </c>
      <c r="F1307" s="1">
        <v>100</v>
      </c>
      <c r="R1307" s="3">
        <v>0</v>
      </c>
      <c r="S1307" s="3">
        <v>1</v>
      </c>
    </row>
    <row r="1308" spans="1:30" x14ac:dyDescent="0.3">
      <c r="A1308" s="1" t="s">
        <v>48</v>
      </c>
      <c r="B1308" s="7">
        <v>40766</v>
      </c>
      <c r="C1308" s="1" t="s">
        <v>39</v>
      </c>
      <c r="D1308" s="1">
        <v>290</v>
      </c>
      <c r="E1308" s="1">
        <v>2</v>
      </c>
      <c r="F1308" s="1">
        <v>1</v>
      </c>
      <c r="I1308" s="1">
        <v>1</v>
      </c>
      <c r="J1308" s="3">
        <v>0</v>
      </c>
      <c r="K1308" s="3">
        <v>1</v>
      </c>
    </row>
    <row r="1309" spans="1:30" x14ac:dyDescent="0.3">
      <c r="A1309" s="1" t="s">
        <v>48</v>
      </c>
      <c r="B1309" s="7">
        <v>40766</v>
      </c>
      <c r="C1309" s="1" t="s">
        <v>39</v>
      </c>
      <c r="D1309" s="1">
        <v>290</v>
      </c>
      <c r="E1309" s="1">
        <v>2</v>
      </c>
      <c r="F1309" s="1">
        <v>2</v>
      </c>
      <c r="J1309" s="1">
        <v>1</v>
      </c>
    </row>
    <row r="1310" spans="1:30" x14ac:dyDescent="0.3">
      <c r="A1310" s="1" t="s">
        <v>48</v>
      </c>
      <c r="B1310" s="7">
        <v>40766</v>
      </c>
      <c r="C1310" s="1" t="s">
        <v>39</v>
      </c>
      <c r="D1310" s="1">
        <v>290</v>
      </c>
      <c r="E1310" s="1">
        <v>2</v>
      </c>
      <c r="F1310" s="1">
        <v>3</v>
      </c>
      <c r="J1310" s="1">
        <v>1</v>
      </c>
    </row>
    <row r="1311" spans="1:30" x14ac:dyDescent="0.3">
      <c r="A1311" s="1" t="s">
        <v>48</v>
      </c>
      <c r="B1311" s="7">
        <v>40766</v>
      </c>
      <c r="C1311" s="1" t="s">
        <v>39</v>
      </c>
      <c r="D1311" s="1">
        <v>290</v>
      </c>
      <c r="E1311" s="1">
        <v>2</v>
      </c>
      <c r="F1311" s="1">
        <v>4</v>
      </c>
      <c r="J1311" s="1">
        <v>1</v>
      </c>
      <c r="AD1311" s="1">
        <v>1</v>
      </c>
    </row>
    <row r="1312" spans="1:30" x14ac:dyDescent="0.3">
      <c r="A1312" s="1" t="s">
        <v>48</v>
      </c>
      <c r="B1312" s="7">
        <v>40766</v>
      </c>
      <c r="C1312" s="1" t="s">
        <v>39</v>
      </c>
      <c r="D1312" s="1">
        <v>290</v>
      </c>
      <c r="E1312" s="1">
        <v>2</v>
      </c>
      <c r="F1312" s="1">
        <v>5</v>
      </c>
      <c r="H1312" s="1">
        <v>1</v>
      </c>
    </row>
    <row r="1313" spans="1:65" x14ac:dyDescent="0.3">
      <c r="A1313" s="1" t="s">
        <v>48</v>
      </c>
      <c r="B1313" s="7">
        <v>40766</v>
      </c>
      <c r="C1313" s="1" t="s">
        <v>39</v>
      </c>
      <c r="D1313" s="1">
        <v>290</v>
      </c>
      <c r="E1313" s="1">
        <v>2</v>
      </c>
      <c r="F1313" s="1">
        <v>6</v>
      </c>
      <c r="I1313" s="1">
        <v>1</v>
      </c>
      <c r="J1313" s="1">
        <v>1</v>
      </c>
    </row>
    <row r="1314" spans="1:65" x14ac:dyDescent="0.3">
      <c r="A1314" s="1" t="s">
        <v>48</v>
      </c>
      <c r="B1314" s="7">
        <v>40766</v>
      </c>
      <c r="C1314" s="1" t="s">
        <v>39</v>
      </c>
      <c r="D1314" s="1">
        <v>290</v>
      </c>
      <c r="E1314" s="1">
        <v>2</v>
      </c>
      <c r="F1314" s="1">
        <v>7</v>
      </c>
      <c r="J1314" s="3">
        <v>0</v>
      </c>
      <c r="K1314" s="3">
        <v>1</v>
      </c>
    </row>
    <row r="1315" spans="1:65" x14ac:dyDescent="0.3">
      <c r="A1315" s="1" t="s">
        <v>48</v>
      </c>
      <c r="B1315" s="7">
        <v>40766</v>
      </c>
      <c r="C1315" s="1" t="s">
        <v>39</v>
      </c>
      <c r="D1315" s="1">
        <v>290</v>
      </c>
      <c r="E1315" s="1">
        <v>2</v>
      </c>
      <c r="F1315" s="1">
        <v>8</v>
      </c>
      <c r="J1315" s="1">
        <v>1</v>
      </c>
    </row>
    <row r="1316" spans="1:65" x14ac:dyDescent="0.3">
      <c r="A1316" s="1" t="s">
        <v>48</v>
      </c>
      <c r="B1316" s="7">
        <v>40766</v>
      </c>
      <c r="C1316" s="1" t="s">
        <v>39</v>
      </c>
      <c r="D1316" s="1">
        <v>290</v>
      </c>
      <c r="E1316" s="1">
        <v>2</v>
      </c>
      <c r="F1316" s="1">
        <v>9</v>
      </c>
      <c r="J1316" s="3">
        <v>0</v>
      </c>
      <c r="K1316" s="3">
        <v>1</v>
      </c>
    </row>
    <row r="1317" spans="1:65" x14ac:dyDescent="0.3">
      <c r="A1317" s="1" t="s">
        <v>48</v>
      </c>
      <c r="B1317" s="7">
        <v>40766</v>
      </c>
      <c r="C1317" s="1" t="s">
        <v>39</v>
      </c>
      <c r="D1317" s="1">
        <v>290</v>
      </c>
      <c r="E1317" s="1">
        <v>2</v>
      </c>
      <c r="F1317" s="1">
        <v>10</v>
      </c>
      <c r="J1317" s="1">
        <v>1</v>
      </c>
      <c r="BM1317" s="1">
        <v>1</v>
      </c>
    </row>
    <row r="1318" spans="1:65" x14ac:dyDescent="0.3">
      <c r="A1318" s="1" t="s">
        <v>48</v>
      </c>
      <c r="B1318" s="7">
        <v>40766</v>
      </c>
      <c r="C1318" s="1" t="s">
        <v>39</v>
      </c>
      <c r="D1318" s="1">
        <v>290</v>
      </c>
      <c r="E1318" s="1">
        <v>2</v>
      </c>
      <c r="F1318" s="1">
        <v>11</v>
      </c>
      <c r="J1318" s="1">
        <v>1</v>
      </c>
      <c r="X1318" s="1">
        <v>1</v>
      </c>
    </row>
    <row r="1319" spans="1:65" x14ac:dyDescent="0.3">
      <c r="A1319" s="1" t="s">
        <v>48</v>
      </c>
      <c r="B1319" s="7">
        <v>40766</v>
      </c>
      <c r="C1319" s="1" t="s">
        <v>39</v>
      </c>
      <c r="D1319" s="1">
        <v>290</v>
      </c>
      <c r="E1319" s="1">
        <v>2</v>
      </c>
      <c r="F1319" s="1">
        <v>12</v>
      </c>
      <c r="I1319" s="1">
        <v>1</v>
      </c>
      <c r="J1319" s="1">
        <v>1</v>
      </c>
      <c r="L1319" s="1">
        <v>1</v>
      </c>
    </row>
    <row r="1320" spans="1:65" x14ac:dyDescent="0.3">
      <c r="A1320" s="1" t="s">
        <v>48</v>
      </c>
      <c r="B1320" s="7">
        <v>40766</v>
      </c>
      <c r="C1320" s="1" t="s">
        <v>39</v>
      </c>
      <c r="D1320" s="1">
        <v>290</v>
      </c>
      <c r="E1320" s="1">
        <v>2</v>
      </c>
      <c r="F1320" s="1">
        <v>13</v>
      </c>
      <c r="J1320" s="1">
        <v>1</v>
      </c>
      <c r="L1320" s="8">
        <v>1</v>
      </c>
      <c r="M1320" s="8"/>
    </row>
    <row r="1321" spans="1:65" x14ac:dyDescent="0.3">
      <c r="A1321" s="1" t="s">
        <v>48</v>
      </c>
      <c r="B1321" s="7">
        <v>40766</v>
      </c>
      <c r="C1321" s="1" t="s">
        <v>39</v>
      </c>
      <c r="D1321" s="1">
        <v>290</v>
      </c>
      <c r="E1321" s="1">
        <v>2</v>
      </c>
      <c r="F1321" s="1">
        <v>14</v>
      </c>
      <c r="I1321" s="1">
        <v>1</v>
      </c>
      <c r="J1321" s="1">
        <v>1</v>
      </c>
    </row>
    <row r="1322" spans="1:65" x14ac:dyDescent="0.3">
      <c r="A1322" s="1" t="s">
        <v>48</v>
      </c>
      <c r="B1322" s="7">
        <v>40766</v>
      </c>
      <c r="C1322" s="1" t="s">
        <v>39</v>
      </c>
      <c r="D1322" s="1">
        <v>290</v>
      </c>
      <c r="E1322" s="1">
        <v>2</v>
      </c>
      <c r="F1322" s="1">
        <v>15</v>
      </c>
      <c r="H1322" s="1">
        <v>1</v>
      </c>
      <c r="J1322" s="1">
        <v>1</v>
      </c>
    </row>
    <row r="1323" spans="1:65" x14ac:dyDescent="0.3">
      <c r="A1323" s="1" t="s">
        <v>48</v>
      </c>
      <c r="B1323" s="7">
        <v>40766</v>
      </c>
      <c r="C1323" s="1" t="s">
        <v>39</v>
      </c>
      <c r="D1323" s="1">
        <v>290</v>
      </c>
      <c r="E1323" s="1">
        <v>2</v>
      </c>
      <c r="F1323" s="1">
        <v>16</v>
      </c>
      <c r="J1323" s="1">
        <v>1</v>
      </c>
      <c r="BM1323" s="1">
        <v>1</v>
      </c>
    </row>
    <row r="1324" spans="1:65" x14ac:dyDescent="0.3">
      <c r="A1324" s="1" t="s">
        <v>48</v>
      </c>
      <c r="B1324" s="7">
        <v>40766</v>
      </c>
      <c r="C1324" s="1" t="s">
        <v>39</v>
      </c>
      <c r="D1324" s="1">
        <v>290</v>
      </c>
      <c r="E1324" s="1">
        <v>2</v>
      </c>
      <c r="F1324" s="1">
        <v>17</v>
      </c>
      <c r="J1324" s="3">
        <v>0</v>
      </c>
      <c r="K1324" s="3">
        <v>1</v>
      </c>
    </row>
    <row r="1325" spans="1:65" x14ac:dyDescent="0.3">
      <c r="A1325" s="1" t="s">
        <v>48</v>
      </c>
      <c r="B1325" s="7">
        <v>40766</v>
      </c>
      <c r="C1325" s="1" t="s">
        <v>39</v>
      </c>
      <c r="D1325" s="1">
        <v>290</v>
      </c>
      <c r="E1325" s="1">
        <v>2</v>
      </c>
      <c r="F1325" s="1">
        <v>18</v>
      </c>
      <c r="T1325" s="1">
        <v>1</v>
      </c>
    </row>
    <row r="1326" spans="1:65" x14ac:dyDescent="0.3">
      <c r="A1326" s="1" t="s">
        <v>48</v>
      </c>
      <c r="B1326" s="7">
        <v>40766</v>
      </c>
      <c r="C1326" s="1" t="s">
        <v>39</v>
      </c>
      <c r="D1326" s="1">
        <v>290</v>
      </c>
      <c r="E1326" s="1">
        <v>2</v>
      </c>
      <c r="F1326" s="1">
        <v>19</v>
      </c>
      <c r="J1326" s="8">
        <v>1</v>
      </c>
      <c r="K1326" s="8"/>
    </row>
    <row r="1327" spans="1:65" x14ac:dyDescent="0.3">
      <c r="A1327" s="1" t="s">
        <v>48</v>
      </c>
      <c r="B1327" s="7">
        <v>40766</v>
      </c>
      <c r="C1327" s="1" t="s">
        <v>39</v>
      </c>
      <c r="D1327" s="1">
        <v>290</v>
      </c>
      <c r="E1327" s="1">
        <v>2</v>
      </c>
      <c r="F1327" s="1">
        <v>20</v>
      </c>
      <c r="J1327" s="1">
        <v>1</v>
      </c>
      <c r="BM1327" s="1">
        <v>1</v>
      </c>
    </row>
    <row r="1328" spans="1:65" x14ac:dyDescent="0.3">
      <c r="A1328" s="1" t="s">
        <v>48</v>
      </c>
      <c r="B1328" s="7">
        <v>40766</v>
      </c>
      <c r="C1328" s="1" t="s">
        <v>39</v>
      </c>
      <c r="D1328" s="1">
        <v>290</v>
      </c>
      <c r="E1328" s="1">
        <v>2</v>
      </c>
      <c r="F1328" s="1">
        <v>21</v>
      </c>
      <c r="J1328" s="1">
        <v>1</v>
      </c>
    </row>
    <row r="1329" spans="1:65" x14ac:dyDescent="0.3">
      <c r="A1329" s="1" t="s">
        <v>48</v>
      </c>
      <c r="B1329" s="7">
        <v>40766</v>
      </c>
      <c r="C1329" s="1" t="s">
        <v>39</v>
      </c>
      <c r="D1329" s="1">
        <v>290</v>
      </c>
      <c r="E1329" s="1">
        <v>2</v>
      </c>
      <c r="F1329" s="1">
        <v>22</v>
      </c>
      <c r="J1329" s="1">
        <v>1</v>
      </c>
      <c r="AS1329" s="1">
        <v>1</v>
      </c>
    </row>
    <row r="1330" spans="1:65" x14ac:dyDescent="0.3">
      <c r="A1330" s="1" t="s">
        <v>48</v>
      </c>
      <c r="B1330" s="7">
        <v>40766</v>
      </c>
      <c r="C1330" s="1" t="s">
        <v>39</v>
      </c>
      <c r="D1330" s="1">
        <v>290</v>
      </c>
      <c r="E1330" s="1">
        <v>2</v>
      </c>
      <c r="F1330" s="1">
        <v>23</v>
      </c>
      <c r="T1330" s="1">
        <v>1</v>
      </c>
    </row>
    <row r="1331" spans="1:65" x14ac:dyDescent="0.3">
      <c r="A1331" s="1" t="s">
        <v>48</v>
      </c>
      <c r="B1331" s="7">
        <v>40766</v>
      </c>
      <c r="C1331" s="1" t="s">
        <v>39</v>
      </c>
      <c r="D1331" s="1">
        <v>290</v>
      </c>
      <c r="E1331" s="1">
        <v>2</v>
      </c>
      <c r="F1331" s="1">
        <v>24</v>
      </c>
      <c r="I1331" s="1">
        <v>1</v>
      </c>
      <c r="J1331" s="3">
        <v>0</v>
      </c>
      <c r="K1331" s="3">
        <v>1</v>
      </c>
    </row>
    <row r="1332" spans="1:65" x14ac:dyDescent="0.3">
      <c r="A1332" s="1" t="s">
        <v>48</v>
      </c>
      <c r="B1332" s="7">
        <v>40766</v>
      </c>
      <c r="C1332" s="1" t="s">
        <v>39</v>
      </c>
      <c r="D1332" s="1">
        <v>290</v>
      </c>
      <c r="E1332" s="1">
        <v>2</v>
      </c>
      <c r="F1332" s="1">
        <v>25</v>
      </c>
      <c r="J1332" s="1">
        <v>1</v>
      </c>
    </row>
    <row r="1333" spans="1:65" x14ac:dyDescent="0.3">
      <c r="A1333" s="1" t="s">
        <v>48</v>
      </c>
      <c r="B1333" s="7">
        <v>40766</v>
      </c>
      <c r="C1333" s="1" t="s">
        <v>39</v>
      </c>
      <c r="D1333" s="1">
        <v>290</v>
      </c>
      <c r="E1333" s="1">
        <v>2</v>
      </c>
      <c r="F1333" s="1">
        <v>26</v>
      </c>
      <c r="R1333" s="1">
        <v>1</v>
      </c>
      <c r="T1333" s="1">
        <v>1</v>
      </c>
    </row>
    <row r="1334" spans="1:65" x14ac:dyDescent="0.3">
      <c r="A1334" s="1" t="s">
        <v>48</v>
      </c>
      <c r="B1334" s="7">
        <v>40766</v>
      </c>
      <c r="C1334" s="1" t="s">
        <v>39</v>
      </c>
      <c r="D1334" s="1">
        <v>290</v>
      </c>
      <c r="E1334" s="1">
        <v>2</v>
      </c>
      <c r="F1334" s="1">
        <v>27</v>
      </c>
      <c r="J1334" s="1">
        <v>1</v>
      </c>
    </row>
    <row r="1335" spans="1:65" x14ac:dyDescent="0.3">
      <c r="A1335" s="1" t="s">
        <v>48</v>
      </c>
      <c r="B1335" s="7">
        <v>40766</v>
      </c>
      <c r="C1335" s="1" t="s">
        <v>39</v>
      </c>
      <c r="D1335" s="1">
        <v>290</v>
      </c>
      <c r="E1335" s="1">
        <v>2</v>
      </c>
      <c r="F1335" s="1">
        <v>28</v>
      </c>
      <c r="R1335" s="3">
        <v>0</v>
      </c>
      <c r="S1335" s="3">
        <v>1</v>
      </c>
    </row>
    <row r="1336" spans="1:65" x14ac:dyDescent="0.3">
      <c r="A1336" s="1" t="s">
        <v>48</v>
      </c>
      <c r="B1336" s="7">
        <v>40766</v>
      </c>
      <c r="C1336" s="1" t="s">
        <v>39</v>
      </c>
      <c r="D1336" s="1">
        <v>290</v>
      </c>
      <c r="E1336" s="1">
        <v>2</v>
      </c>
      <c r="F1336" s="1">
        <v>29</v>
      </c>
      <c r="J1336" s="3">
        <v>0</v>
      </c>
      <c r="K1336" s="3">
        <v>1</v>
      </c>
    </row>
    <row r="1337" spans="1:65" x14ac:dyDescent="0.3">
      <c r="A1337" s="1" t="s">
        <v>48</v>
      </c>
      <c r="B1337" s="7">
        <v>40766</v>
      </c>
      <c r="C1337" s="1" t="s">
        <v>39</v>
      </c>
      <c r="D1337" s="1">
        <v>290</v>
      </c>
      <c r="E1337" s="1">
        <v>2</v>
      </c>
      <c r="F1337" s="1">
        <v>30</v>
      </c>
      <c r="J1337" s="1">
        <v>1</v>
      </c>
      <c r="AF1337" s="1">
        <v>1</v>
      </c>
    </row>
    <row r="1338" spans="1:65" x14ac:dyDescent="0.3">
      <c r="A1338" s="1" t="s">
        <v>48</v>
      </c>
      <c r="B1338" s="7">
        <v>40766</v>
      </c>
      <c r="C1338" s="1" t="s">
        <v>39</v>
      </c>
      <c r="D1338" s="1">
        <v>290</v>
      </c>
      <c r="E1338" s="1">
        <v>2</v>
      </c>
      <c r="F1338" s="1">
        <v>31</v>
      </c>
      <c r="J1338" s="3">
        <v>0</v>
      </c>
      <c r="K1338" s="3">
        <v>1</v>
      </c>
    </row>
    <row r="1339" spans="1:65" x14ac:dyDescent="0.3">
      <c r="A1339" s="1" t="s">
        <v>48</v>
      </c>
      <c r="B1339" s="7">
        <v>40766</v>
      </c>
      <c r="C1339" s="1" t="s">
        <v>39</v>
      </c>
      <c r="D1339" s="1">
        <v>290</v>
      </c>
      <c r="E1339" s="1">
        <v>2</v>
      </c>
      <c r="F1339" s="1">
        <v>32</v>
      </c>
      <c r="J1339" s="1">
        <v>1</v>
      </c>
      <c r="R1339" s="1">
        <v>1</v>
      </c>
      <c r="V1339" s="1">
        <v>1</v>
      </c>
    </row>
    <row r="1340" spans="1:65" x14ac:dyDescent="0.3">
      <c r="A1340" s="1" t="s">
        <v>48</v>
      </c>
      <c r="B1340" s="7">
        <v>40766</v>
      </c>
      <c r="C1340" s="1" t="s">
        <v>39</v>
      </c>
      <c r="D1340" s="1">
        <v>290</v>
      </c>
      <c r="E1340" s="1">
        <v>2</v>
      </c>
      <c r="F1340" s="1">
        <v>33</v>
      </c>
      <c r="J1340" s="1">
        <v>1</v>
      </c>
    </row>
    <row r="1341" spans="1:65" x14ac:dyDescent="0.3">
      <c r="A1341" s="1" t="s">
        <v>48</v>
      </c>
      <c r="B1341" s="7">
        <v>40766</v>
      </c>
      <c r="C1341" s="1" t="s">
        <v>39</v>
      </c>
      <c r="D1341" s="1">
        <v>290</v>
      </c>
      <c r="E1341" s="1">
        <v>2</v>
      </c>
      <c r="F1341" s="1">
        <v>34</v>
      </c>
      <c r="J1341" s="1">
        <v>1</v>
      </c>
    </row>
    <row r="1342" spans="1:65" x14ac:dyDescent="0.3">
      <c r="A1342" s="1" t="s">
        <v>48</v>
      </c>
      <c r="B1342" s="7">
        <v>40766</v>
      </c>
      <c r="C1342" s="1" t="s">
        <v>39</v>
      </c>
      <c r="D1342" s="1">
        <v>290</v>
      </c>
      <c r="E1342" s="1">
        <v>2</v>
      </c>
      <c r="F1342" s="1">
        <v>35</v>
      </c>
      <c r="L1342" s="1">
        <v>1</v>
      </c>
    </row>
    <row r="1343" spans="1:65" x14ac:dyDescent="0.3">
      <c r="A1343" s="1" t="s">
        <v>48</v>
      </c>
      <c r="B1343" s="7">
        <v>40766</v>
      </c>
      <c r="C1343" s="1" t="s">
        <v>39</v>
      </c>
      <c r="D1343" s="1">
        <v>290</v>
      </c>
      <c r="E1343" s="1">
        <v>2</v>
      </c>
      <c r="F1343" s="1">
        <v>36</v>
      </c>
      <c r="J1343" s="1">
        <v>1</v>
      </c>
      <c r="T1343" s="1">
        <v>1</v>
      </c>
      <c r="BM1343" s="1">
        <v>1</v>
      </c>
    </row>
    <row r="1344" spans="1:65" x14ac:dyDescent="0.3">
      <c r="A1344" s="1" t="s">
        <v>48</v>
      </c>
      <c r="B1344" s="7">
        <v>40766</v>
      </c>
      <c r="C1344" s="1" t="s">
        <v>39</v>
      </c>
      <c r="D1344" s="1">
        <v>290</v>
      </c>
      <c r="E1344" s="1">
        <v>2</v>
      </c>
      <c r="F1344" s="1">
        <v>37</v>
      </c>
      <c r="I1344" s="1">
        <v>1</v>
      </c>
      <c r="BG1344" s="1">
        <v>1</v>
      </c>
    </row>
    <row r="1345" spans="1:65" x14ac:dyDescent="0.3">
      <c r="A1345" s="1" t="s">
        <v>48</v>
      </c>
      <c r="B1345" s="7">
        <v>40766</v>
      </c>
      <c r="C1345" s="1" t="s">
        <v>39</v>
      </c>
      <c r="D1345" s="1">
        <v>290</v>
      </c>
      <c r="E1345" s="1">
        <v>2</v>
      </c>
      <c r="F1345" s="1">
        <v>38</v>
      </c>
      <c r="J1345" s="1">
        <v>1</v>
      </c>
    </row>
    <row r="1346" spans="1:65" x14ac:dyDescent="0.3">
      <c r="A1346" s="1" t="s">
        <v>48</v>
      </c>
      <c r="B1346" s="7">
        <v>40766</v>
      </c>
      <c r="C1346" s="1" t="s">
        <v>39</v>
      </c>
      <c r="D1346" s="1">
        <v>290</v>
      </c>
      <c r="E1346" s="1">
        <v>2</v>
      </c>
      <c r="F1346" s="1">
        <v>39</v>
      </c>
      <c r="J1346" s="1">
        <v>1</v>
      </c>
      <c r="R1346" s="1">
        <v>1</v>
      </c>
    </row>
    <row r="1347" spans="1:65" x14ac:dyDescent="0.3">
      <c r="A1347" s="1" t="s">
        <v>48</v>
      </c>
      <c r="B1347" s="7">
        <v>40766</v>
      </c>
      <c r="C1347" s="1" t="s">
        <v>39</v>
      </c>
      <c r="D1347" s="1">
        <v>290</v>
      </c>
      <c r="E1347" s="1">
        <v>2</v>
      </c>
      <c r="F1347" s="1">
        <v>40</v>
      </c>
      <c r="J1347" s="1">
        <v>1</v>
      </c>
      <c r="L1347" s="1">
        <v>1</v>
      </c>
    </row>
    <row r="1348" spans="1:65" x14ac:dyDescent="0.3">
      <c r="A1348" s="1" t="s">
        <v>48</v>
      </c>
      <c r="B1348" s="7">
        <v>40766</v>
      </c>
      <c r="C1348" s="1" t="s">
        <v>39</v>
      </c>
      <c r="D1348" s="1">
        <v>290</v>
      </c>
      <c r="E1348" s="1">
        <v>2</v>
      </c>
      <c r="F1348" s="1">
        <v>41</v>
      </c>
      <c r="L1348" s="1">
        <v>1</v>
      </c>
      <c r="BM1348" s="1">
        <v>1</v>
      </c>
    </row>
    <row r="1349" spans="1:65" x14ac:dyDescent="0.3">
      <c r="A1349" s="1" t="s">
        <v>48</v>
      </c>
      <c r="B1349" s="7">
        <v>40766</v>
      </c>
      <c r="C1349" s="1" t="s">
        <v>39</v>
      </c>
      <c r="D1349" s="1">
        <v>290</v>
      </c>
      <c r="E1349" s="1">
        <v>2</v>
      </c>
      <c r="F1349" s="1">
        <v>42</v>
      </c>
      <c r="J1349" s="1">
        <v>1</v>
      </c>
      <c r="L1349" s="1">
        <v>1</v>
      </c>
      <c r="BG1349" s="3">
        <v>0</v>
      </c>
      <c r="BH1349" s="3">
        <v>1</v>
      </c>
    </row>
    <row r="1350" spans="1:65" x14ac:dyDescent="0.3">
      <c r="A1350" s="1" t="s">
        <v>48</v>
      </c>
      <c r="B1350" s="7">
        <v>40766</v>
      </c>
      <c r="C1350" s="1" t="s">
        <v>39</v>
      </c>
      <c r="D1350" s="1">
        <v>290</v>
      </c>
      <c r="E1350" s="1">
        <v>2</v>
      </c>
      <c r="F1350" s="1">
        <v>43</v>
      </c>
      <c r="J1350" s="1">
        <v>1</v>
      </c>
    </row>
    <row r="1351" spans="1:65" x14ac:dyDescent="0.3">
      <c r="A1351" s="1" t="s">
        <v>48</v>
      </c>
      <c r="B1351" s="7">
        <v>40766</v>
      </c>
      <c r="C1351" s="1" t="s">
        <v>39</v>
      </c>
      <c r="D1351" s="1">
        <v>290</v>
      </c>
      <c r="E1351" s="1">
        <v>2</v>
      </c>
      <c r="F1351" s="1">
        <v>44</v>
      </c>
      <c r="J1351" s="1">
        <v>1</v>
      </c>
    </row>
    <row r="1352" spans="1:65" x14ac:dyDescent="0.3">
      <c r="A1352" s="1" t="s">
        <v>48</v>
      </c>
      <c r="B1352" s="7">
        <v>40766</v>
      </c>
      <c r="C1352" s="1" t="s">
        <v>39</v>
      </c>
      <c r="D1352" s="1">
        <v>290</v>
      </c>
      <c r="E1352" s="1">
        <v>2</v>
      </c>
      <c r="F1352" s="1">
        <v>45</v>
      </c>
      <c r="R1352" s="1">
        <v>1</v>
      </c>
      <c r="BC1352" s="1">
        <v>1</v>
      </c>
    </row>
    <row r="1353" spans="1:65" x14ac:dyDescent="0.3">
      <c r="A1353" s="1" t="s">
        <v>48</v>
      </c>
      <c r="B1353" s="7">
        <v>40766</v>
      </c>
      <c r="C1353" s="1" t="s">
        <v>39</v>
      </c>
      <c r="D1353" s="1">
        <v>290</v>
      </c>
      <c r="E1353" s="1">
        <v>2</v>
      </c>
      <c r="F1353" s="1">
        <v>46</v>
      </c>
      <c r="J1353" s="1">
        <v>1</v>
      </c>
      <c r="T1353" s="1">
        <v>1</v>
      </c>
    </row>
    <row r="1354" spans="1:65" x14ac:dyDescent="0.3">
      <c r="A1354" s="1" t="s">
        <v>48</v>
      </c>
      <c r="B1354" s="7">
        <v>40766</v>
      </c>
      <c r="C1354" s="1" t="s">
        <v>39</v>
      </c>
      <c r="D1354" s="1">
        <v>290</v>
      </c>
      <c r="E1354" s="1">
        <v>2</v>
      </c>
      <c r="F1354" s="1">
        <v>47</v>
      </c>
      <c r="L1354" s="1">
        <v>1</v>
      </c>
    </row>
    <row r="1355" spans="1:65" x14ac:dyDescent="0.3">
      <c r="A1355" s="1" t="s">
        <v>48</v>
      </c>
      <c r="B1355" s="7">
        <v>40766</v>
      </c>
      <c r="C1355" s="1" t="s">
        <v>39</v>
      </c>
      <c r="D1355" s="1">
        <v>290</v>
      </c>
      <c r="E1355" s="1">
        <v>2</v>
      </c>
      <c r="F1355" s="1">
        <v>48</v>
      </c>
      <c r="I1355" s="1">
        <v>1</v>
      </c>
      <c r="J1355" s="1">
        <v>1</v>
      </c>
      <c r="L1355" s="1">
        <v>1</v>
      </c>
    </row>
    <row r="1356" spans="1:65" x14ac:dyDescent="0.3">
      <c r="A1356" s="1" t="s">
        <v>48</v>
      </c>
      <c r="B1356" s="7">
        <v>40766</v>
      </c>
      <c r="C1356" s="1" t="s">
        <v>39</v>
      </c>
      <c r="D1356" s="1">
        <v>290</v>
      </c>
      <c r="E1356" s="1">
        <v>2</v>
      </c>
      <c r="F1356" s="1">
        <v>49</v>
      </c>
      <c r="I1356" s="1">
        <v>1</v>
      </c>
      <c r="T1356" s="1">
        <v>1</v>
      </c>
    </row>
    <row r="1357" spans="1:65" x14ac:dyDescent="0.3">
      <c r="A1357" s="1" t="s">
        <v>48</v>
      </c>
      <c r="B1357" s="7">
        <v>40766</v>
      </c>
      <c r="C1357" s="1" t="s">
        <v>39</v>
      </c>
      <c r="D1357" s="1">
        <v>290</v>
      </c>
      <c r="E1357" s="1">
        <v>2</v>
      </c>
      <c r="F1357" s="1">
        <v>50</v>
      </c>
      <c r="I1357" s="1">
        <v>1</v>
      </c>
      <c r="J1357" s="1">
        <v>1</v>
      </c>
      <c r="L1357" s="1">
        <v>1</v>
      </c>
    </row>
    <row r="1358" spans="1:65" x14ac:dyDescent="0.3">
      <c r="A1358" s="1" t="s">
        <v>48</v>
      </c>
      <c r="B1358" s="7">
        <v>40766</v>
      </c>
      <c r="C1358" s="1" t="s">
        <v>39</v>
      </c>
      <c r="D1358" s="1">
        <v>290</v>
      </c>
      <c r="E1358" s="1">
        <v>2</v>
      </c>
      <c r="F1358" s="1">
        <v>51</v>
      </c>
      <c r="J1358" s="1">
        <v>1</v>
      </c>
    </row>
    <row r="1359" spans="1:65" x14ac:dyDescent="0.3">
      <c r="A1359" s="1" t="s">
        <v>48</v>
      </c>
      <c r="B1359" s="7">
        <v>40766</v>
      </c>
      <c r="C1359" s="1" t="s">
        <v>39</v>
      </c>
      <c r="D1359" s="1">
        <v>290</v>
      </c>
      <c r="E1359" s="1">
        <v>2</v>
      </c>
      <c r="F1359" s="1">
        <v>52</v>
      </c>
      <c r="I1359" s="1">
        <v>1</v>
      </c>
      <c r="J1359" s="1">
        <v>1</v>
      </c>
    </row>
    <row r="1360" spans="1:65" x14ac:dyDescent="0.3">
      <c r="A1360" s="1" t="s">
        <v>48</v>
      </c>
      <c r="B1360" s="7">
        <v>40766</v>
      </c>
      <c r="C1360" s="1" t="s">
        <v>39</v>
      </c>
      <c r="D1360" s="1">
        <v>290</v>
      </c>
      <c r="E1360" s="1">
        <v>2</v>
      </c>
      <c r="F1360" s="1">
        <v>53</v>
      </c>
      <c r="J1360" s="8">
        <v>1</v>
      </c>
      <c r="K1360" s="8"/>
    </row>
    <row r="1361" spans="1:65" x14ac:dyDescent="0.3">
      <c r="A1361" s="1" t="s">
        <v>48</v>
      </c>
      <c r="B1361" s="7">
        <v>40766</v>
      </c>
      <c r="C1361" s="1" t="s">
        <v>39</v>
      </c>
      <c r="D1361" s="1">
        <v>290</v>
      </c>
      <c r="E1361" s="1">
        <v>2</v>
      </c>
      <c r="F1361" s="1">
        <v>54</v>
      </c>
      <c r="I1361" s="1">
        <v>1</v>
      </c>
      <c r="J1361" s="1">
        <v>1</v>
      </c>
    </row>
    <row r="1362" spans="1:65" x14ac:dyDescent="0.3">
      <c r="A1362" s="1" t="s">
        <v>48</v>
      </c>
      <c r="B1362" s="7">
        <v>40766</v>
      </c>
      <c r="C1362" s="1" t="s">
        <v>39</v>
      </c>
      <c r="D1362" s="1">
        <v>290</v>
      </c>
      <c r="E1362" s="1">
        <v>2</v>
      </c>
      <c r="F1362" s="1">
        <v>55</v>
      </c>
      <c r="J1362" s="1">
        <v>1</v>
      </c>
    </row>
    <row r="1363" spans="1:65" x14ac:dyDescent="0.3">
      <c r="A1363" s="1" t="s">
        <v>48</v>
      </c>
      <c r="B1363" s="7">
        <v>40766</v>
      </c>
      <c r="C1363" s="1" t="s">
        <v>39</v>
      </c>
      <c r="D1363" s="1">
        <v>290</v>
      </c>
      <c r="E1363" s="1">
        <v>2</v>
      </c>
      <c r="F1363" s="1">
        <v>56</v>
      </c>
      <c r="J1363" s="1">
        <v>1</v>
      </c>
    </row>
    <row r="1364" spans="1:65" x14ac:dyDescent="0.3">
      <c r="A1364" s="1" t="s">
        <v>48</v>
      </c>
      <c r="B1364" s="7">
        <v>40766</v>
      </c>
      <c r="C1364" s="1" t="s">
        <v>39</v>
      </c>
      <c r="D1364" s="1">
        <v>290</v>
      </c>
      <c r="E1364" s="1">
        <v>2</v>
      </c>
      <c r="F1364" s="1">
        <v>57</v>
      </c>
      <c r="J1364" s="1">
        <v>1</v>
      </c>
      <c r="L1364" s="1">
        <v>1</v>
      </c>
      <c r="R1364" s="1">
        <v>1</v>
      </c>
    </row>
    <row r="1365" spans="1:65" x14ac:dyDescent="0.3">
      <c r="A1365" s="1" t="s">
        <v>48</v>
      </c>
      <c r="B1365" s="7">
        <v>40766</v>
      </c>
      <c r="C1365" s="1" t="s">
        <v>39</v>
      </c>
      <c r="D1365" s="1">
        <v>290</v>
      </c>
      <c r="E1365" s="1">
        <v>2</v>
      </c>
      <c r="F1365" s="1">
        <v>58</v>
      </c>
      <c r="I1365" s="1">
        <v>1</v>
      </c>
      <c r="J1365" s="1">
        <v>1</v>
      </c>
      <c r="T1365" s="1">
        <v>1</v>
      </c>
    </row>
    <row r="1366" spans="1:65" x14ac:dyDescent="0.3">
      <c r="A1366" s="1" t="s">
        <v>48</v>
      </c>
      <c r="B1366" s="7">
        <v>40766</v>
      </c>
      <c r="C1366" s="1" t="s">
        <v>39</v>
      </c>
      <c r="D1366" s="1">
        <v>290</v>
      </c>
      <c r="E1366" s="1">
        <v>2</v>
      </c>
      <c r="F1366" s="1">
        <v>59</v>
      </c>
      <c r="J1366" s="3">
        <v>0</v>
      </c>
      <c r="K1366" s="3">
        <v>1</v>
      </c>
      <c r="T1366" s="1">
        <v>1</v>
      </c>
    </row>
    <row r="1367" spans="1:65" x14ac:dyDescent="0.3">
      <c r="A1367" s="1" t="s">
        <v>48</v>
      </c>
      <c r="B1367" s="7">
        <v>40766</v>
      </c>
      <c r="C1367" s="1" t="s">
        <v>39</v>
      </c>
      <c r="D1367" s="1">
        <v>290</v>
      </c>
      <c r="E1367" s="1">
        <v>2</v>
      </c>
      <c r="F1367" s="1">
        <v>60</v>
      </c>
      <c r="H1367" s="1">
        <v>1</v>
      </c>
      <c r="R1367" s="1">
        <v>1</v>
      </c>
    </row>
    <row r="1368" spans="1:65" x14ac:dyDescent="0.3">
      <c r="A1368" s="1" t="s">
        <v>48</v>
      </c>
      <c r="B1368" s="7">
        <v>40766</v>
      </c>
      <c r="C1368" s="1" t="s">
        <v>39</v>
      </c>
      <c r="D1368" s="1">
        <v>290</v>
      </c>
      <c r="E1368" s="1">
        <v>2</v>
      </c>
      <c r="F1368" s="1">
        <v>61</v>
      </c>
      <c r="J1368" s="1">
        <v>1</v>
      </c>
    </row>
    <row r="1369" spans="1:65" x14ac:dyDescent="0.3">
      <c r="A1369" s="1" t="s">
        <v>48</v>
      </c>
      <c r="B1369" s="7">
        <v>40766</v>
      </c>
      <c r="C1369" s="1" t="s">
        <v>39</v>
      </c>
      <c r="D1369" s="1">
        <v>290</v>
      </c>
      <c r="E1369" s="1">
        <v>2</v>
      </c>
      <c r="F1369" s="1">
        <v>62</v>
      </c>
      <c r="J1369" s="1">
        <v>1</v>
      </c>
      <c r="BM1369" s="1">
        <v>1</v>
      </c>
    </row>
    <row r="1370" spans="1:65" x14ac:dyDescent="0.3">
      <c r="A1370" s="1" t="s">
        <v>48</v>
      </c>
      <c r="B1370" s="7">
        <v>40766</v>
      </c>
      <c r="C1370" s="1" t="s">
        <v>39</v>
      </c>
      <c r="D1370" s="1">
        <v>290</v>
      </c>
      <c r="E1370" s="1">
        <v>2</v>
      </c>
      <c r="F1370" s="1">
        <v>63</v>
      </c>
      <c r="J1370" s="1">
        <v>1</v>
      </c>
    </row>
    <row r="1371" spans="1:65" x14ac:dyDescent="0.3">
      <c r="A1371" s="1" t="s">
        <v>48</v>
      </c>
      <c r="B1371" s="7">
        <v>40766</v>
      </c>
      <c r="C1371" s="1" t="s">
        <v>39</v>
      </c>
      <c r="D1371" s="1">
        <v>290</v>
      </c>
      <c r="E1371" s="1">
        <v>2</v>
      </c>
      <c r="F1371" s="1">
        <v>64</v>
      </c>
      <c r="J1371" s="1">
        <v>1</v>
      </c>
    </row>
    <row r="1372" spans="1:65" x14ac:dyDescent="0.3">
      <c r="A1372" s="1" t="s">
        <v>48</v>
      </c>
      <c r="B1372" s="7">
        <v>40766</v>
      </c>
      <c r="C1372" s="1" t="s">
        <v>39</v>
      </c>
      <c r="D1372" s="1">
        <v>290</v>
      </c>
      <c r="E1372" s="1">
        <v>2</v>
      </c>
      <c r="F1372" s="1">
        <v>65</v>
      </c>
      <c r="J1372" s="1">
        <v>1</v>
      </c>
      <c r="R1372" s="1">
        <v>1</v>
      </c>
    </row>
    <row r="1373" spans="1:65" x14ac:dyDescent="0.3">
      <c r="A1373" s="1" t="s">
        <v>48</v>
      </c>
      <c r="B1373" s="7">
        <v>40766</v>
      </c>
      <c r="C1373" s="1" t="s">
        <v>39</v>
      </c>
      <c r="D1373" s="1">
        <v>290</v>
      </c>
      <c r="E1373" s="1">
        <v>2</v>
      </c>
      <c r="F1373" s="1">
        <v>66</v>
      </c>
      <c r="J1373" s="1">
        <v>1</v>
      </c>
    </row>
    <row r="1374" spans="1:65" x14ac:dyDescent="0.3">
      <c r="A1374" s="1" t="s">
        <v>48</v>
      </c>
      <c r="B1374" s="7">
        <v>40766</v>
      </c>
      <c r="C1374" s="1" t="s">
        <v>39</v>
      </c>
      <c r="D1374" s="1">
        <v>290</v>
      </c>
      <c r="E1374" s="1">
        <v>2</v>
      </c>
      <c r="F1374" s="1">
        <v>67</v>
      </c>
      <c r="J1374" s="1">
        <v>1</v>
      </c>
    </row>
    <row r="1375" spans="1:65" x14ac:dyDescent="0.3">
      <c r="A1375" s="1" t="s">
        <v>48</v>
      </c>
      <c r="B1375" s="7">
        <v>40766</v>
      </c>
      <c r="C1375" s="1" t="s">
        <v>39</v>
      </c>
      <c r="D1375" s="1">
        <v>290</v>
      </c>
      <c r="E1375" s="1">
        <v>2</v>
      </c>
      <c r="F1375" s="1">
        <v>68</v>
      </c>
      <c r="J1375" s="1">
        <v>1</v>
      </c>
      <c r="T1375" s="1">
        <v>1</v>
      </c>
    </row>
    <row r="1376" spans="1:65" x14ac:dyDescent="0.3">
      <c r="A1376" s="1" t="s">
        <v>48</v>
      </c>
      <c r="B1376" s="7">
        <v>40766</v>
      </c>
      <c r="C1376" s="1" t="s">
        <v>39</v>
      </c>
      <c r="D1376" s="1">
        <v>290</v>
      </c>
      <c r="E1376" s="1">
        <v>2</v>
      </c>
      <c r="F1376" s="1">
        <v>69</v>
      </c>
      <c r="I1376" s="1">
        <v>1</v>
      </c>
      <c r="T1376" s="1">
        <v>1</v>
      </c>
    </row>
    <row r="1377" spans="1:18" x14ac:dyDescent="0.3">
      <c r="A1377" s="1" t="s">
        <v>48</v>
      </c>
      <c r="B1377" s="7">
        <v>40766</v>
      </c>
      <c r="C1377" s="1" t="s">
        <v>39</v>
      </c>
      <c r="D1377" s="1">
        <v>290</v>
      </c>
      <c r="E1377" s="1">
        <v>2</v>
      </c>
      <c r="F1377" s="1">
        <v>70</v>
      </c>
      <c r="R1377" s="1">
        <v>1</v>
      </c>
    </row>
    <row r="1378" spans="1:18" x14ac:dyDescent="0.3">
      <c r="A1378" s="1" t="s">
        <v>48</v>
      </c>
      <c r="B1378" s="7">
        <v>40766</v>
      </c>
      <c r="C1378" s="1" t="s">
        <v>39</v>
      </c>
      <c r="D1378" s="1">
        <v>290</v>
      </c>
      <c r="E1378" s="1">
        <v>2</v>
      </c>
      <c r="F1378" s="1">
        <v>71</v>
      </c>
      <c r="J1378" s="1">
        <v>1</v>
      </c>
    </row>
    <row r="1379" spans="1:18" x14ac:dyDescent="0.3">
      <c r="A1379" s="1" t="s">
        <v>48</v>
      </c>
      <c r="B1379" s="7">
        <v>40766</v>
      </c>
      <c r="C1379" s="1" t="s">
        <v>39</v>
      </c>
      <c r="D1379" s="1">
        <v>290</v>
      </c>
      <c r="E1379" s="1">
        <v>2</v>
      </c>
      <c r="F1379" s="1">
        <v>72</v>
      </c>
      <c r="J1379" s="1">
        <v>1</v>
      </c>
    </row>
    <row r="1380" spans="1:18" x14ac:dyDescent="0.3">
      <c r="A1380" s="1" t="s">
        <v>48</v>
      </c>
      <c r="B1380" s="7">
        <v>40766</v>
      </c>
      <c r="C1380" s="1" t="s">
        <v>39</v>
      </c>
      <c r="D1380" s="1">
        <v>290</v>
      </c>
      <c r="E1380" s="1">
        <v>2</v>
      </c>
      <c r="F1380" s="1">
        <v>73</v>
      </c>
      <c r="J1380" s="3">
        <v>0</v>
      </c>
      <c r="K1380" s="3">
        <v>1</v>
      </c>
      <c r="L1380" s="1">
        <v>1</v>
      </c>
    </row>
    <row r="1381" spans="1:18" x14ac:dyDescent="0.3">
      <c r="A1381" s="1" t="s">
        <v>48</v>
      </c>
      <c r="B1381" s="7">
        <v>40766</v>
      </c>
      <c r="C1381" s="1" t="s">
        <v>39</v>
      </c>
      <c r="D1381" s="1">
        <v>290</v>
      </c>
      <c r="E1381" s="1">
        <v>2</v>
      </c>
      <c r="F1381" s="1">
        <v>74</v>
      </c>
      <c r="J1381" s="1">
        <v>1</v>
      </c>
    </row>
    <row r="1382" spans="1:18" x14ac:dyDescent="0.3">
      <c r="A1382" s="1" t="s">
        <v>48</v>
      </c>
      <c r="B1382" s="7">
        <v>40766</v>
      </c>
      <c r="C1382" s="1" t="s">
        <v>39</v>
      </c>
      <c r="D1382" s="1">
        <v>290</v>
      </c>
      <c r="E1382" s="1">
        <v>2</v>
      </c>
      <c r="F1382" s="1">
        <v>75</v>
      </c>
      <c r="I1382" s="1">
        <v>1</v>
      </c>
      <c r="J1382" s="1">
        <v>1</v>
      </c>
    </row>
    <row r="1383" spans="1:18" x14ac:dyDescent="0.3">
      <c r="A1383" s="1" t="s">
        <v>48</v>
      </c>
      <c r="B1383" s="7">
        <v>40766</v>
      </c>
      <c r="C1383" s="1" t="s">
        <v>39</v>
      </c>
      <c r="D1383" s="1">
        <v>290</v>
      </c>
      <c r="E1383" s="1">
        <v>2</v>
      </c>
      <c r="F1383" s="1">
        <v>76</v>
      </c>
      <c r="J1383" s="1">
        <v>1</v>
      </c>
    </row>
    <row r="1384" spans="1:18" x14ac:dyDescent="0.3">
      <c r="A1384" s="1" t="s">
        <v>48</v>
      </c>
      <c r="B1384" s="7">
        <v>40766</v>
      </c>
      <c r="C1384" s="1" t="s">
        <v>39</v>
      </c>
      <c r="D1384" s="1">
        <v>290</v>
      </c>
      <c r="E1384" s="1">
        <v>2</v>
      </c>
      <c r="F1384" s="1">
        <v>77</v>
      </c>
      <c r="H1384" s="1">
        <v>1</v>
      </c>
      <c r="R1384" s="1">
        <v>1</v>
      </c>
    </row>
    <row r="1385" spans="1:18" x14ac:dyDescent="0.3">
      <c r="A1385" s="1" t="s">
        <v>48</v>
      </c>
      <c r="B1385" s="7">
        <v>40766</v>
      </c>
      <c r="C1385" s="1" t="s">
        <v>39</v>
      </c>
      <c r="D1385" s="1">
        <v>290</v>
      </c>
      <c r="E1385" s="1">
        <v>2</v>
      </c>
      <c r="F1385" s="1">
        <v>78</v>
      </c>
      <c r="I1385" s="1">
        <v>1</v>
      </c>
    </row>
    <row r="1386" spans="1:18" x14ac:dyDescent="0.3">
      <c r="A1386" s="1" t="s">
        <v>48</v>
      </c>
      <c r="B1386" s="7">
        <v>40766</v>
      </c>
      <c r="C1386" s="1" t="s">
        <v>39</v>
      </c>
      <c r="D1386" s="1">
        <v>290</v>
      </c>
      <c r="E1386" s="1">
        <v>2</v>
      </c>
      <c r="F1386" s="1">
        <v>79</v>
      </c>
      <c r="J1386" s="1">
        <v>1</v>
      </c>
    </row>
    <row r="1387" spans="1:18" x14ac:dyDescent="0.3">
      <c r="A1387" s="1" t="s">
        <v>48</v>
      </c>
      <c r="B1387" s="7">
        <v>40766</v>
      </c>
      <c r="C1387" s="1" t="s">
        <v>39</v>
      </c>
      <c r="D1387" s="1">
        <v>290</v>
      </c>
      <c r="E1387" s="1">
        <v>2</v>
      </c>
      <c r="F1387" s="1">
        <v>80</v>
      </c>
      <c r="R1387" s="1">
        <v>1</v>
      </c>
    </row>
    <row r="1388" spans="1:18" x14ac:dyDescent="0.3">
      <c r="A1388" s="1" t="s">
        <v>48</v>
      </c>
      <c r="B1388" s="7">
        <v>40766</v>
      </c>
      <c r="C1388" s="1" t="s">
        <v>39</v>
      </c>
      <c r="D1388" s="1">
        <v>290</v>
      </c>
      <c r="E1388" s="1">
        <v>2</v>
      </c>
      <c r="F1388" s="1">
        <v>81</v>
      </c>
      <c r="J1388" s="1">
        <v>1</v>
      </c>
    </row>
    <row r="1389" spans="1:18" x14ac:dyDescent="0.3">
      <c r="A1389" s="1" t="s">
        <v>48</v>
      </c>
      <c r="B1389" s="7">
        <v>40766</v>
      </c>
      <c r="C1389" s="1" t="s">
        <v>39</v>
      </c>
      <c r="D1389" s="1">
        <v>290</v>
      </c>
      <c r="E1389" s="1">
        <v>2</v>
      </c>
      <c r="F1389" s="1">
        <v>82</v>
      </c>
      <c r="L1389" s="1">
        <v>1</v>
      </c>
    </row>
    <row r="1390" spans="1:18" x14ac:dyDescent="0.3">
      <c r="A1390" s="1" t="s">
        <v>48</v>
      </c>
      <c r="B1390" s="7">
        <v>40766</v>
      </c>
      <c r="C1390" s="1" t="s">
        <v>39</v>
      </c>
      <c r="D1390" s="1">
        <v>290</v>
      </c>
      <c r="E1390" s="1">
        <v>2</v>
      </c>
      <c r="F1390" s="1">
        <v>83</v>
      </c>
    </row>
    <row r="1391" spans="1:18" x14ac:dyDescent="0.3">
      <c r="A1391" s="1" t="s">
        <v>48</v>
      </c>
      <c r="B1391" s="7">
        <v>40766</v>
      </c>
      <c r="C1391" s="1" t="s">
        <v>39</v>
      </c>
      <c r="D1391" s="1">
        <v>290</v>
      </c>
      <c r="E1391" s="1">
        <v>2</v>
      </c>
      <c r="F1391" s="1">
        <v>84</v>
      </c>
      <c r="I1391" s="1">
        <v>1</v>
      </c>
      <c r="J1391" s="1">
        <v>1</v>
      </c>
    </row>
    <row r="1392" spans="1:18" x14ac:dyDescent="0.3">
      <c r="A1392" s="1" t="s">
        <v>48</v>
      </c>
      <c r="B1392" s="7">
        <v>40766</v>
      </c>
      <c r="C1392" s="1" t="s">
        <v>39</v>
      </c>
      <c r="D1392" s="1">
        <v>290</v>
      </c>
      <c r="E1392" s="1">
        <v>2</v>
      </c>
      <c r="F1392" s="1">
        <v>85</v>
      </c>
      <c r="J1392" s="3">
        <v>0</v>
      </c>
      <c r="K1392" s="3">
        <v>1</v>
      </c>
      <c r="L1392" s="1">
        <v>1</v>
      </c>
    </row>
    <row r="1393" spans="1:90" x14ac:dyDescent="0.3">
      <c r="A1393" s="1" t="s">
        <v>48</v>
      </c>
      <c r="B1393" s="7">
        <v>40766</v>
      </c>
      <c r="C1393" s="1" t="s">
        <v>39</v>
      </c>
      <c r="D1393" s="1">
        <v>290</v>
      </c>
      <c r="E1393" s="1">
        <v>2</v>
      </c>
      <c r="F1393" s="1">
        <v>86</v>
      </c>
      <c r="J1393" s="1">
        <v>1</v>
      </c>
    </row>
    <row r="1394" spans="1:90" x14ac:dyDescent="0.3">
      <c r="A1394" s="1" t="s">
        <v>48</v>
      </c>
      <c r="B1394" s="7">
        <v>40766</v>
      </c>
      <c r="C1394" s="1" t="s">
        <v>39</v>
      </c>
      <c r="D1394" s="1">
        <v>290</v>
      </c>
      <c r="E1394" s="1">
        <v>2</v>
      </c>
      <c r="F1394" s="1">
        <v>87</v>
      </c>
      <c r="J1394" s="1">
        <v>1</v>
      </c>
      <c r="T1394" s="1">
        <v>1</v>
      </c>
    </row>
    <row r="1395" spans="1:90" x14ac:dyDescent="0.3">
      <c r="A1395" s="1" t="s">
        <v>48</v>
      </c>
      <c r="B1395" s="7">
        <v>40766</v>
      </c>
      <c r="C1395" s="1" t="s">
        <v>39</v>
      </c>
      <c r="D1395" s="1">
        <v>290</v>
      </c>
      <c r="E1395" s="1">
        <v>2</v>
      </c>
      <c r="F1395" s="1">
        <v>88</v>
      </c>
      <c r="J1395" s="1">
        <v>1</v>
      </c>
    </row>
    <row r="1396" spans="1:90" x14ac:dyDescent="0.3">
      <c r="A1396" s="1" t="s">
        <v>48</v>
      </c>
      <c r="B1396" s="7">
        <v>40766</v>
      </c>
      <c r="C1396" s="1" t="s">
        <v>39</v>
      </c>
      <c r="D1396" s="1">
        <v>290</v>
      </c>
      <c r="E1396" s="1">
        <v>2</v>
      </c>
      <c r="F1396" s="1">
        <v>89</v>
      </c>
      <c r="J1396" s="1">
        <v>1</v>
      </c>
      <c r="T1396" s="1">
        <v>1</v>
      </c>
    </row>
    <row r="1397" spans="1:90" x14ac:dyDescent="0.3">
      <c r="A1397" s="1" t="s">
        <v>48</v>
      </c>
      <c r="B1397" s="7">
        <v>40766</v>
      </c>
      <c r="C1397" s="1" t="s">
        <v>39</v>
      </c>
      <c r="D1397" s="1">
        <v>290</v>
      </c>
      <c r="E1397" s="1">
        <v>2</v>
      </c>
      <c r="F1397" s="1">
        <v>90</v>
      </c>
      <c r="H1397" s="1">
        <v>1</v>
      </c>
    </row>
    <row r="1398" spans="1:90" x14ac:dyDescent="0.3">
      <c r="A1398" s="1" t="s">
        <v>48</v>
      </c>
      <c r="B1398" s="7">
        <v>40766</v>
      </c>
      <c r="C1398" s="1" t="s">
        <v>39</v>
      </c>
      <c r="D1398" s="1">
        <v>290</v>
      </c>
      <c r="E1398" s="1">
        <v>2</v>
      </c>
      <c r="F1398" s="1">
        <v>91</v>
      </c>
      <c r="J1398" s="1">
        <v>1</v>
      </c>
    </row>
    <row r="1399" spans="1:90" x14ac:dyDescent="0.3">
      <c r="A1399" s="1" t="s">
        <v>48</v>
      </c>
      <c r="B1399" s="7">
        <v>40766</v>
      </c>
      <c r="C1399" s="1" t="s">
        <v>39</v>
      </c>
      <c r="D1399" s="1">
        <v>290</v>
      </c>
      <c r="E1399" s="1">
        <v>2</v>
      </c>
      <c r="F1399" s="1">
        <v>92</v>
      </c>
      <c r="J1399" s="1">
        <v>1</v>
      </c>
      <c r="T1399" s="1">
        <v>1</v>
      </c>
    </row>
    <row r="1400" spans="1:90" x14ac:dyDescent="0.3">
      <c r="A1400" s="1" t="s">
        <v>48</v>
      </c>
      <c r="B1400" s="7">
        <v>40766</v>
      </c>
      <c r="C1400" s="1" t="s">
        <v>39</v>
      </c>
      <c r="D1400" s="1">
        <v>290</v>
      </c>
      <c r="E1400" s="1">
        <v>2</v>
      </c>
      <c r="F1400" s="1">
        <v>93</v>
      </c>
      <c r="J1400" s="1">
        <v>1</v>
      </c>
    </row>
    <row r="1401" spans="1:90" x14ac:dyDescent="0.3">
      <c r="A1401" s="1" t="s">
        <v>48</v>
      </c>
      <c r="B1401" s="7">
        <v>40766</v>
      </c>
      <c r="C1401" s="1" t="s">
        <v>39</v>
      </c>
      <c r="D1401" s="1">
        <v>290</v>
      </c>
      <c r="E1401" s="1">
        <v>2</v>
      </c>
      <c r="F1401" s="1">
        <v>94</v>
      </c>
      <c r="J1401" s="1">
        <v>1</v>
      </c>
    </row>
    <row r="1402" spans="1:90" x14ac:dyDescent="0.3">
      <c r="A1402" s="1" t="s">
        <v>48</v>
      </c>
      <c r="B1402" s="7">
        <v>40766</v>
      </c>
      <c r="C1402" s="1" t="s">
        <v>39</v>
      </c>
      <c r="D1402" s="1">
        <v>290</v>
      </c>
      <c r="E1402" s="1">
        <v>2</v>
      </c>
      <c r="F1402" s="1">
        <v>95</v>
      </c>
      <c r="J1402" s="3">
        <v>0</v>
      </c>
      <c r="K1402" s="3">
        <v>1</v>
      </c>
    </row>
    <row r="1403" spans="1:90" x14ac:dyDescent="0.3">
      <c r="A1403" s="1" t="s">
        <v>48</v>
      </c>
      <c r="B1403" s="7">
        <v>40766</v>
      </c>
      <c r="C1403" s="1" t="s">
        <v>39</v>
      </c>
      <c r="D1403" s="1">
        <v>290</v>
      </c>
      <c r="E1403" s="1">
        <v>2</v>
      </c>
      <c r="F1403" s="1">
        <v>96</v>
      </c>
      <c r="H1403" s="1">
        <v>1</v>
      </c>
      <c r="BC1403" s="1">
        <v>1</v>
      </c>
    </row>
    <row r="1404" spans="1:90" x14ac:dyDescent="0.3">
      <c r="A1404" s="1" t="s">
        <v>48</v>
      </c>
      <c r="B1404" s="7">
        <v>40766</v>
      </c>
      <c r="C1404" s="1" t="s">
        <v>39</v>
      </c>
      <c r="D1404" s="1">
        <v>290</v>
      </c>
      <c r="E1404" s="1">
        <v>2</v>
      </c>
      <c r="F1404" s="1">
        <v>97</v>
      </c>
      <c r="T1404" s="1">
        <v>1</v>
      </c>
      <c r="BC1404" s="1">
        <v>1</v>
      </c>
    </row>
    <row r="1405" spans="1:90" x14ac:dyDescent="0.3">
      <c r="A1405" s="1" t="s">
        <v>48</v>
      </c>
      <c r="B1405" s="7">
        <v>40766</v>
      </c>
      <c r="C1405" s="1" t="s">
        <v>39</v>
      </c>
      <c r="D1405" s="1">
        <v>290</v>
      </c>
      <c r="E1405" s="1">
        <v>2</v>
      </c>
      <c r="F1405" s="1">
        <v>98</v>
      </c>
      <c r="I1405" s="1">
        <v>1</v>
      </c>
      <c r="L1405" s="1">
        <v>1</v>
      </c>
    </row>
    <row r="1406" spans="1:90" x14ac:dyDescent="0.3">
      <c r="A1406" s="1" t="s">
        <v>48</v>
      </c>
      <c r="B1406" s="7">
        <v>40766</v>
      </c>
      <c r="C1406" s="1" t="s">
        <v>39</v>
      </c>
      <c r="D1406" s="1">
        <v>290</v>
      </c>
      <c r="E1406" s="1">
        <v>2</v>
      </c>
      <c r="F1406" s="1">
        <v>99</v>
      </c>
      <c r="I1406" s="1">
        <v>1</v>
      </c>
      <c r="L1406" s="1">
        <v>1</v>
      </c>
    </row>
    <row r="1407" spans="1:90" x14ac:dyDescent="0.3">
      <c r="A1407" s="1" t="s">
        <v>48</v>
      </c>
      <c r="B1407" s="7">
        <v>40766</v>
      </c>
      <c r="C1407" s="1" t="s">
        <v>39</v>
      </c>
      <c r="D1407" s="1">
        <v>290</v>
      </c>
      <c r="E1407" s="1">
        <v>2</v>
      </c>
      <c r="F1407" s="1">
        <v>100</v>
      </c>
      <c r="R1407" s="1">
        <v>1</v>
      </c>
    </row>
    <row r="1408" spans="1:90" s="12" customFormat="1" x14ac:dyDescent="0.3">
      <c r="A1408" s="14" t="s">
        <v>48</v>
      </c>
      <c r="B1408" s="13"/>
      <c r="G1408" s="12">
        <f>SUM(G1208:G1407)</f>
        <v>0</v>
      </c>
      <c r="H1408" s="12">
        <f t="shared" ref="H1408" si="442">SUM(H1208:H1407)</f>
        <v>18</v>
      </c>
      <c r="I1408" s="12">
        <f t="shared" ref="I1408" si="443">SUM(I1208:I1407)</f>
        <v>32</v>
      </c>
      <c r="J1408" s="12">
        <f t="shared" ref="J1408" si="444">SUM(J1208:J1407)</f>
        <v>64</v>
      </c>
      <c r="K1408" s="12">
        <f t="shared" ref="K1408" si="445">SUM(K1208:K1407)</f>
        <v>11</v>
      </c>
      <c r="L1408" s="12">
        <f t="shared" ref="L1408" si="446">SUM(L1208:L1407)</f>
        <v>71</v>
      </c>
      <c r="M1408" s="12">
        <f t="shared" ref="M1408" si="447">SUM(M1208:M1407)</f>
        <v>2</v>
      </c>
      <c r="N1408" s="12">
        <f t="shared" ref="N1408" si="448">SUM(N1208:N1407)</f>
        <v>0</v>
      </c>
      <c r="O1408" s="12">
        <f t="shared" ref="O1408" si="449">SUM(O1208:O1407)</f>
        <v>0</v>
      </c>
      <c r="P1408" s="12">
        <f t="shared" ref="P1408" si="450">SUM(P1208:P1407)</f>
        <v>3</v>
      </c>
      <c r="Q1408" s="12">
        <f t="shared" ref="Q1408" si="451">SUM(Q1208:Q1407)</f>
        <v>2</v>
      </c>
      <c r="R1408" s="12">
        <f t="shared" ref="R1408" si="452">SUM(R1208:R1407)</f>
        <v>15</v>
      </c>
      <c r="S1408" s="12">
        <f t="shared" ref="S1408" si="453">SUM(S1208:S1407)</f>
        <v>6</v>
      </c>
      <c r="T1408" s="12">
        <f t="shared" ref="T1408" si="454">SUM(T1208:T1407)</f>
        <v>17</v>
      </c>
      <c r="U1408" s="12">
        <f t="shared" ref="U1408" si="455">SUM(U1208:U1407)</f>
        <v>0</v>
      </c>
      <c r="V1408" s="12">
        <f t="shared" ref="V1408" si="456">SUM(V1208:V1407)</f>
        <v>3</v>
      </c>
      <c r="W1408" s="12">
        <f t="shared" ref="W1408" si="457">SUM(W1208:W1407)</f>
        <v>0</v>
      </c>
      <c r="X1408" s="12">
        <f t="shared" ref="X1408" si="458">SUM(X1208:X1407)</f>
        <v>1</v>
      </c>
      <c r="Y1408" s="12">
        <f t="shared" ref="Y1408" si="459">SUM(Y1208:Y1407)</f>
        <v>0</v>
      </c>
      <c r="Z1408" s="12">
        <f t="shared" ref="Z1408" si="460">SUM(Z1208:Z1407)</f>
        <v>0</v>
      </c>
      <c r="AA1408" s="12">
        <f t="shared" ref="AA1408" si="461">SUM(AA1208:AA1407)</f>
        <v>0</v>
      </c>
      <c r="AB1408" s="12">
        <f t="shared" ref="AB1408" si="462">SUM(AB1208:AB1407)</f>
        <v>0</v>
      </c>
      <c r="AC1408" s="12">
        <f t="shared" ref="AC1408" si="463">SUM(AC1208:AC1407)</f>
        <v>0</v>
      </c>
      <c r="AD1408" s="12">
        <f t="shared" ref="AD1408" si="464">SUM(AD1208:AD1407)</f>
        <v>5</v>
      </c>
      <c r="AE1408" s="12">
        <f t="shared" ref="AE1408" si="465">SUM(AE1208:AE1407)</f>
        <v>0</v>
      </c>
      <c r="AF1408" s="12">
        <f t="shared" ref="AF1408" si="466">SUM(AF1208:AF1407)</f>
        <v>6</v>
      </c>
      <c r="AG1408" s="12">
        <f t="shared" ref="AG1408" si="467">SUM(AG1208:AG1407)</f>
        <v>6</v>
      </c>
      <c r="AH1408" s="12">
        <f t="shared" ref="AH1408" si="468">SUM(AH1208:AH1407)</f>
        <v>3</v>
      </c>
      <c r="AI1408" s="12">
        <f t="shared" ref="AI1408" si="469">SUM(AI1208:AI1407)</f>
        <v>0</v>
      </c>
      <c r="AJ1408" s="12">
        <f t="shared" ref="AJ1408" si="470">SUM(AJ1208:AJ1407)</f>
        <v>0</v>
      </c>
      <c r="AK1408" s="12">
        <f t="shared" ref="AK1408" si="471">SUM(AK1208:AK1407)</f>
        <v>0</v>
      </c>
      <c r="AL1408" s="12">
        <f t="shared" ref="AL1408" si="472">SUM(AL1208:AL1407)</f>
        <v>0</v>
      </c>
      <c r="AM1408" s="12">
        <f t="shared" ref="AM1408" si="473">SUM(AM1208:AM1407)</f>
        <v>6</v>
      </c>
      <c r="AN1408" s="12">
        <f t="shared" ref="AN1408" si="474">SUM(AN1208:AN1407)</f>
        <v>1</v>
      </c>
      <c r="AO1408" s="12">
        <f t="shared" ref="AO1408" si="475">SUM(AO1208:AO1407)</f>
        <v>0</v>
      </c>
      <c r="AP1408" s="12">
        <f t="shared" ref="AP1408" si="476">SUM(AP1208:AP1407)</f>
        <v>0</v>
      </c>
      <c r="AQ1408" s="12">
        <f t="shared" ref="AQ1408" si="477">SUM(AQ1208:AQ1407)</f>
        <v>0</v>
      </c>
      <c r="AR1408" s="12">
        <f t="shared" ref="AR1408" si="478">SUM(AR1208:AR1407)</f>
        <v>0</v>
      </c>
      <c r="AS1408" s="12">
        <f t="shared" ref="AS1408" si="479">SUM(AS1208:AS1407)</f>
        <v>17</v>
      </c>
      <c r="AT1408" s="12">
        <f t="shared" ref="AT1408" si="480">SUM(AT1208:AT1407)</f>
        <v>0</v>
      </c>
      <c r="AU1408" s="12">
        <f t="shared" ref="AU1408" si="481">SUM(AU1208:AU1407)</f>
        <v>4</v>
      </c>
      <c r="AV1408" s="12">
        <f t="shared" ref="AV1408" si="482">SUM(AV1208:AV1407)</f>
        <v>0</v>
      </c>
      <c r="AW1408" s="12">
        <f t="shared" ref="AW1408" si="483">SUM(AW1208:AW1407)</f>
        <v>2</v>
      </c>
      <c r="AX1408" s="12">
        <f t="shared" ref="AX1408" si="484">SUM(AX1208:AX1407)</f>
        <v>1</v>
      </c>
      <c r="AY1408" s="12">
        <f t="shared" ref="AY1408" si="485">SUM(AY1208:AY1407)</f>
        <v>1</v>
      </c>
      <c r="AZ1408" s="12">
        <f t="shared" ref="AZ1408" si="486">SUM(AZ1208:AZ1407)</f>
        <v>1</v>
      </c>
      <c r="BA1408" s="12">
        <f t="shared" ref="BA1408" si="487">SUM(BA1208:BA1407)</f>
        <v>0</v>
      </c>
      <c r="BB1408" s="12">
        <f t="shared" ref="BB1408" si="488">SUM(BB1208:BB1407)</f>
        <v>0</v>
      </c>
      <c r="BC1408" s="12">
        <f t="shared" ref="BC1408" si="489">SUM(BC1208:BC1407)</f>
        <v>4</v>
      </c>
      <c r="BD1408" s="12">
        <f t="shared" ref="BD1408" si="490">SUM(BD1208:BD1407)</f>
        <v>0</v>
      </c>
      <c r="BE1408" s="12">
        <f t="shared" ref="BE1408" si="491">SUM(BE1208:BE1407)</f>
        <v>16</v>
      </c>
      <c r="BF1408" s="12">
        <f t="shared" ref="BF1408" si="492">SUM(BF1208:BF1407)</f>
        <v>1</v>
      </c>
      <c r="BG1408" s="12">
        <f t="shared" ref="BG1408" si="493">SUM(BG1208:BG1407)</f>
        <v>3</v>
      </c>
      <c r="BH1408" s="12">
        <f t="shared" ref="BH1408" si="494">SUM(BH1208:BH1407)</f>
        <v>4</v>
      </c>
      <c r="BI1408" s="12">
        <f t="shared" ref="BI1408" si="495">SUM(BI1208:BI1407)</f>
        <v>0</v>
      </c>
      <c r="BJ1408" s="12">
        <f t="shared" ref="BJ1408" si="496">SUM(BJ1208:BJ1407)</f>
        <v>0</v>
      </c>
      <c r="BK1408" s="12">
        <f t="shared" ref="BK1408" si="497">SUM(BK1208:BK1407)</f>
        <v>0</v>
      </c>
      <c r="BL1408" s="12">
        <f t="shared" ref="BL1408" si="498">SUM(BL1208:BL1407)</f>
        <v>0</v>
      </c>
      <c r="BM1408" s="12">
        <f t="shared" ref="BM1408" si="499">SUM(BM1208:BM1407)</f>
        <v>7</v>
      </c>
      <c r="BN1408" s="12">
        <f t="shared" ref="BN1408" si="500">SUM(BN1208:BN1407)</f>
        <v>0</v>
      </c>
      <c r="BO1408" s="12">
        <f t="shared" ref="BO1408" si="501">SUM(BO1208:BO1407)</f>
        <v>1</v>
      </c>
      <c r="BP1408" s="12">
        <f t="shared" ref="BP1408" si="502">SUM(BP1208:BP1407)</f>
        <v>0</v>
      </c>
      <c r="BQ1408" s="12">
        <f t="shared" ref="BQ1408" si="503">SUM(BQ1208:BQ1407)</f>
        <v>0</v>
      </c>
      <c r="BR1408" s="12">
        <f t="shared" ref="BR1408" si="504">SUM(BR1208:BR1407)</f>
        <v>0</v>
      </c>
      <c r="BS1408" s="12">
        <f t="shared" ref="BS1408" si="505">SUM(BS1208:BS1407)</f>
        <v>0</v>
      </c>
      <c r="BT1408" s="12">
        <f t="shared" ref="BT1408" si="506">SUM(BT1208:BT1407)</f>
        <v>0</v>
      </c>
      <c r="BU1408" s="12">
        <f t="shared" ref="BU1408" si="507">SUM(BU1208:BU1407)</f>
        <v>0</v>
      </c>
      <c r="BV1408" s="12">
        <f t="shared" ref="BV1408" si="508">SUM(BV1208:BV1407)</f>
        <v>0</v>
      </c>
      <c r="BW1408" s="12">
        <f t="shared" ref="BW1408" si="509">SUM(BW1208:BW1407)</f>
        <v>0</v>
      </c>
      <c r="BX1408" s="12">
        <f t="shared" ref="BX1408" si="510">SUM(BX1208:BX1407)</f>
        <v>0</v>
      </c>
      <c r="BY1408" s="12">
        <f t="shared" ref="BY1408" si="511">SUM(BY1208:BY1407)</f>
        <v>0</v>
      </c>
      <c r="BZ1408" s="12">
        <f t="shared" ref="BZ1408" si="512">SUM(BZ1208:BZ1407)</f>
        <v>0</v>
      </c>
      <c r="CA1408" s="12">
        <f t="shared" ref="CA1408" si="513">SUM(CA1208:CA1407)</f>
        <v>0</v>
      </c>
      <c r="CB1408" s="12">
        <f t="shared" ref="CB1408" si="514">SUM(CB1208:CB1407)</f>
        <v>0</v>
      </c>
      <c r="CC1408" s="12">
        <f t="shared" ref="CC1408" si="515">SUM(CC1208:CC1407)</f>
        <v>0</v>
      </c>
      <c r="CD1408" s="12">
        <f t="shared" ref="CD1408" si="516">SUM(CD1208:CD1407)</f>
        <v>0</v>
      </c>
      <c r="CE1408" s="12">
        <f t="shared" ref="CE1408" si="517">SUM(CE1208:CE1407)</f>
        <v>0</v>
      </c>
      <c r="CF1408" s="12">
        <f t="shared" ref="CF1408" si="518">SUM(CF1208:CF1407)</f>
        <v>0</v>
      </c>
      <c r="CG1408" s="12">
        <f t="shared" ref="CG1408" si="519">SUM(CG1208:CG1407)</f>
        <v>0</v>
      </c>
      <c r="CH1408" s="12">
        <f t="shared" ref="CH1408" si="520">SUM(CH1208:CH1407)</f>
        <v>0</v>
      </c>
      <c r="CI1408" s="12">
        <f t="shared" ref="CI1408" si="521">SUM(CI1208:CI1407)</f>
        <v>0</v>
      </c>
      <c r="CJ1408" s="12">
        <f t="shared" ref="CJ1408" si="522">SUM(CJ1208:CJ1407)</f>
        <v>0</v>
      </c>
      <c r="CK1408" s="12">
        <f t="shared" ref="CK1408" si="523">SUM(CK1208:CK1407)</f>
        <v>0</v>
      </c>
      <c r="CL1408" s="12">
        <f t="shared" ref="CL1408" si="524">SUM(CL1208:CL1407)</f>
        <v>0</v>
      </c>
    </row>
    <row r="1409" spans="1:63" x14ac:dyDescent="0.3">
      <c r="A1409" s="1" t="s">
        <v>49</v>
      </c>
      <c r="B1409" s="7">
        <v>40755</v>
      </c>
      <c r="C1409" s="1">
        <v>7</v>
      </c>
      <c r="D1409" s="1">
        <v>126</v>
      </c>
      <c r="E1409" s="1">
        <v>3</v>
      </c>
      <c r="F1409" s="1">
        <v>1</v>
      </c>
      <c r="J1409" s="1">
        <v>1</v>
      </c>
    </row>
    <row r="1410" spans="1:63" x14ac:dyDescent="0.3">
      <c r="A1410" s="1" t="s">
        <v>49</v>
      </c>
      <c r="B1410" s="7">
        <v>40755</v>
      </c>
      <c r="C1410" s="1">
        <v>7</v>
      </c>
      <c r="D1410" s="1">
        <v>126</v>
      </c>
      <c r="E1410" s="1">
        <v>3</v>
      </c>
      <c r="F1410" s="1">
        <v>2</v>
      </c>
      <c r="J1410" s="1">
        <v>1</v>
      </c>
      <c r="R1410" s="3">
        <v>0</v>
      </c>
      <c r="S1410" s="3">
        <v>1</v>
      </c>
    </row>
    <row r="1411" spans="1:63" x14ac:dyDescent="0.3">
      <c r="A1411" s="1" t="s">
        <v>49</v>
      </c>
      <c r="B1411" s="7">
        <v>40755</v>
      </c>
      <c r="C1411" s="1">
        <v>7</v>
      </c>
      <c r="D1411" s="1">
        <v>126</v>
      </c>
      <c r="E1411" s="1">
        <v>3</v>
      </c>
      <c r="F1411" s="1">
        <v>3</v>
      </c>
      <c r="H1411" s="1">
        <v>1</v>
      </c>
      <c r="R1411" s="1">
        <v>1</v>
      </c>
    </row>
    <row r="1412" spans="1:63" x14ac:dyDescent="0.3">
      <c r="A1412" s="1" t="s">
        <v>49</v>
      </c>
      <c r="B1412" s="7">
        <v>40755</v>
      </c>
      <c r="C1412" s="1">
        <v>7</v>
      </c>
      <c r="D1412" s="1">
        <v>126</v>
      </c>
      <c r="E1412" s="1">
        <v>3</v>
      </c>
      <c r="F1412" s="1">
        <v>4</v>
      </c>
      <c r="J1412" s="1">
        <v>1</v>
      </c>
    </row>
    <row r="1413" spans="1:63" x14ac:dyDescent="0.3">
      <c r="A1413" s="1" t="s">
        <v>49</v>
      </c>
      <c r="B1413" s="7">
        <v>40755</v>
      </c>
      <c r="C1413" s="1">
        <v>7</v>
      </c>
      <c r="D1413" s="1">
        <v>126</v>
      </c>
      <c r="E1413" s="1">
        <v>3</v>
      </c>
      <c r="F1413" s="1">
        <v>5</v>
      </c>
      <c r="R1413" s="3">
        <v>0</v>
      </c>
      <c r="S1413" s="3">
        <v>1</v>
      </c>
      <c r="BK1413" s="1">
        <v>1</v>
      </c>
    </row>
    <row r="1414" spans="1:63" x14ac:dyDescent="0.3">
      <c r="A1414" s="1" t="s">
        <v>49</v>
      </c>
      <c r="B1414" s="7">
        <v>40755</v>
      </c>
      <c r="C1414" s="1">
        <v>7</v>
      </c>
      <c r="D1414" s="1">
        <v>126</v>
      </c>
      <c r="E1414" s="1">
        <v>3</v>
      </c>
      <c r="F1414" s="1">
        <v>6</v>
      </c>
      <c r="J1414" s="1">
        <v>1</v>
      </c>
    </row>
    <row r="1415" spans="1:63" x14ac:dyDescent="0.3">
      <c r="A1415" s="1" t="s">
        <v>49</v>
      </c>
      <c r="B1415" s="7">
        <v>40755</v>
      </c>
      <c r="C1415" s="1">
        <v>7</v>
      </c>
      <c r="D1415" s="1">
        <v>126</v>
      </c>
      <c r="E1415" s="1">
        <v>3</v>
      </c>
      <c r="F1415" s="1">
        <v>7</v>
      </c>
      <c r="H1415" s="1">
        <v>1</v>
      </c>
    </row>
    <row r="1416" spans="1:63" x14ac:dyDescent="0.3">
      <c r="A1416" s="1" t="s">
        <v>49</v>
      </c>
      <c r="B1416" s="7">
        <v>40755</v>
      </c>
      <c r="C1416" s="1">
        <v>7</v>
      </c>
      <c r="D1416" s="1">
        <v>126</v>
      </c>
      <c r="E1416" s="1">
        <v>3</v>
      </c>
      <c r="F1416" s="1">
        <v>8</v>
      </c>
      <c r="J1416" s="1">
        <v>1</v>
      </c>
    </row>
    <row r="1417" spans="1:63" x14ac:dyDescent="0.3">
      <c r="A1417" s="1" t="s">
        <v>49</v>
      </c>
      <c r="B1417" s="7">
        <v>40755</v>
      </c>
      <c r="C1417" s="1">
        <v>7</v>
      </c>
      <c r="D1417" s="1">
        <v>126</v>
      </c>
      <c r="E1417" s="1">
        <v>3</v>
      </c>
      <c r="F1417" s="1">
        <v>9</v>
      </c>
      <c r="H1417" s="1">
        <v>1</v>
      </c>
    </row>
    <row r="1418" spans="1:63" x14ac:dyDescent="0.3">
      <c r="A1418" s="1" t="s">
        <v>49</v>
      </c>
      <c r="B1418" s="7">
        <v>40755</v>
      </c>
      <c r="C1418" s="1">
        <v>7</v>
      </c>
      <c r="D1418" s="1">
        <v>126</v>
      </c>
      <c r="E1418" s="1">
        <v>3</v>
      </c>
      <c r="F1418" s="1">
        <v>10</v>
      </c>
      <c r="H1418" s="1">
        <v>1</v>
      </c>
      <c r="R1418" s="3">
        <v>0</v>
      </c>
      <c r="S1418" s="3">
        <v>1</v>
      </c>
    </row>
    <row r="1419" spans="1:63" x14ac:dyDescent="0.3">
      <c r="A1419" s="1" t="s">
        <v>49</v>
      </c>
      <c r="B1419" s="7">
        <v>40755</v>
      </c>
      <c r="C1419" s="1">
        <v>7</v>
      </c>
      <c r="D1419" s="1">
        <v>126</v>
      </c>
      <c r="E1419" s="1">
        <v>3</v>
      </c>
      <c r="F1419" s="1">
        <v>11</v>
      </c>
      <c r="H1419" s="1">
        <v>1</v>
      </c>
      <c r="I1419" s="1">
        <v>1</v>
      </c>
    </row>
    <row r="1420" spans="1:63" x14ac:dyDescent="0.3">
      <c r="A1420" s="1" t="s">
        <v>49</v>
      </c>
      <c r="B1420" s="7">
        <v>40755</v>
      </c>
      <c r="C1420" s="1">
        <v>7</v>
      </c>
      <c r="D1420" s="1">
        <v>126</v>
      </c>
      <c r="E1420" s="1">
        <v>3</v>
      </c>
      <c r="F1420" s="1">
        <v>12</v>
      </c>
      <c r="I1420" s="1">
        <v>1</v>
      </c>
      <c r="J1420" s="1">
        <v>1</v>
      </c>
    </row>
    <row r="1421" spans="1:63" x14ac:dyDescent="0.3">
      <c r="A1421" s="1" t="s">
        <v>49</v>
      </c>
      <c r="B1421" s="7">
        <v>40755</v>
      </c>
      <c r="C1421" s="1">
        <v>7</v>
      </c>
      <c r="D1421" s="1">
        <v>126</v>
      </c>
      <c r="E1421" s="1">
        <v>3</v>
      </c>
      <c r="F1421" s="1">
        <v>13</v>
      </c>
      <c r="H1421" s="1">
        <v>1</v>
      </c>
      <c r="I1421" s="1">
        <v>1</v>
      </c>
    </row>
    <row r="1422" spans="1:63" x14ac:dyDescent="0.3">
      <c r="A1422" s="1" t="s">
        <v>49</v>
      </c>
      <c r="B1422" s="7">
        <v>40755</v>
      </c>
      <c r="C1422" s="1">
        <v>7</v>
      </c>
      <c r="D1422" s="1">
        <v>126</v>
      </c>
      <c r="E1422" s="1">
        <v>3</v>
      </c>
      <c r="F1422" s="1">
        <v>14</v>
      </c>
      <c r="J1422" s="3">
        <v>0</v>
      </c>
      <c r="K1422" s="3">
        <v>1</v>
      </c>
    </row>
    <row r="1423" spans="1:63" x14ac:dyDescent="0.3">
      <c r="A1423" s="1" t="s">
        <v>49</v>
      </c>
      <c r="B1423" s="7">
        <v>40755</v>
      </c>
      <c r="C1423" s="1">
        <v>7</v>
      </c>
      <c r="D1423" s="1">
        <v>126</v>
      </c>
      <c r="E1423" s="1">
        <v>3</v>
      </c>
      <c r="F1423" s="1">
        <v>15</v>
      </c>
      <c r="R1423" s="1">
        <v>1</v>
      </c>
    </row>
    <row r="1424" spans="1:63" x14ac:dyDescent="0.3">
      <c r="A1424" s="1" t="s">
        <v>49</v>
      </c>
      <c r="B1424" s="7">
        <v>40755</v>
      </c>
      <c r="C1424" s="1">
        <v>7</v>
      </c>
      <c r="D1424" s="1">
        <v>126</v>
      </c>
      <c r="E1424" s="1">
        <v>3</v>
      </c>
      <c r="F1424" s="1">
        <v>16</v>
      </c>
      <c r="H1424" s="1">
        <v>1</v>
      </c>
    </row>
    <row r="1425" spans="1:60" x14ac:dyDescent="0.3">
      <c r="A1425" s="1" t="s">
        <v>49</v>
      </c>
      <c r="B1425" s="7">
        <v>40755</v>
      </c>
      <c r="C1425" s="1">
        <v>7</v>
      </c>
      <c r="D1425" s="1">
        <v>126</v>
      </c>
      <c r="E1425" s="1">
        <v>3</v>
      </c>
      <c r="F1425" s="1">
        <v>17</v>
      </c>
      <c r="H1425" s="1">
        <v>1</v>
      </c>
    </row>
    <row r="1426" spans="1:60" x14ac:dyDescent="0.3">
      <c r="A1426" s="1" t="s">
        <v>49</v>
      </c>
      <c r="B1426" s="7">
        <v>40755</v>
      </c>
      <c r="C1426" s="1">
        <v>7</v>
      </c>
      <c r="D1426" s="1">
        <v>126</v>
      </c>
      <c r="E1426" s="1">
        <v>3</v>
      </c>
      <c r="F1426" s="1">
        <v>18</v>
      </c>
      <c r="H1426" s="1">
        <v>1</v>
      </c>
      <c r="J1426" s="1">
        <v>1</v>
      </c>
    </row>
    <row r="1427" spans="1:60" x14ac:dyDescent="0.3">
      <c r="A1427" s="1" t="s">
        <v>49</v>
      </c>
      <c r="B1427" s="7">
        <v>40755</v>
      </c>
      <c r="C1427" s="1">
        <v>7</v>
      </c>
      <c r="D1427" s="1">
        <v>126</v>
      </c>
      <c r="E1427" s="1">
        <v>3</v>
      </c>
      <c r="F1427" s="1">
        <v>19</v>
      </c>
      <c r="R1427" s="1">
        <v>1</v>
      </c>
    </row>
    <row r="1428" spans="1:60" x14ac:dyDescent="0.3">
      <c r="A1428" s="1" t="s">
        <v>49</v>
      </c>
      <c r="B1428" s="7">
        <v>40755</v>
      </c>
      <c r="C1428" s="1">
        <v>7</v>
      </c>
      <c r="D1428" s="1">
        <v>126</v>
      </c>
      <c r="E1428" s="1">
        <v>3</v>
      </c>
      <c r="F1428" s="1">
        <v>20</v>
      </c>
      <c r="H1428" s="1">
        <v>1</v>
      </c>
      <c r="I1428" s="1">
        <v>1</v>
      </c>
      <c r="R1428" s="3">
        <v>0</v>
      </c>
      <c r="S1428" s="3">
        <v>1</v>
      </c>
    </row>
    <row r="1429" spans="1:60" x14ac:dyDescent="0.3">
      <c r="A1429" s="1" t="s">
        <v>49</v>
      </c>
      <c r="B1429" s="7">
        <v>40755</v>
      </c>
      <c r="C1429" s="1">
        <v>7</v>
      </c>
      <c r="D1429" s="1">
        <v>126</v>
      </c>
      <c r="E1429" s="1">
        <v>3</v>
      </c>
      <c r="F1429" s="1">
        <v>21</v>
      </c>
      <c r="J1429" s="3">
        <v>0</v>
      </c>
      <c r="K1429" s="3">
        <v>1</v>
      </c>
    </row>
    <row r="1430" spans="1:60" x14ac:dyDescent="0.3">
      <c r="A1430" s="1" t="s">
        <v>49</v>
      </c>
      <c r="B1430" s="7">
        <v>40755</v>
      </c>
      <c r="C1430" s="1">
        <v>7</v>
      </c>
      <c r="D1430" s="1">
        <v>126</v>
      </c>
      <c r="E1430" s="1">
        <v>3</v>
      </c>
      <c r="F1430" s="1">
        <v>22</v>
      </c>
      <c r="J1430" s="1">
        <v>1</v>
      </c>
    </row>
    <row r="1431" spans="1:60" x14ac:dyDescent="0.3">
      <c r="A1431" s="1" t="s">
        <v>49</v>
      </c>
      <c r="B1431" s="7">
        <v>40755</v>
      </c>
      <c r="C1431" s="1">
        <v>7</v>
      </c>
      <c r="D1431" s="1">
        <v>126</v>
      </c>
      <c r="E1431" s="1">
        <v>3</v>
      </c>
      <c r="F1431" s="1">
        <v>23</v>
      </c>
      <c r="I1431" s="1">
        <v>1</v>
      </c>
      <c r="R1431" s="3">
        <v>0</v>
      </c>
      <c r="S1431" s="3">
        <v>1</v>
      </c>
    </row>
    <row r="1432" spans="1:60" x14ac:dyDescent="0.3">
      <c r="A1432" s="1" t="s">
        <v>49</v>
      </c>
      <c r="B1432" s="7">
        <v>40755</v>
      </c>
      <c r="C1432" s="1">
        <v>7</v>
      </c>
      <c r="D1432" s="1">
        <v>126</v>
      </c>
      <c r="E1432" s="1">
        <v>3</v>
      </c>
      <c r="F1432" s="1">
        <v>24</v>
      </c>
      <c r="J1432" s="1">
        <v>1</v>
      </c>
    </row>
    <row r="1433" spans="1:60" x14ac:dyDescent="0.3">
      <c r="A1433" s="1" t="s">
        <v>49</v>
      </c>
      <c r="B1433" s="7">
        <v>40755</v>
      </c>
      <c r="C1433" s="1">
        <v>7</v>
      </c>
      <c r="D1433" s="1">
        <v>126</v>
      </c>
      <c r="E1433" s="1">
        <v>3</v>
      </c>
      <c r="F1433" s="1">
        <v>25</v>
      </c>
      <c r="H1433" s="1">
        <v>1</v>
      </c>
      <c r="BG1433" s="3">
        <v>0</v>
      </c>
      <c r="BH1433" s="3">
        <v>1</v>
      </c>
    </row>
    <row r="1434" spans="1:60" x14ac:dyDescent="0.3">
      <c r="A1434" s="1" t="s">
        <v>49</v>
      </c>
      <c r="B1434" s="7">
        <v>40755</v>
      </c>
      <c r="C1434" s="1">
        <v>7</v>
      </c>
      <c r="D1434" s="1">
        <v>126</v>
      </c>
      <c r="E1434" s="1">
        <v>3</v>
      </c>
      <c r="F1434" s="1">
        <v>26</v>
      </c>
      <c r="H1434" s="1">
        <v>1</v>
      </c>
    </row>
    <row r="1435" spans="1:60" x14ac:dyDescent="0.3">
      <c r="A1435" s="1" t="s">
        <v>49</v>
      </c>
      <c r="B1435" s="7">
        <v>40755</v>
      </c>
      <c r="C1435" s="1">
        <v>7</v>
      </c>
      <c r="D1435" s="1">
        <v>126</v>
      </c>
      <c r="E1435" s="1">
        <v>3</v>
      </c>
      <c r="F1435" s="1">
        <v>27</v>
      </c>
      <c r="J1435" s="1">
        <v>1</v>
      </c>
    </row>
    <row r="1436" spans="1:60" x14ac:dyDescent="0.3">
      <c r="A1436" s="1" t="s">
        <v>49</v>
      </c>
      <c r="B1436" s="7">
        <v>40755</v>
      </c>
      <c r="C1436" s="1">
        <v>7</v>
      </c>
      <c r="D1436" s="1">
        <v>126</v>
      </c>
      <c r="E1436" s="1">
        <v>3</v>
      </c>
      <c r="F1436" s="1">
        <v>28</v>
      </c>
      <c r="J1436" s="3">
        <v>0</v>
      </c>
      <c r="K1436" s="3">
        <v>1</v>
      </c>
    </row>
    <row r="1437" spans="1:60" x14ac:dyDescent="0.3">
      <c r="A1437" s="1" t="s">
        <v>49</v>
      </c>
      <c r="B1437" s="7">
        <v>40755</v>
      </c>
      <c r="C1437" s="1">
        <v>7</v>
      </c>
      <c r="D1437" s="1">
        <v>126</v>
      </c>
      <c r="E1437" s="1">
        <v>3</v>
      </c>
      <c r="F1437" s="1">
        <v>29</v>
      </c>
    </row>
    <row r="1438" spans="1:60" x14ac:dyDescent="0.3">
      <c r="A1438" s="1" t="s">
        <v>49</v>
      </c>
      <c r="B1438" s="7">
        <v>40755</v>
      </c>
      <c r="C1438" s="1">
        <v>7</v>
      </c>
      <c r="D1438" s="1">
        <v>126</v>
      </c>
      <c r="E1438" s="1">
        <v>3</v>
      </c>
      <c r="F1438" s="1">
        <v>30</v>
      </c>
      <c r="I1438" s="1">
        <v>1</v>
      </c>
      <c r="R1438" s="1">
        <v>1</v>
      </c>
      <c r="T1438" s="1">
        <v>1</v>
      </c>
    </row>
    <row r="1439" spans="1:60" x14ac:dyDescent="0.3">
      <c r="A1439" s="1" t="s">
        <v>49</v>
      </c>
      <c r="B1439" s="7">
        <v>40755</v>
      </c>
      <c r="C1439" s="1">
        <v>7</v>
      </c>
      <c r="D1439" s="1">
        <v>126</v>
      </c>
      <c r="E1439" s="1">
        <v>3</v>
      </c>
      <c r="F1439" s="1">
        <v>31</v>
      </c>
      <c r="J1439" s="3">
        <v>0</v>
      </c>
      <c r="K1439" s="3">
        <v>1</v>
      </c>
    </row>
    <row r="1440" spans="1:60" x14ac:dyDescent="0.3">
      <c r="A1440" s="1" t="s">
        <v>49</v>
      </c>
      <c r="B1440" s="7">
        <v>40755</v>
      </c>
      <c r="C1440" s="1">
        <v>7</v>
      </c>
      <c r="D1440" s="1">
        <v>126</v>
      </c>
      <c r="E1440" s="1">
        <v>3</v>
      </c>
      <c r="F1440" s="1">
        <v>32</v>
      </c>
      <c r="H1440" s="1">
        <v>1</v>
      </c>
      <c r="J1440" s="1">
        <v>1</v>
      </c>
    </row>
    <row r="1441" spans="1:32" x14ac:dyDescent="0.3">
      <c r="A1441" s="1" t="s">
        <v>49</v>
      </c>
      <c r="B1441" s="7">
        <v>40755</v>
      </c>
      <c r="C1441" s="1">
        <v>7</v>
      </c>
      <c r="D1441" s="1">
        <v>126</v>
      </c>
      <c r="E1441" s="1">
        <v>3</v>
      </c>
      <c r="F1441" s="1">
        <v>33</v>
      </c>
      <c r="I1441" s="1">
        <v>1</v>
      </c>
      <c r="J1441" s="1">
        <v>1</v>
      </c>
    </row>
    <row r="1442" spans="1:32" x14ac:dyDescent="0.3">
      <c r="A1442" s="1" t="s">
        <v>49</v>
      </c>
      <c r="B1442" s="7">
        <v>40755</v>
      </c>
      <c r="C1442" s="1">
        <v>7</v>
      </c>
      <c r="D1442" s="1">
        <v>126</v>
      </c>
      <c r="E1442" s="1">
        <v>3</v>
      </c>
      <c r="F1442" s="1">
        <v>34</v>
      </c>
      <c r="R1442" s="1">
        <v>1</v>
      </c>
    </row>
    <row r="1443" spans="1:32" x14ac:dyDescent="0.3">
      <c r="A1443" s="1" t="s">
        <v>49</v>
      </c>
      <c r="B1443" s="7">
        <v>40755</v>
      </c>
      <c r="C1443" s="1">
        <v>7</v>
      </c>
      <c r="D1443" s="1">
        <v>126</v>
      </c>
      <c r="E1443" s="1">
        <v>3</v>
      </c>
      <c r="F1443" s="1">
        <v>35</v>
      </c>
      <c r="H1443" s="1">
        <v>1</v>
      </c>
    </row>
    <row r="1444" spans="1:32" x14ac:dyDescent="0.3">
      <c r="A1444" s="1" t="s">
        <v>49</v>
      </c>
      <c r="B1444" s="7">
        <v>40755</v>
      </c>
      <c r="C1444" s="1">
        <v>7</v>
      </c>
      <c r="D1444" s="1">
        <v>126</v>
      </c>
      <c r="E1444" s="1">
        <v>3</v>
      </c>
      <c r="F1444" s="1">
        <v>36</v>
      </c>
      <c r="J1444" s="3">
        <v>0</v>
      </c>
      <c r="K1444" s="3">
        <v>1</v>
      </c>
    </row>
    <row r="1445" spans="1:32" x14ac:dyDescent="0.3">
      <c r="A1445" s="1" t="s">
        <v>49</v>
      </c>
      <c r="B1445" s="7">
        <v>40755</v>
      </c>
      <c r="C1445" s="1">
        <v>7</v>
      </c>
      <c r="D1445" s="1">
        <v>126</v>
      </c>
      <c r="E1445" s="1">
        <v>3</v>
      </c>
      <c r="F1445" s="1">
        <v>37</v>
      </c>
      <c r="H1445" s="1">
        <v>1</v>
      </c>
    </row>
    <row r="1446" spans="1:32" x14ac:dyDescent="0.3">
      <c r="A1446" s="1" t="s">
        <v>49</v>
      </c>
      <c r="B1446" s="7">
        <v>40755</v>
      </c>
      <c r="C1446" s="1">
        <v>7</v>
      </c>
      <c r="D1446" s="1">
        <v>126</v>
      </c>
      <c r="E1446" s="1">
        <v>3</v>
      </c>
      <c r="F1446" s="1">
        <v>38</v>
      </c>
      <c r="J1446" s="3">
        <v>0</v>
      </c>
      <c r="K1446" s="3">
        <v>1</v>
      </c>
    </row>
    <row r="1447" spans="1:32" x14ac:dyDescent="0.3">
      <c r="A1447" s="1" t="s">
        <v>49</v>
      </c>
      <c r="B1447" s="7">
        <v>40755</v>
      </c>
      <c r="C1447" s="1">
        <v>7</v>
      </c>
      <c r="D1447" s="1">
        <v>126</v>
      </c>
      <c r="E1447" s="1">
        <v>3</v>
      </c>
      <c r="F1447" s="1">
        <v>39</v>
      </c>
      <c r="R1447" s="3">
        <v>0</v>
      </c>
      <c r="S1447" s="3">
        <v>1</v>
      </c>
    </row>
    <row r="1448" spans="1:32" x14ac:dyDescent="0.3">
      <c r="A1448" s="1" t="s">
        <v>49</v>
      </c>
      <c r="B1448" s="7">
        <v>40755</v>
      </c>
      <c r="C1448" s="1">
        <v>7</v>
      </c>
      <c r="D1448" s="1">
        <v>126</v>
      </c>
      <c r="E1448" s="1">
        <v>3</v>
      </c>
      <c r="F1448" s="1">
        <v>40</v>
      </c>
      <c r="T1448" s="1">
        <v>1</v>
      </c>
    </row>
    <row r="1449" spans="1:32" x14ac:dyDescent="0.3">
      <c r="A1449" s="1" t="s">
        <v>49</v>
      </c>
      <c r="B1449" s="7">
        <v>40755</v>
      </c>
      <c r="C1449" s="1">
        <v>7</v>
      </c>
      <c r="D1449" s="1">
        <v>126</v>
      </c>
      <c r="E1449" s="1">
        <v>3</v>
      </c>
      <c r="F1449" s="1">
        <v>41</v>
      </c>
      <c r="I1449" s="1">
        <v>1</v>
      </c>
    </row>
    <row r="1450" spans="1:32" x14ac:dyDescent="0.3">
      <c r="A1450" s="1" t="s">
        <v>49</v>
      </c>
      <c r="B1450" s="7">
        <v>40755</v>
      </c>
      <c r="C1450" s="1">
        <v>7</v>
      </c>
      <c r="D1450" s="1">
        <v>126</v>
      </c>
      <c r="E1450" s="1">
        <v>3</v>
      </c>
      <c r="F1450" s="1">
        <v>42</v>
      </c>
      <c r="J1450" s="3">
        <v>0</v>
      </c>
      <c r="K1450" s="3">
        <v>1</v>
      </c>
      <c r="R1450" s="1">
        <v>1</v>
      </c>
    </row>
    <row r="1451" spans="1:32" x14ac:dyDescent="0.3">
      <c r="A1451" s="1" t="s">
        <v>49</v>
      </c>
      <c r="B1451" s="7">
        <v>40755</v>
      </c>
      <c r="C1451" s="1">
        <v>7</v>
      </c>
      <c r="D1451" s="1">
        <v>126</v>
      </c>
      <c r="E1451" s="1">
        <v>3</v>
      </c>
      <c r="F1451" s="1">
        <v>43</v>
      </c>
      <c r="J1451" s="1">
        <v>1</v>
      </c>
    </row>
    <row r="1452" spans="1:32" x14ac:dyDescent="0.3">
      <c r="A1452" s="1" t="s">
        <v>49</v>
      </c>
      <c r="B1452" s="7">
        <v>40755</v>
      </c>
      <c r="C1452" s="1">
        <v>7</v>
      </c>
      <c r="D1452" s="1">
        <v>126</v>
      </c>
      <c r="E1452" s="1">
        <v>3</v>
      </c>
      <c r="F1452" s="1">
        <v>44</v>
      </c>
      <c r="R1452" s="1">
        <v>1</v>
      </c>
    </row>
    <row r="1453" spans="1:32" x14ac:dyDescent="0.3">
      <c r="A1453" s="1" t="s">
        <v>49</v>
      </c>
      <c r="B1453" s="7">
        <v>40755</v>
      </c>
      <c r="C1453" s="1">
        <v>7</v>
      </c>
      <c r="D1453" s="1">
        <v>126</v>
      </c>
      <c r="E1453" s="1">
        <v>3</v>
      </c>
      <c r="F1453" s="1">
        <v>45</v>
      </c>
      <c r="J1453" s="1">
        <v>1</v>
      </c>
    </row>
    <row r="1454" spans="1:32" x14ac:dyDescent="0.3">
      <c r="A1454" s="1" t="s">
        <v>49</v>
      </c>
      <c r="B1454" s="7">
        <v>40755</v>
      </c>
      <c r="C1454" s="1">
        <v>7</v>
      </c>
      <c r="D1454" s="1">
        <v>126</v>
      </c>
      <c r="E1454" s="1">
        <v>3</v>
      </c>
      <c r="F1454" s="1">
        <v>46</v>
      </c>
      <c r="AF1454" s="1">
        <v>1</v>
      </c>
    </row>
    <row r="1455" spans="1:32" x14ac:dyDescent="0.3">
      <c r="A1455" s="1" t="s">
        <v>49</v>
      </c>
      <c r="B1455" s="7">
        <v>40755</v>
      </c>
      <c r="C1455" s="1">
        <v>7</v>
      </c>
      <c r="D1455" s="1">
        <v>126</v>
      </c>
      <c r="E1455" s="1">
        <v>3</v>
      </c>
      <c r="F1455" s="1">
        <v>47</v>
      </c>
      <c r="I1455" s="1">
        <v>1</v>
      </c>
      <c r="AF1455" s="1">
        <v>1</v>
      </c>
    </row>
    <row r="1456" spans="1:32" x14ac:dyDescent="0.3">
      <c r="A1456" s="1" t="s">
        <v>49</v>
      </c>
      <c r="B1456" s="7">
        <v>40755</v>
      </c>
      <c r="C1456" s="1">
        <v>7</v>
      </c>
      <c r="D1456" s="1">
        <v>126</v>
      </c>
      <c r="E1456" s="1">
        <v>3</v>
      </c>
      <c r="F1456" s="1">
        <v>48</v>
      </c>
      <c r="J1456" s="1">
        <v>1</v>
      </c>
    </row>
    <row r="1457" spans="1:32" x14ac:dyDescent="0.3">
      <c r="A1457" s="1" t="s">
        <v>49</v>
      </c>
      <c r="B1457" s="7">
        <v>40755</v>
      </c>
      <c r="C1457" s="1">
        <v>7</v>
      </c>
      <c r="D1457" s="1">
        <v>126</v>
      </c>
      <c r="E1457" s="1">
        <v>3</v>
      </c>
      <c r="F1457" s="1">
        <v>49</v>
      </c>
      <c r="J1457" s="1">
        <v>1</v>
      </c>
    </row>
    <row r="1458" spans="1:32" x14ac:dyDescent="0.3">
      <c r="A1458" s="1" t="s">
        <v>49</v>
      </c>
      <c r="B1458" s="7">
        <v>40755</v>
      </c>
      <c r="C1458" s="1">
        <v>7</v>
      </c>
      <c r="D1458" s="1">
        <v>126</v>
      </c>
      <c r="E1458" s="1">
        <v>3</v>
      </c>
      <c r="F1458" s="1">
        <v>50</v>
      </c>
      <c r="I1458" s="1">
        <v>1</v>
      </c>
      <c r="R1458" s="1">
        <v>1</v>
      </c>
    </row>
    <row r="1459" spans="1:32" x14ac:dyDescent="0.3">
      <c r="A1459" s="1" t="s">
        <v>49</v>
      </c>
      <c r="B1459" s="7">
        <v>40755</v>
      </c>
      <c r="C1459" s="1">
        <v>7</v>
      </c>
      <c r="D1459" s="1">
        <v>126</v>
      </c>
      <c r="E1459" s="1">
        <v>3</v>
      </c>
      <c r="F1459" s="1">
        <v>51</v>
      </c>
      <c r="J1459" s="1">
        <v>1</v>
      </c>
    </row>
    <row r="1460" spans="1:32" x14ac:dyDescent="0.3">
      <c r="A1460" s="1" t="s">
        <v>49</v>
      </c>
      <c r="B1460" s="7">
        <v>40755</v>
      </c>
      <c r="C1460" s="1">
        <v>7</v>
      </c>
      <c r="D1460" s="1">
        <v>126</v>
      </c>
      <c r="E1460" s="1">
        <v>3</v>
      </c>
      <c r="F1460" s="1">
        <v>52</v>
      </c>
      <c r="J1460" s="3">
        <v>0</v>
      </c>
      <c r="K1460" s="3">
        <v>1</v>
      </c>
    </row>
    <row r="1461" spans="1:32" x14ac:dyDescent="0.3">
      <c r="A1461" s="1" t="s">
        <v>49</v>
      </c>
      <c r="B1461" s="7">
        <v>40755</v>
      </c>
      <c r="C1461" s="1">
        <v>7</v>
      </c>
      <c r="D1461" s="1">
        <v>126</v>
      </c>
      <c r="E1461" s="1">
        <v>3</v>
      </c>
      <c r="F1461" s="1">
        <v>53</v>
      </c>
      <c r="H1461" s="1">
        <v>1</v>
      </c>
      <c r="I1461" s="1">
        <v>1</v>
      </c>
    </row>
    <row r="1462" spans="1:32" x14ac:dyDescent="0.3">
      <c r="A1462" s="1" t="s">
        <v>49</v>
      </c>
      <c r="B1462" s="7">
        <v>40755</v>
      </c>
      <c r="C1462" s="1">
        <v>7</v>
      </c>
      <c r="D1462" s="1">
        <v>126</v>
      </c>
      <c r="E1462" s="1">
        <v>3</v>
      </c>
      <c r="F1462" s="1">
        <v>54</v>
      </c>
      <c r="R1462" s="1">
        <v>1</v>
      </c>
    </row>
    <row r="1463" spans="1:32" x14ac:dyDescent="0.3">
      <c r="A1463" s="1" t="s">
        <v>49</v>
      </c>
      <c r="B1463" s="7">
        <v>40755</v>
      </c>
      <c r="C1463" s="1">
        <v>7</v>
      </c>
      <c r="D1463" s="1">
        <v>126</v>
      </c>
      <c r="E1463" s="1">
        <v>3</v>
      </c>
      <c r="F1463" s="1">
        <v>55</v>
      </c>
      <c r="I1463" s="1">
        <v>1</v>
      </c>
    </row>
    <row r="1464" spans="1:32" x14ac:dyDescent="0.3">
      <c r="A1464" s="1" t="s">
        <v>49</v>
      </c>
      <c r="B1464" s="7">
        <v>40755</v>
      </c>
      <c r="C1464" s="1">
        <v>7</v>
      </c>
      <c r="D1464" s="1">
        <v>126</v>
      </c>
      <c r="E1464" s="1">
        <v>3</v>
      </c>
      <c r="F1464" s="1">
        <v>56</v>
      </c>
      <c r="I1464" s="1">
        <v>1</v>
      </c>
      <c r="AF1464" s="1">
        <v>1</v>
      </c>
    </row>
    <row r="1465" spans="1:32" x14ac:dyDescent="0.3">
      <c r="A1465" s="1" t="s">
        <v>49</v>
      </c>
      <c r="B1465" s="7">
        <v>40755</v>
      </c>
      <c r="C1465" s="1">
        <v>7</v>
      </c>
      <c r="D1465" s="1">
        <v>126</v>
      </c>
      <c r="E1465" s="1">
        <v>3</v>
      </c>
      <c r="F1465" s="1">
        <v>57</v>
      </c>
      <c r="AF1465" s="1">
        <v>1</v>
      </c>
    </row>
    <row r="1466" spans="1:32" x14ac:dyDescent="0.3">
      <c r="A1466" s="1" t="s">
        <v>49</v>
      </c>
      <c r="B1466" s="7">
        <v>40755</v>
      </c>
      <c r="C1466" s="1">
        <v>7</v>
      </c>
      <c r="D1466" s="1">
        <v>126</v>
      </c>
      <c r="E1466" s="1">
        <v>3</v>
      </c>
      <c r="F1466" s="1">
        <v>58</v>
      </c>
      <c r="T1466" s="1">
        <v>1</v>
      </c>
    </row>
    <row r="1467" spans="1:32" x14ac:dyDescent="0.3">
      <c r="A1467" s="1" t="s">
        <v>49</v>
      </c>
      <c r="B1467" s="7">
        <v>40755</v>
      </c>
      <c r="C1467" s="1">
        <v>7</v>
      </c>
      <c r="D1467" s="1">
        <v>126</v>
      </c>
      <c r="E1467" s="1">
        <v>3</v>
      </c>
      <c r="F1467" s="1">
        <v>59</v>
      </c>
    </row>
    <row r="1468" spans="1:32" x14ac:dyDescent="0.3">
      <c r="A1468" s="1" t="s">
        <v>49</v>
      </c>
      <c r="B1468" s="7">
        <v>40755</v>
      </c>
      <c r="C1468" s="1">
        <v>7</v>
      </c>
      <c r="D1468" s="1">
        <v>126</v>
      </c>
      <c r="E1468" s="1">
        <v>3</v>
      </c>
      <c r="F1468" s="1">
        <v>60</v>
      </c>
    </row>
    <row r="1469" spans="1:32" x14ac:dyDescent="0.3">
      <c r="A1469" s="1" t="s">
        <v>49</v>
      </c>
      <c r="B1469" s="7">
        <v>40755</v>
      </c>
      <c r="C1469" s="1">
        <v>7</v>
      </c>
      <c r="D1469" s="1">
        <v>126</v>
      </c>
      <c r="E1469" s="1">
        <v>3</v>
      </c>
      <c r="F1469" s="1">
        <v>61</v>
      </c>
      <c r="J1469" s="3">
        <v>0</v>
      </c>
      <c r="K1469" s="3">
        <v>1</v>
      </c>
    </row>
    <row r="1470" spans="1:32" x14ac:dyDescent="0.3">
      <c r="A1470" s="1" t="s">
        <v>49</v>
      </c>
      <c r="B1470" s="7">
        <v>40755</v>
      </c>
      <c r="C1470" s="1">
        <v>7</v>
      </c>
      <c r="D1470" s="1">
        <v>126</v>
      </c>
      <c r="E1470" s="1">
        <v>3</v>
      </c>
      <c r="F1470" s="1">
        <v>62</v>
      </c>
      <c r="J1470" s="3">
        <v>0</v>
      </c>
      <c r="K1470" s="3">
        <v>1</v>
      </c>
    </row>
    <row r="1471" spans="1:32" x14ac:dyDescent="0.3">
      <c r="A1471" s="1" t="s">
        <v>49</v>
      </c>
      <c r="B1471" s="7">
        <v>40755</v>
      </c>
      <c r="C1471" s="1">
        <v>7</v>
      </c>
      <c r="D1471" s="1">
        <v>126</v>
      </c>
      <c r="E1471" s="1">
        <v>3</v>
      </c>
      <c r="F1471" s="1">
        <v>63</v>
      </c>
      <c r="J1471" s="3">
        <v>0</v>
      </c>
      <c r="K1471" s="3">
        <v>1</v>
      </c>
    </row>
    <row r="1472" spans="1:32" x14ac:dyDescent="0.3">
      <c r="A1472" s="1" t="s">
        <v>49</v>
      </c>
      <c r="B1472" s="7">
        <v>40755</v>
      </c>
      <c r="C1472" s="1">
        <v>7</v>
      </c>
      <c r="D1472" s="1">
        <v>126</v>
      </c>
      <c r="E1472" s="1">
        <v>3</v>
      </c>
      <c r="F1472" s="1">
        <v>64</v>
      </c>
      <c r="J1472" s="1">
        <v>1</v>
      </c>
    </row>
    <row r="1473" spans="1:77" x14ac:dyDescent="0.3">
      <c r="A1473" s="1" t="s">
        <v>49</v>
      </c>
      <c r="B1473" s="7">
        <v>40755</v>
      </c>
      <c r="C1473" s="1">
        <v>7</v>
      </c>
      <c r="D1473" s="1">
        <v>126</v>
      </c>
      <c r="E1473" s="1">
        <v>3</v>
      </c>
      <c r="F1473" s="1">
        <v>65</v>
      </c>
      <c r="J1473" s="1">
        <v>1</v>
      </c>
    </row>
    <row r="1474" spans="1:77" x14ac:dyDescent="0.3">
      <c r="A1474" s="1" t="s">
        <v>49</v>
      </c>
      <c r="B1474" s="7">
        <v>40755</v>
      </c>
      <c r="C1474" s="1">
        <v>7</v>
      </c>
      <c r="D1474" s="1">
        <v>126</v>
      </c>
      <c r="E1474" s="1">
        <v>3</v>
      </c>
      <c r="F1474" s="1">
        <v>66</v>
      </c>
      <c r="BY1474" s="1">
        <v>1</v>
      </c>
    </row>
    <row r="1475" spans="1:77" x14ac:dyDescent="0.3">
      <c r="A1475" s="1" t="s">
        <v>49</v>
      </c>
      <c r="B1475" s="7">
        <v>40755</v>
      </c>
      <c r="C1475" s="1">
        <v>7</v>
      </c>
      <c r="D1475" s="1">
        <v>126</v>
      </c>
      <c r="E1475" s="1">
        <v>3</v>
      </c>
      <c r="F1475" s="1">
        <v>67</v>
      </c>
    </row>
    <row r="1476" spans="1:77" x14ac:dyDescent="0.3">
      <c r="A1476" s="1" t="s">
        <v>49</v>
      </c>
      <c r="B1476" s="7">
        <v>40755</v>
      </c>
      <c r="C1476" s="1">
        <v>7</v>
      </c>
      <c r="D1476" s="1">
        <v>126</v>
      </c>
      <c r="E1476" s="1">
        <v>3</v>
      </c>
      <c r="F1476" s="1">
        <v>68</v>
      </c>
    </row>
    <row r="1477" spans="1:77" x14ac:dyDescent="0.3">
      <c r="A1477" s="1" t="s">
        <v>49</v>
      </c>
      <c r="B1477" s="7">
        <v>40755</v>
      </c>
      <c r="C1477" s="1">
        <v>7</v>
      </c>
      <c r="D1477" s="1">
        <v>126</v>
      </c>
      <c r="E1477" s="1">
        <v>3</v>
      </c>
      <c r="F1477" s="1">
        <v>69</v>
      </c>
    </row>
    <row r="1478" spans="1:77" x14ac:dyDescent="0.3">
      <c r="A1478" s="1" t="s">
        <v>49</v>
      </c>
      <c r="B1478" s="7">
        <v>40755</v>
      </c>
      <c r="C1478" s="1">
        <v>7</v>
      </c>
      <c r="D1478" s="1">
        <v>126</v>
      </c>
      <c r="E1478" s="1">
        <v>3</v>
      </c>
      <c r="F1478" s="1">
        <v>70</v>
      </c>
      <c r="H1478" s="1">
        <v>1</v>
      </c>
    </row>
    <row r="1479" spans="1:77" x14ac:dyDescent="0.3">
      <c r="A1479" s="1" t="s">
        <v>49</v>
      </c>
      <c r="B1479" s="7">
        <v>40755</v>
      </c>
      <c r="C1479" s="1">
        <v>7</v>
      </c>
      <c r="D1479" s="1">
        <v>126</v>
      </c>
      <c r="E1479" s="1">
        <v>3</v>
      </c>
      <c r="F1479" s="1">
        <v>71</v>
      </c>
      <c r="J1479" s="1">
        <v>1</v>
      </c>
    </row>
    <row r="1480" spans="1:77" x14ac:dyDescent="0.3">
      <c r="A1480" s="1" t="s">
        <v>49</v>
      </c>
      <c r="B1480" s="7">
        <v>40755</v>
      </c>
      <c r="C1480" s="1">
        <v>7</v>
      </c>
      <c r="D1480" s="1">
        <v>126</v>
      </c>
      <c r="E1480" s="1">
        <v>3</v>
      </c>
      <c r="F1480" s="1">
        <v>72</v>
      </c>
      <c r="J1480" s="1">
        <v>1</v>
      </c>
      <c r="L1480" s="1">
        <v>1</v>
      </c>
    </row>
    <row r="1481" spans="1:77" x14ac:dyDescent="0.3">
      <c r="A1481" s="1" t="s">
        <v>49</v>
      </c>
      <c r="B1481" s="7">
        <v>40755</v>
      </c>
      <c r="C1481" s="1">
        <v>7</v>
      </c>
      <c r="D1481" s="1">
        <v>126</v>
      </c>
      <c r="E1481" s="1">
        <v>3</v>
      </c>
      <c r="F1481" s="1">
        <v>73</v>
      </c>
      <c r="J1481" s="3">
        <v>0</v>
      </c>
      <c r="K1481" s="3">
        <v>1</v>
      </c>
    </row>
    <row r="1482" spans="1:77" x14ac:dyDescent="0.3">
      <c r="A1482" s="1" t="s">
        <v>49</v>
      </c>
      <c r="B1482" s="7">
        <v>40755</v>
      </c>
      <c r="C1482" s="1">
        <v>7</v>
      </c>
      <c r="D1482" s="1">
        <v>126</v>
      </c>
      <c r="E1482" s="1">
        <v>3</v>
      </c>
      <c r="F1482" s="1">
        <v>74</v>
      </c>
    </row>
    <row r="1483" spans="1:77" x14ac:dyDescent="0.3">
      <c r="A1483" s="1" t="s">
        <v>49</v>
      </c>
      <c r="B1483" s="7">
        <v>40755</v>
      </c>
      <c r="C1483" s="1">
        <v>7</v>
      </c>
      <c r="D1483" s="1">
        <v>126</v>
      </c>
      <c r="E1483" s="1">
        <v>3</v>
      </c>
      <c r="F1483" s="1">
        <v>75</v>
      </c>
      <c r="H1483" s="1">
        <v>1</v>
      </c>
    </row>
    <row r="1484" spans="1:77" x14ac:dyDescent="0.3">
      <c r="A1484" s="1" t="s">
        <v>49</v>
      </c>
      <c r="B1484" s="7">
        <v>40755</v>
      </c>
      <c r="C1484" s="1">
        <v>7</v>
      </c>
      <c r="D1484" s="1">
        <v>126</v>
      </c>
      <c r="E1484" s="1">
        <v>3</v>
      </c>
      <c r="F1484" s="1">
        <v>76</v>
      </c>
    </row>
    <row r="1485" spans="1:77" x14ac:dyDescent="0.3">
      <c r="A1485" s="1" t="s">
        <v>49</v>
      </c>
      <c r="B1485" s="7">
        <v>40755</v>
      </c>
      <c r="C1485" s="1">
        <v>7</v>
      </c>
      <c r="D1485" s="1">
        <v>126</v>
      </c>
      <c r="E1485" s="1">
        <v>3</v>
      </c>
      <c r="F1485" s="1">
        <v>77</v>
      </c>
    </row>
    <row r="1486" spans="1:77" x14ac:dyDescent="0.3">
      <c r="A1486" s="1" t="s">
        <v>49</v>
      </c>
      <c r="B1486" s="7">
        <v>40755</v>
      </c>
      <c r="C1486" s="1">
        <v>7</v>
      </c>
      <c r="D1486" s="1">
        <v>126</v>
      </c>
      <c r="E1486" s="1">
        <v>3</v>
      </c>
      <c r="F1486" s="1">
        <v>78</v>
      </c>
      <c r="H1486" s="1">
        <v>1</v>
      </c>
    </row>
    <row r="1487" spans="1:77" x14ac:dyDescent="0.3">
      <c r="A1487" s="1" t="s">
        <v>49</v>
      </c>
      <c r="B1487" s="7">
        <v>40755</v>
      </c>
      <c r="C1487" s="1">
        <v>7</v>
      </c>
      <c r="D1487" s="1">
        <v>126</v>
      </c>
      <c r="E1487" s="1">
        <v>3</v>
      </c>
      <c r="F1487" s="1">
        <v>79</v>
      </c>
    </row>
    <row r="1488" spans="1:77" x14ac:dyDescent="0.3">
      <c r="A1488" s="1" t="s">
        <v>49</v>
      </c>
      <c r="B1488" s="7">
        <v>40755</v>
      </c>
      <c r="C1488" s="1">
        <v>7</v>
      </c>
      <c r="D1488" s="1">
        <v>126</v>
      </c>
      <c r="E1488" s="1">
        <v>3</v>
      </c>
      <c r="F1488" s="1">
        <v>80</v>
      </c>
      <c r="J1488" s="3">
        <v>0</v>
      </c>
      <c r="K1488" s="3">
        <v>1</v>
      </c>
    </row>
    <row r="1489" spans="1:12" x14ac:dyDescent="0.3">
      <c r="A1489" s="1" t="s">
        <v>49</v>
      </c>
      <c r="B1489" s="7">
        <v>40755</v>
      </c>
      <c r="C1489" s="1">
        <v>7</v>
      </c>
      <c r="D1489" s="1">
        <v>126</v>
      </c>
      <c r="E1489" s="1">
        <v>3</v>
      </c>
      <c r="F1489" s="1">
        <v>81</v>
      </c>
      <c r="J1489" s="1">
        <v>1</v>
      </c>
    </row>
    <row r="1490" spans="1:12" x14ac:dyDescent="0.3">
      <c r="A1490" s="1" t="s">
        <v>49</v>
      </c>
      <c r="B1490" s="7">
        <v>40755</v>
      </c>
      <c r="C1490" s="1">
        <v>7</v>
      </c>
      <c r="D1490" s="1">
        <v>126</v>
      </c>
      <c r="E1490" s="1">
        <v>3</v>
      </c>
      <c r="F1490" s="1">
        <v>82</v>
      </c>
      <c r="L1490" s="1">
        <v>1</v>
      </c>
    </row>
    <row r="1491" spans="1:12" x14ac:dyDescent="0.3">
      <c r="A1491" s="1" t="s">
        <v>49</v>
      </c>
      <c r="B1491" s="7">
        <v>40755</v>
      </c>
      <c r="C1491" s="1">
        <v>7</v>
      </c>
      <c r="D1491" s="1">
        <v>126</v>
      </c>
      <c r="E1491" s="1">
        <v>3</v>
      </c>
      <c r="F1491" s="1">
        <v>83</v>
      </c>
      <c r="I1491" s="1">
        <v>1</v>
      </c>
      <c r="J1491" s="1">
        <v>1</v>
      </c>
    </row>
    <row r="1492" spans="1:12" x14ac:dyDescent="0.3">
      <c r="A1492" s="1" t="s">
        <v>49</v>
      </c>
      <c r="B1492" s="7">
        <v>40755</v>
      </c>
      <c r="C1492" s="1">
        <v>7</v>
      </c>
      <c r="D1492" s="1">
        <v>126</v>
      </c>
      <c r="E1492" s="1">
        <v>3</v>
      </c>
      <c r="F1492" s="1">
        <v>84</v>
      </c>
      <c r="I1492" s="1">
        <v>1</v>
      </c>
      <c r="J1492" s="3">
        <v>0</v>
      </c>
      <c r="K1492" s="3">
        <v>1</v>
      </c>
    </row>
    <row r="1493" spans="1:12" x14ac:dyDescent="0.3">
      <c r="A1493" s="1" t="s">
        <v>49</v>
      </c>
      <c r="B1493" s="7">
        <v>40755</v>
      </c>
      <c r="C1493" s="1">
        <v>7</v>
      </c>
      <c r="D1493" s="1">
        <v>126</v>
      </c>
      <c r="E1493" s="1">
        <v>3</v>
      </c>
      <c r="F1493" s="1">
        <v>85</v>
      </c>
      <c r="J1493" s="1">
        <v>1</v>
      </c>
    </row>
    <row r="1494" spans="1:12" x14ac:dyDescent="0.3">
      <c r="A1494" s="1" t="s">
        <v>49</v>
      </c>
      <c r="B1494" s="7">
        <v>40755</v>
      </c>
      <c r="C1494" s="1">
        <v>7</v>
      </c>
      <c r="D1494" s="1">
        <v>126</v>
      </c>
      <c r="E1494" s="1">
        <v>3</v>
      </c>
      <c r="F1494" s="1">
        <v>86</v>
      </c>
      <c r="H1494" s="1">
        <v>1</v>
      </c>
    </row>
    <row r="1495" spans="1:12" x14ac:dyDescent="0.3">
      <c r="A1495" s="1" t="s">
        <v>49</v>
      </c>
      <c r="B1495" s="7">
        <v>40755</v>
      </c>
      <c r="C1495" s="1">
        <v>7</v>
      </c>
      <c r="D1495" s="1">
        <v>126</v>
      </c>
      <c r="E1495" s="1">
        <v>3</v>
      </c>
      <c r="F1495" s="1">
        <v>87</v>
      </c>
    </row>
    <row r="1496" spans="1:12" x14ac:dyDescent="0.3">
      <c r="A1496" s="1" t="s">
        <v>49</v>
      </c>
      <c r="B1496" s="7">
        <v>40755</v>
      </c>
      <c r="C1496" s="1">
        <v>7</v>
      </c>
      <c r="D1496" s="1">
        <v>126</v>
      </c>
      <c r="E1496" s="1">
        <v>3</v>
      </c>
      <c r="F1496" s="1">
        <v>88</v>
      </c>
    </row>
    <row r="1497" spans="1:12" x14ac:dyDescent="0.3">
      <c r="A1497" s="1" t="s">
        <v>49</v>
      </c>
      <c r="B1497" s="7">
        <v>40755</v>
      </c>
      <c r="C1497" s="1">
        <v>7</v>
      </c>
      <c r="D1497" s="1">
        <v>126</v>
      </c>
      <c r="E1497" s="1">
        <v>3</v>
      </c>
      <c r="F1497" s="1">
        <v>89</v>
      </c>
      <c r="H1497" s="1">
        <v>1</v>
      </c>
      <c r="J1497" s="1">
        <v>1</v>
      </c>
    </row>
    <row r="1498" spans="1:12" x14ac:dyDescent="0.3">
      <c r="A1498" s="1" t="s">
        <v>49</v>
      </c>
      <c r="B1498" s="7">
        <v>40755</v>
      </c>
      <c r="C1498" s="1">
        <v>7</v>
      </c>
      <c r="D1498" s="1">
        <v>126</v>
      </c>
      <c r="E1498" s="1">
        <v>3</v>
      </c>
      <c r="F1498" s="1">
        <v>90</v>
      </c>
      <c r="L1498" s="1">
        <v>1</v>
      </c>
    </row>
    <row r="1499" spans="1:12" x14ac:dyDescent="0.3">
      <c r="A1499" s="1" t="s">
        <v>49</v>
      </c>
      <c r="B1499" s="7">
        <v>40755</v>
      </c>
      <c r="C1499" s="1">
        <v>7</v>
      </c>
      <c r="D1499" s="1">
        <v>126</v>
      </c>
      <c r="E1499" s="1">
        <v>3</v>
      </c>
      <c r="F1499" s="1">
        <v>91</v>
      </c>
      <c r="J1499" s="3">
        <v>0</v>
      </c>
      <c r="K1499" s="3">
        <v>1</v>
      </c>
    </row>
    <row r="1500" spans="1:12" x14ac:dyDescent="0.3">
      <c r="A1500" s="1" t="s">
        <v>49</v>
      </c>
      <c r="B1500" s="7">
        <v>40755</v>
      </c>
      <c r="C1500" s="1">
        <v>7</v>
      </c>
      <c r="D1500" s="1">
        <v>126</v>
      </c>
      <c r="E1500" s="1">
        <v>3</v>
      </c>
      <c r="F1500" s="1">
        <v>92</v>
      </c>
      <c r="J1500" s="1">
        <v>1</v>
      </c>
    </row>
    <row r="1501" spans="1:12" x14ac:dyDescent="0.3">
      <c r="A1501" s="1" t="s">
        <v>49</v>
      </c>
      <c r="B1501" s="7">
        <v>40755</v>
      </c>
      <c r="C1501" s="1">
        <v>7</v>
      </c>
      <c r="D1501" s="1">
        <v>126</v>
      </c>
      <c r="E1501" s="1">
        <v>3</v>
      </c>
      <c r="F1501" s="1">
        <v>93</v>
      </c>
      <c r="J1501" s="1">
        <v>1</v>
      </c>
    </row>
    <row r="1502" spans="1:12" x14ac:dyDescent="0.3">
      <c r="A1502" s="1" t="s">
        <v>49</v>
      </c>
      <c r="B1502" s="7">
        <v>40755</v>
      </c>
      <c r="C1502" s="1">
        <v>7</v>
      </c>
      <c r="D1502" s="1">
        <v>126</v>
      </c>
      <c r="E1502" s="1">
        <v>3</v>
      </c>
      <c r="F1502" s="1">
        <v>94</v>
      </c>
      <c r="L1502" s="1">
        <v>1</v>
      </c>
    </row>
    <row r="1503" spans="1:12" x14ac:dyDescent="0.3">
      <c r="A1503" s="1" t="s">
        <v>49</v>
      </c>
      <c r="B1503" s="7">
        <v>40755</v>
      </c>
      <c r="C1503" s="1">
        <v>7</v>
      </c>
      <c r="D1503" s="1">
        <v>126</v>
      </c>
      <c r="E1503" s="1">
        <v>3</v>
      </c>
      <c r="F1503" s="1">
        <v>95</v>
      </c>
      <c r="H1503" s="1">
        <v>1</v>
      </c>
    </row>
    <row r="1504" spans="1:12" x14ac:dyDescent="0.3">
      <c r="A1504" s="1" t="s">
        <v>49</v>
      </c>
      <c r="B1504" s="7">
        <v>40755</v>
      </c>
      <c r="C1504" s="1">
        <v>7</v>
      </c>
      <c r="D1504" s="1">
        <v>126</v>
      </c>
      <c r="E1504" s="1">
        <v>3</v>
      </c>
      <c r="F1504" s="1">
        <v>96</v>
      </c>
      <c r="H1504" s="1">
        <v>1</v>
      </c>
    </row>
    <row r="1505" spans="1:20" x14ac:dyDescent="0.3">
      <c r="A1505" s="1" t="s">
        <v>49</v>
      </c>
      <c r="B1505" s="7">
        <v>40755</v>
      </c>
      <c r="C1505" s="1">
        <v>7</v>
      </c>
      <c r="D1505" s="1">
        <v>126</v>
      </c>
      <c r="E1505" s="1">
        <v>3</v>
      </c>
      <c r="F1505" s="1">
        <v>97</v>
      </c>
      <c r="I1505" s="1">
        <v>1</v>
      </c>
      <c r="J1505" s="1">
        <v>1</v>
      </c>
    </row>
    <row r="1506" spans="1:20" x14ac:dyDescent="0.3">
      <c r="A1506" s="1" t="s">
        <v>49</v>
      </c>
      <c r="B1506" s="7">
        <v>40755</v>
      </c>
      <c r="C1506" s="1">
        <v>7</v>
      </c>
      <c r="D1506" s="1">
        <v>126</v>
      </c>
      <c r="E1506" s="1">
        <v>3</v>
      </c>
      <c r="F1506" s="1">
        <v>98</v>
      </c>
      <c r="L1506" s="1">
        <v>1</v>
      </c>
    </row>
    <row r="1507" spans="1:20" x14ac:dyDescent="0.3">
      <c r="A1507" s="1" t="s">
        <v>49</v>
      </c>
      <c r="B1507" s="7">
        <v>40755</v>
      </c>
      <c r="C1507" s="1">
        <v>7</v>
      </c>
      <c r="D1507" s="1">
        <v>126</v>
      </c>
      <c r="E1507" s="1">
        <v>3</v>
      </c>
      <c r="F1507" s="1">
        <v>99</v>
      </c>
      <c r="H1507" s="1">
        <v>1</v>
      </c>
    </row>
    <row r="1508" spans="1:20" x14ac:dyDescent="0.3">
      <c r="A1508" s="1" t="s">
        <v>49</v>
      </c>
      <c r="B1508" s="7">
        <v>40755</v>
      </c>
      <c r="C1508" s="1">
        <v>7</v>
      </c>
      <c r="D1508" s="1">
        <v>126</v>
      </c>
      <c r="E1508" s="1">
        <v>3</v>
      </c>
      <c r="F1508" s="1">
        <v>100</v>
      </c>
      <c r="H1508" s="1">
        <v>1</v>
      </c>
    </row>
    <row r="1509" spans="1:20" x14ac:dyDescent="0.3">
      <c r="A1509" s="1" t="s">
        <v>49</v>
      </c>
      <c r="B1509" s="7">
        <v>40754</v>
      </c>
      <c r="C1509" s="1">
        <v>19</v>
      </c>
      <c r="D1509" s="1">
        <v>38</v>
      </c>
      <c r="E1509" s="1">
        <v>3</v>
      </c>
      <c r="F1509" s="1">
        <v>1</v>
      </c>
      <c r="T1509" s="1">
        <v>1</v>
      </c>
    </row>
    <row r="1510" spans="1:20" x14ac:dyDescent="0.3">
      <c r="A1510" s="1" t="s">
        <v>49</v>
      </c>
      <c r="B1510" s="7">
        <v>40754</v>
      </c>
      <c r="C1510" s="1">
        <v>19</v>
      </c>
      <c r="D1510" s="1">
        <v>38</v>
      </c>
      <c r="E1510" s="1">
        <v>3</v>
      </c>
      <c r="F1510" s="1">
        <v>2</v>
      </c>
      <c r="R1510" s="3">
        <v>0</v>
      </c>
      <c r="S1510" s="3">
        <v>1</v>
      </c>
    </row>
    <row r="1511" spans="1:20" x14ac:dyDescent="0.3">
      <c r="A1511" s="1" t="s">
        <v>49</v>
      </c>
      <c r="B1511" s="7">
        <v>40754</v>
      </c>
      <c r="C1511" s="1">
        <v>19</v>
      </c>
      <c r="D1511" s="1">
        <v>38</v>
      </c>
      <c r="E1511" s="1">
        <v>3</v>
      </c>
      <c r="F1511" s="1">
        <v>3</v>
      </c>
      <c r="R1511" s="3">
        <v>0</v>
      </c>
      <c r="S1511" s="3">
        <v>1</v>
      </c>
    </row>
    <row r="1512" spans="1:20" x14ac:dyDescent="0.3">
      <c r="A1512" s="1" t="s">
        <v>49</v>
      </c>
      <c r="B1512" s="7">
        <v>40754</v>
      </c>
      <c r="C1512" s="1">
        <v>19</v>
      </c>
      <c r="D1512" s="1">
        <v>38</v>
      </c>
      <c r="E1512" s="1">
        <v>3</v>
      </c>
      <c r="F1512" s="1">
        <v>4</v>
      </c>
      <c r="J1512" s="1">
        <v>1</v>
      </c>
      <c r="N1512" s="1">
        <v>1</v>
      </c>
    </row>
    <row r="1513" spans="1:20" x14ac:dyDescent="0.3">
      <c r="A1513" s="1" t="s">
        <v>49</v>
      </c>
      <c r="B1513" s="7">
        <v>40754</v>
      </c>
      <c r="C1513" s="1">
        <v>19</v>
      </c>
      <c r="D1513" s="1">
        <v>38</v>
      </c>
      <c r="E1513" s="1">
        <v>3</v>
      </c>
      <c r="F1513" s="1">
        <v>5</v>
      </c>
      <c r="J1513" s="3">
        <v>0</v>
      </c>
      <c r="K1513" s="3">
        <v>1</v>
      </c>
      <c r="N1513" s="1">
        <v>1</v>
      </c>
    </row>
    <row r="1514" spans="1:20" x14ac:dyDescent="0.3">
      <c r="A1514" s="1" t="s">
        <v>49</v>
      </c>
      <c r="B1514" s="7">
        <v>40754</v>
      </c>
      <c r="C1514" s="1">
        <v>19</v>
      </c>
      <c r="D1514" s="1">
        <v>38</v>
      </c>
      <c r="E1514" s="1">
        <v>3</v>
      </c>
      <c r="F1514" s="1">
        <v>6</v>
      </c>
      <c r="J1514" s="1">
        <v>1</v>
      </c>
      <c r="L1514" s="1">
        <v>1</v>
      </c>
    </row>
    <row r="1515" spans="1:20" x14ac:dyDescent="0.3">
      <c r="A1515" s="1" t="s">
        <v>49</v>
      </c>
      <c r="B1515" s="7">
        <v>40754</v>
      </c>
      <c r="C1515" s="1">
        <v>19</v>
      </c>
      <c r="D1515" s="1">
        <v>38</v>
      </c>
      <c r="E1515" s="1">
        <v>3</v>
      </c>
      <c r="F1515" s="1">
        <v>7</v>
      </c>
      <c r="J1515" s="1">
        <v>1</v>
      </c>
      <c r="R1515" s="3">
        <v>0</v>
      </c>
      <c r="S1515" s="3">
        <v>1</v>
      </c>
    </row>
    <row r="1516" spans="1:20" x14ac:dyDescent="0.3">
      <c r="A1516" s="1" t="s">
        <v>49</v>
      </c>
      <c r="B1516" s="7">
        <v>40754</v>
      </c>
      <c r="C1516" s="1">
        <v>19</v>
      </c>
      <c r="D1516" s="1">
        <v>38</v>
      </c>
      <c r="E1516" s="1">
        <v>3</v>
      </c>
      <c r="F1516" s="1">
        <v>8</v>
      </c>
      <c r="J1516" s="1">
        <v>1</v>
      </c>
      <c r="R1516" s="3">
        <v>0</v>
      </c>
      <c r="S1516" s="3">
        <v>1</v>
      </c>
      <c r="T1516" s="1">
        <v>1</v>
      </c>
    </row>
    <row r="1517" spans="1:20" x14ac:dyDescent="0.3">
      <c r="A1517" s="1" t="s">
        <v>49</v>
      </c>
      <c r="B1517" s="7">
        <v>40754</v>
      </c>
      <c r="C1517" s="1">
        <v>19</v>
      </c>
      <c r="D1517" s="1">
        <v>38</v>
      </c>
      <c r="E1517" s="1">
        <v>3</v>
      </c>
      <c r="F1517" s="1">
        <v>9</v>
      </c>
      <c r="J1517" s="1">
        <v>1</v>
      </c>
    </row>
    <row r="1518" spans="1:20" x14ac:dyDescent="0.3">
      <c r="A1518" s="1" t="s">
        <v>49</v>
      </c>
      <c r="B1518" s="7">
        <v>40754</v>
      </c>
      <c r="C1518" s="1">
        <v>19</v>
      </c>
      <c r="D1518" s="1">
        <v>38</v>
      </c>
      <c r="E1518" s="1">
        <v>3</v>
      </c>
      <c r="F1518" s="1">
        <v>10</v>
      </c>
      <c r="J1518" s="1">
        <v>1</v>
      </c>
      <c r="R1518" s="3">
        <v>0</v>
      </c>
      <c r="S1518" s="3">
        <v>1</v>
      </c>
    </row>
    <row r="1519" spans="1:20" x14ac:dyDescent="0.3">
      <c r="A1519" s="1" t="s">
        <v>49</v>
      </c>
      <c r="B1519" s="7">
        <v>40754</v>
      </c>
      <c r="C1519" s="1">
        <v>19</v>
      </c>
      <c r="D1519" s="1">
        <v>38</v>
      </c>
      <c r="E1519" s="1">
        <v>3</v>
      </c>
      <c r="F1519" s="1">
        <v>11</v>
      </c>
      <c r="R1519" s="3">
        <v>0</v>
      </c>
      <c r="S1519" s="3">
        <v>1</v>
      </c>
    </row>
    <row r="1520" spans="1:20" x14ac:dyDescent="0.3">
      <c r="A1520" s="1" t="s">
        <v>49</v>
      </c>
      <c r="B1520" s="7">
        <v>40754</v>
      </c>
      <c r="C1520" s="1">
        <v>19</v>
      </c>
      <c r="D1520" s="1">
        <v>38</v>
      </c>
      <c r="E1520" s="1">
        <v>3</v>
      </c>
      <c r="F1520" s="1">
        <v>12</v>
      </c>
    </row>
    <row r="1521" spans="1:20" x14ac:dyDescent="0.3">
      <c r="A1521" s="1" t="s">
        <v>49</v>
      </c>
      <c r="B1521" s="7">
        <v>40754</v>
      </c>
      <c r="C1521" s="1">
        <v>19</v>
      </c>
      <c r="D1521" s="1">
        <v>38</v>
      </c>
      <c r="E1521" s="1">
        <v>3</v>
      </c>
      <c r="F1521" s="1">
        <v>13</v>
      </c>
      <c r="N1521" s="1">
        <v>1</v>
      </c>
      <c r="R1521" s="3">
        <v>0</v>
      </c>
      <c r="S1521" s="3">
        <v>1</v>
      </c>
    </row>
    <row r="1522" spans="1:20" x14ac:dyDescent="0.3">
      <c r="A1522" s="1" t="s">
        <v>49</v>
      </c>
      <c r="B1522" s="7">
        <v>40754</v>
      </c>
      <c r="C1522" s="1">
        <v>19</v>
      </c>
      <c r="D1522" s="1">
        <v>38</v>
      </c>
      <c r="E1522" s="1">
        <v>3</v>
      </c>
      <c r="F1522" s="1">
        <v>14</v>
      </c>
      <c r="J1522" s="3">
        <v>0</v>
      </c>
      <c r="K1522" s="3">
        <v>1</v>
      </c>
      <c r="L1522" s="1">
        <v>1</v>
      </c>
    </row>
    <row r="1523" spans="1:20" x14ac:dyDescent="0.3">
      <c r="A1523" s="1" t="s">
        <v>49</v>
      </c>
      <c r="B1523" s="7">
        <v>40754</v>
      </c>
      <c r="C1523" s="1">
        <v>19</v>
      </c>
      <c r="D1523" s="1">
        <v>38</v>
      </c>
      <c r="E1523" s="1">
        <v>3</v>
      </c>
      <c r="F1523" s="1">
        <v>15</v>
      </c>
      <c r="J1523" s="1">
        <v>1</v>
      </c>
      <c r="L1523" s="1">
        <v>1</v>
      </c>
      <c r="R1523" s="3">
        <v>0</v>
      </c>
      <c r="S1523" s="3">
        <v>1</v>
      </c>
    </row>
    <row r="1524" spans="1:20" x14ac:dyDescent="0.3">
      <c r="A1524" s="1" t="s">
        <v>49</v>
      </c>
      <c r="B1524" s="7">
        <v>40754</v>
      </c>
      <c r="C1524" s="1">
        <v>19</v>
      </c>
      <c r="D1524" s="1">
        <v>38</v>
      </c>
      <c r="E1524" s="1">
        <v>3</v>
      </c>
      <c r="F1524" s="1">
        <v>16</v>
      </c>
      <c r="J1524" s="1">
        <v>1</v>
      </c>
      <c r="L1524" s="1">
        <v>1</v>
      </c>
    </row>
    <row r="1525" spans="1:20" x14ac:dyDescent="0.3">
      <c r="A1525" s="1" t="s">
        <v>49</v>
      </c>
      <c r="B1525" s="7">
        <v>40754</v>
      </c>
      <c r="C1525" s="1">
        <v>19</v>
      </c>
      <c r="D1525" s="1">
        <v>38</v>
      </c>
      <c r="E1525" s="1">
        <v>3</v>
      </c>
      <c r="F1525" s="1">
        <v>17</v>
      </c>
      <c r="J1525" s="1">
        <v>1</v>
      </c>
    </row>
    <row r="1526" spans="1:20" x14ac:dyDescent="0.3">
      <c r="A1526" s="1" t="s">
        <v>49</v>
      </c>
      <c r="B1526" s="7">
        <v>40754</v>
      </c>
      <c r="C1526" s="1">
        <v>19</v>
      </c>
      <c r="D1526" s="1">
        <v>38</v>
      </c>
      <c r="E1526" s="1">
        <v>3</v>
      </c>
      <c r="F1526" s="1">
        <v>18</v>
      </c>
      <c r="J1526" s="1">
        <v>1</v>
      </c>
      <c r="L1526" s="3">
        <v>0</v>
      </c>
      <c r="M1526" s="3">
        <v>1</v>
      </c>
    </row>
    <row r="1527" spans="1:20" x14ac:dyDescent="0.3">
      <c r="A1527" s="1" t="s">
        <v>49</v>
      </c>
      <c r="B1527" s="7">
        <v>40754</v>
      </c>
      <c r="C1527" s="1">
        <v>19</v>
      </c>
      <c r="D1527" s="1">
        <v>38</v>
      </c>
      <c r="E1527" s="1">
        <v>3</v>
      </c>
      <c r="F1527" s="1">
        <v>19</v>
      </c>
      <c r="J1527" s="1">
        <v>1</v>
      </c>
      <c r="L1527" s="1">
        <v>1</v>
      </c>
    </row>
    <row r="1528" spans="1:20" x14ac:dyDescent="0.3">
      <c r="A1528" s="1" t="s">
        <v>49</v>
      </c>
      <c r="B1528" s="7">
        <v>40754</v>
      </c>
      <c r="C1528" s="1">
        <v>19</v>
      </c>
      <c r="D1528" s="1">
        <v>38</v>
      </c>
      <c r="E1528" s="1">
        <v>3</v>
      </c>
      <c r="F1528" s="1">
        <v>20</v>
      </c>
      <c r="J1528" s="1">
        <v>1</v>
      </c>
      <c r="R1528" s="3">
        <v>0</v>
      </c>
      <c r="S1528" s="3">
        <v>1</v>
      </c>
    </row>
    <row r="1529" spans="1:20" x14ac:dyDescent="0.3">
      <c r="A1529" s="1" t="s">
        <v>49</v>
      </c>
      <c r="B1529" s="7">
        <v>40754</v>
      </c>
      <c r="C1529" s="1">
        <v>19</v>
      </c>
      <c r="D1529" s="1">
        <v>38</v>
      </c>
      <c r="E1529" s="1">
        <v>3</v>
      </c>
      <c r="F1529" s="1">
        <v>21</v>
      </c>
      <c r="J1529" s="1">
        <v>1</v>
      </c>
      <c r="T1529" s="1">
        <v>1</v>
      </c>
    </row>
    <row r="1530" spans="1:20" x14ac:dyDescent="0.3">
      <c r="A1530" s="1" t="s">
        <v>49</v>
      </c>
      <c r="B1530" s="7">
        <v>40754</v>
      </c>
      <c r="C1530" s="1">
        <v>19</v>
      </c>
      <c r="D1530" s="1">
        <v>38</v>
      </c>
      <c r="E1530" s="1">
        <v>3</v>
      </c>
      <c r="F1530" s="1">
        <v>22</v>
      </c>
      <c r="J1530" s="1">
        <v>1</v>
      </c>
      <c r="T1530" s="1">
        <v>1</v>
      </c>
    </row>
    <row r="1531" spans="1:20" x14ac:dyDescent="0.3">
      <c r="A1531" s="1" t="s">
        <v>49</v>
      </c>
      <c r="B1531" s="7">
        <v>40754</v>
      </c>
      <c r="C1531" s="1">
        <v>19</v>
      </c>
      <c r="D1531" s="1">
        <v>38</v>
      </c>
      <c r="E1531" s="1">
        <v>3</v>
      </c>
      <c r="F1531" s="1">
        <v>23</v>
      </c>
      <c r="L1531" s="1">
        <v>1</v>
      </c>
      <c r="T1531" s="1">
        <v>1</v>
      </c>
    </row>
    <row r="1532" spans="1:20" x14ac:dyDescent="0.3">
      <c r="A1532" s="1" t="s">
        <v>49</v>
      </c>
      <c r="B1532" s="7">
        <v>40754</v>
      </c>
      <c r="C1532" s="1">
        <v>19</v>
      </c>
      <c r="D1532" s="1">
        <v>38</v>
      </c>
      <c r="E1532" s="1">
        <v>3</v>
      </c>
      <c r="F1532" s="1">
        <v>24</v>
      </c>
      <c r="J1532" s="3">
        <v>0</v>
      </c>
      <c r="K1532" s="3">
        <v>1</v>
      </c>
    </row>
    <row r="1533" spans="1:20" x14ac:dyDescent="0.3">
      <c r="A1533" s="1" t="s">
        <v>49</v>
      </c>
      <c r="B1533" s="7">
        <v>40754</v>
      </c>
      <c r="C1533" s="1">
        <v>19</v>
      </c>
      <c r="D1533" s="1">
        <v>38</v>
      </c>
      <c r="E1533" s="1">
        <v>3</v>
      </c>
      <c r="F1533" s="1">
        <v>25</v>
      </c>
      <c r="J1533" s="3">
        <v>0</v>
      </c>
      <c r="K1533" s="3">
        <v>1</v>
      </c>
    </row>
    <row r="1534" spans="1:20" x14ac:dyDescent="0.3">
      <c r="A1534" s="1" t="s">
        <v>49</v>
      </c>
      <c r="B1534" s="7">
        <v>40754</v>
      </c>
      <c r="C1534" s="1">
        <v>19</v>
      </c>
      <c r="D1534" s="1">
        <v>38</v>
      </c>
      <c r="E1534" s="1">
        <v>3</v>
      </c>
      <c r="F1534" s="1">
        <v>26</v>
      </c>
      <c r="J1534" s="1">
        <v>1</v>
      </c>
    </row>
    <row r="1535" spans="1:20" x14ac:dyDescent="0.3">
      <c r="A1535" s="1" t="s">
        <v>49</v>
      </c>
      <c r="B1535" s="7">
        <v>40754</v>
      </c>
      <c r="C1535" s="1">
        <v>19</v>
      </c>
      <c r="D1535" s="1">
        <v>38</v>
      </c>
      <c r="E1535" s="1">
        <v>3</v>
      </c>
      <c r="F1535" s="1">
        <v>27</v>
      </c>
      <c r="J1535" s="1">
        <v>1</v>
      </c>
    </row>
    <row r="1536" spans="1:20" x14ac:dyDescent="0.3">
      <c r="A1536" s="1" t="s">
        <v>49</v>
      </c>
      <c r="B1536" s="7">
        <v>40754</v>
      </c>
      <c r="C1536" s="1">
        <v>19</v>
      </c>
      <c r="D1536" s="1">
        <v>38</v>
      </c>
      <c r="E1536" s="1">
        <v>3</v>
      </c>
      <c r="F1536" s="1">
        <v>28</v>
      </c>
      <c r="J1536" s="3">
        <v>0</v>
      </c>
      <c r="K1536" s="3">
        <v>1</v>
      </c>
    </row>
    <row r="1537" spans="1:59" x14ac:dyDescent="0.3">
      <c r="A1537" s="1" t="s">
        <v>49</v>
      </c>
      <c r="B1537" s="7">
        <v>40754</v>
      </c>
      <c r="C1537" s="1">
        <v>19</v>
      </c>
      <c r="D1537" s="1">
        <v>38</v>
      </c>
      <c r="E1537" s="1">
        <v>3</v>
      </c>
      <c r="F1537" s="1">
        <v>29</v>
      </c>
      <c r="J1537" s="3">
        <v>0</v>
      </c>
      <c r="K1537" s="3">
        <v>1</v>
      </c>
    </row>
    <row r="1538" spans="1:59" x14ac:dyDescent="0.3">
      <c r="A1538" s="1" t="s">
        <v>49</v>
      </c>
      <c r="B1538" s="7">
        <v>40754</v>
      </c>
      <c r="C1538" s="1">
        <v>19</v>
      </c>
      <c r="D1538" s="1">
        <v>38</v>
      </c>
      <c r="E1538" s="1">
        <v>3</v>
      </c>
      <c r="F1538" s="1">
        <v>30</v>
      </c>
      <c r="J1538" s="3">
        <v>0</v>
      </c>
      <c r="K1538" s="3">
        <v>1</v>
      </c>
    </row>
    <row r="1539" spans="1:59" x14ac:dyDescent="0.3">
      <c r="A1539" s="1" t="s">
        <v>49</v>
      </c>
      <c r="B1539" s="7">
        <v>40754</v>
      </c>
      <c r="C1539" s="1">
        <v>19</v>
      </c>
      <c r="D1539" s="1">
        <v>38</v>
      </c>
      <c r="E1539" s="1">
        <v>3</v>
      </c>
      <c r="F1539" s="1">
        <v>31</v>
      </c>
      <c r="J1539" s="1">
        <v>1</v>
      </c>
      <c r="T1539" s="1">
        <v>1</v>
      </c>
    </row>
    <row r="1540" spans="1:59" x14ac:dyDescent="0.3">
      <c r="A1540" s="1" t="s">
        <v>49</v>
      </c>
      <c r="B1540" s="7">
        <v>40754</v>
      </c>
      <c r="C1540" s="1">
        <v>19</v>
      </c>
      <c r="D1540" s="1">
        <v>38</v>
      </c>
      <c r="E1540" s="1">
        <v>3</v>
      </c>
      <c r="F1540" s="1">
        <v>32</v>
      </c>
      <c r="J1540" s="3">
        <v>0</v>
      </c>
      <c r="K1540" s="3">
        <v>1</v>
      </c>
    </row>
    <row r="1541" spans="1:59" x14ac:dyDescent="0.3">
      <c r="A1541" s="1" t="s">
        <v>49</v>
      </c>
      <c r="B1541" s="7">
        <v>40754</v>
      </c>
      <c r="C1541" s="1">
        <v>19</v>
      </c>
      <c r="D1541" s="1">
        <v>38</v>
      </c>
      <c r="E1541" s="1">
        <v>3</v>
      </c>
      <c r="F1541" s="1">
        <v>33</v>
      </c>
      <c r="L1541" s="1">
        <v>1</v>
      </c>
    </row>
    <row r="1542" spans="1:59" x14ac:dyDescent="0.3">
      <c r="A1542" s="1" t="s">
        <v>49</v>
      </c>
      <c r="B1542" s="7">
        <v>40754</v>
      </c>
      <c r="C1542" s="1">
        <v>19</v>
      </c>
      <c r="D1542" s="1">
        <v>38</v>
      </c>
      <c r="E1542" s="1">
        <v>3</v>
      </c>
      <c r="F1542" s="1">
        <v>34</v>
      </c>
      <c r="J1542" s="3">
        <v>0</v>
      </c>
      <c r="K1542" s="3">
        <v>1</v>
      </c>
    </row>
    <row r="1543" spans="1:59" x14ac:dyDescent="0.3">
      <c r="A1543" s="1" t="s">
        <v>49</v>
      </c>
      <c r="B1543" s="7">
        <v>40754</v>
      </c>
      <c r="C1543" s="1">
        <v>19</v>
      </c>
      <c r="D1543" s="1">
        <v>38</v>
      </c>
      <c r="E1543" s="1">
        <v>3</v>
      </c>
      <c r="F1543" s="1">
        <v>35</v>
      </c>
      <c r="J1543" s="1">
        <v>1</v>
      </c>
      <c r="L1543" s="1">
        <v>1</v>
      </c>
    </row>
    <row r="1544" spans="1:59" x14ac:dyDescent="0.3">
      <c r="A1544" s="1" t="s">
        <v>49</v>
      </c>
      <c r="B1544" s="7">
        <v>40754</v>
      </c>
      <c r="C1544" s="1">
        <v>19</v>
      </c>
      <c r="D1544" s="1">
        <v>38</v>
      </c>
      <c r="E1544" s="1">
        <v>3</v>
      </c>
      <c r="F1544" s="1">
        <v>36</v>
      </c>
      <c r="J1544" s="1">
        <v>1</v>
      </c>
    </row>
    <row r="1545" spans="1:59" x14ac:dyDescent="0.3">
      <c r="A1545" s="1" t="s">
        <v>49</v>
      </c>
      <c r="B1545" s="7">
        <v>40754</v>
      </c>
      <c r="C1545" s="1">
        <v>19</v>
      </c>
      <c r="D1545" s="1">
        <v>38</v>
      </c>
      <c r="E1545" s="1">
        <v>3</v>
      </c>
      <c r="F1545" s="1">
        <v>37</v>
      </c>
      <c r="J1545" s="1">
        <v>1</v>
      </c>
    </row>
    <row r="1546" spans="1:59" x14ac:dyDescent="0.3">
      <c r="A1546" s="1" t="s">
        <v>49</v>
      </c>
      <c r="B1546" s="7">
        <v>40754</v>
      </c>
      <c r="C1546" s="1">
        <v>19</v>
      </c>
      <c r="D1546" s="1">
        <v>38</v>
      </c>
      <c r="E1546" s="1">
        <v>3</v>
      </c>
      <c r="F1546" s="1">
        <v>38</v>
      </c>
      <c r="J1546" s="3">
        <v>0</v>
      </c>
      <c r="K1546" s="3">
        <v>1</v>
      </c>
    </row>
    <row r="1547" spans="1:59" x14ac:dyDescent="0.3">
      <c r="A1547" s="1" t="s">
        <v>49</v>
      </c>
      <c r="B1547" s="7">
        <v>40754</v>
      </c>
      <c r="C1547" s="1">
        <v>19</v>
      </c>
      <c r="D1547" s="1">
        <v>38</v>
      </c>
      <c r="E1547" s="1">
        <v>3</v>
      </c>
      <c r="F1547" s="1">
        <v>39</v>
      </c>
      <c r="J1547" s="1">
        <v>1</v>
      </c>
      <c r="T1547" s="1">
        <v>1</v>
      </c>
    </row>
    <row r="1548" spans="1:59" x14ac:dyDescent="0.3">
      <c r="A1548" s="1" t="s">
        <v>49</v>
      </c>
      <c r="B1548" s="7">
        <v>40754</v>
      </c>
      <c r="C1548" s="1">
        <v>19</v>
      </c>
      <c r="D1548" s="1">
        <v>38</v>
      </c>
      <c r="E1548" s="1">
        <v>3</v>
      </c>
      <c r="F1548" s="1">
        <v>40</v>
      </c>
      <c r="J1548" s="1">
        <v>1</v>
      </c>
      <c r="BG1548" s="1">
        <v>1</v>
      </c>
    </row>
    <row r="1549" spans="1:59" x14ac:dyDescent="0.3">
      <c r="A1549" s="1" t="s">
        <v>49</v>
      </c>
      <c r="B1549" s="7">
        <v>40754</v>
      </c>
      <c r="C1549" s="1">
        <v>19</v>
      </c>
      <c r="D1549" s="1">
        <v>38</v>
      </c>
      <c r="E1549" s="1">
        <v>3</v>
      </c>
      <c r="F1549" s="1">
        <v>41</v>
      </c>
      <c r="G1549" s="1">
        <v>1</v>
      </c>
      <c r="R1549" s="3">
        <v>0</v>
      </c>
      <c r="S1549" s="3">
        <v>1</v>
      </c>
    </row>
    <row r="1550" spans="1:59" x14ac:dyDescent="0.3">
      <c r="A1550" s="1" t="s">
        <v>49</v>
      </c>
      <c r="B1550" s="7">
        <v>40754</v>
      </c>
      <c r="C1550" s="1">
        <v>19</v>
      </c>
      <c r="D1550" s="1">
        <v>38</v>
      </c>
      <c r="E1550" s="1">
        <v>3</v>
      </c>
      <c r="F1550" s="1">
        <v>42</v>
      </c>
      <c r="G1550" s="1">
        <v>1</v>
      </c>
    </row>
    <row r="1551" spans="1:59" x14ac:dyDescent="0.3">
      <c r="A1551" s="1" t="s">
        <v>49</v>
      </c>
      <c r="B1551" s="7">
        <v>40754</v>
      </c>
      <c r="C1551" s="1">
        <v>19</v>
      </c>
      <c r="D1551" s="1">
        <v>38</v>
      </c>
      <c r="E1551" s="1">
        <v>3</v>
      </c>
      <c r="F1551" s="1">
        <v>43</v>
      </c>
      <c r="L1551" s="1">
        <v>1</v>
      </c>
    </row>
    <row r="1552" spans="1:59" x14ac:dyDescent="0.3">
      <c r="A1552" s="1" t="s">
        <v>49</v>
      </c>
      <c r="B1552" s="7">
        <v>40754</v>
      </c>
      <c r="C1552" s="1">
        <v>19</v>
      </c>
      <c r="D1552" s="1">
        <v>38</v>
      </c>
      <c r="E1552" s="1">
        <v>3</v>
      </c>
      <c r="F1552" s="1">
        <v>44</v>
      </c>
      <c r="J1552" s="3">
        <v>0</v>
      </c>
      <c r="K1552" s="3">
        <v>1</v>
      </c>
      <c r="T1552" s="1">
        <v>1</v>
      </c>
    </row>
    <row r="1553" spans="1:58" x14ac:dyDescent="0.3">
      <c r="A1553" s="1" t="s">
        <v>49</v>
      </c>
      <c r="B1553" s="7">
        <v>40754</v>
      </c>
      <c r="C1553" s="1">
        <v>19</v>
      </c>
      <c r="D1553" s="1">
        <v>38</v>
      </c>
      <c r="E1553" s="1">
        <v>3</v>
      </c>
      <c r="F1553" s="1">
        <v>45</v>
      </c>
      <c r="I1553" s="1">
        <v>1</v>
      </c>
      <c r="J1553" s="3">
        <v>0</v>
      </c>
      <c r="K1553" s="3">
        <v>1</v>
      </c>
    </row>
    <row r="1554" spans="1:58" x14ac:dyDescent="0.3">
      <c r="A1554" s="1" t="s">
        <v>49</v>
      </c>
      <c r="B1554" s="7">
        <v>40754</v>
      </c>
      <c r="C1554" s="1">
        <v>19</v>
      </c>
      <c r="D1554" s="1">
        <v>38</v>
      </c>
      <c r="E1554" s="1">
        <v>3</v>
      </c>
      <c r="F1554" s="1">
        <v>46</v>
      </c>
      <c r="R1554" s="3">
        <v>0</v>
      </c>
      <c r="S1554" s="3">
        <v>1</v>
      </c>
    </row>
    <row r="1555" spans="1:58" x14ac:dyDescent="0.3">
      <c r="A1555" s="1" t="s">
        <v>49</v>
      </c>
      <c r="B1555" s="7">
        <v>40754</v>
      </c>
      <c r="C1555" s="1">
        <v>19</v>
      </c>
      <c r="D1555" s="1">
        <v>38</v>
      </c>
      <c r="E1555" s="1">
        <v>3</v>
      </c>
      <c r="F1555" s="1">
        <v>47</v>
      </c>
      <c r="J1555" s="1">
        <v>1</v>
      </c>
      <c r="T1555" s="1">
        <v>1</v>
      </c>
    </row>
    <row r="1556" spans="1:58" x14ac:dyDescent="0.3">
      <c r="A1556" s="1" t="s">
        <v>49</v>
      </c>
      <c r="B1556" s="7">
        <v>40754</v>
      </c>
      <c r="C1556" s="1">
        <v>19</v>
      </c>
      <c r="D1556" s="1">
        <v>38</v>
      </c>
      <c r="E1556" s="1">
        <v>3</v>
      </c>
      <c r="F1556" s="1">
        <v>48</v>
      </c>
      <c r="J1556" s="1">
        <v>1</v>
      </c>
      <c r="R1556" s="1">
        <v>1</v>
      </c>
      <c r="AK1556" s="1">
        <v>1</v>
      </c>
    </row>
    <row r="1557" spans="1:58" x14ac:dyDescent="0.3">
      <c r="A1557" s="1" t="s">
        <v>49</v>
      </c>
      <c r="B1557" s="7">
        <v>40754</v>
      </c>
      <c r="C1557" s="1">
        <v>19</v>
      </c>
      <c r="D1557" s="1">
        <v>38</v>
      </c>
      <c r="E1557" s="1">
        <v>3</v>
      </c>
      <c r="F1557" s="1">
        <v>49</v>
      </c>
      <c r="J1557" s="1">
        <v>1</v>
      </c>
      <c r="BE1557" s="3">
        <v>0</v>
      </c>
      <c r="BF1557" s="3">
        <v>1</v>
      </c>
    </row>
    <row r="1558" spans="1:58" x14ac:dyDescent="0.3">
      <c r="A1558" s="1" t="s">
        <v>49</v>
      </c>
      <c r="B1558" s="7">
        <v>40754</v>
      </c>
      <c r="C1558" s="1">
        <v>19</v>
      </c>
      <c r="D1558" s="1">
        <v>38</v>
      </c>
      <c r="E1558" s="1">
        <v>3</v>
      </c>
      <c r="F1558" s="1">
        <v>50</v>
      </c>
      <c r="J1558" s="3">
        <v>0</v>
      </c>
      <c r="K1558" s="3">
        <v>1</v>
      </c>
    </row>
    <row r="1559" spans="1:58" x14ac:dyDescent="0.3">
      <c r="A1559" s="1" t="s">
        <v>49</v>
      </c>
      <c r="B1559" s="7">
        <v>40754</v>
      </c>
      <c r="C1559" s="1">
        <v>19</v>
      </c>
      <c r="D1559" s="1">
        <v>38</v>
      </c>
      <c r="E1559" s="1">
        <v>3</v>
      </c>
      <c r="F1559" s="1">
        <v>51</v>
      </c>
      <c r="I1559" s="1">
        <v>1</v>
      </c>
    </row>
    <row r="1560" spans="1:58" x14ac:dyDescent="0.3">
      <c r="A1560" s="1" t="s">
        <v>49</v>
      </c>
      <c r="B1560" s="7">
        <v>40754</v>
      </c>
      <c r="C1560" s="1">
        <v>19</v>
      </c>
      <c r="D1560" s="1">
        <v>38</v>
      </c>
      <c r="E1560" s="1">
        <v>3</v>
      </c>
      <c r="F1560" s="1">
        <v>52</v>
      </c>
      <c r="J1560" s="1">
        <v>1</v>
      </c>
      <c r="T1560" s="1">
        <v>1</v>
      </c>
    </row>
    <row r="1561" spans="1:58" x14ac:dyDescent="0.3">
      <c r="A1561" s="1" t="s">
        <v>49</v>
      </c>
      <c r="B1561" s="7">
        <v>40754</v>
      </c>
      <c r="C1561" s="1">
        <v>19</v>
      </c>
      <c r="D1561" s="1">
        <v>38</v>
      </c>
      <c r="E1561" s="1">
        <v>3</v>
      </c>
      <c r="F1561" s="1">
        <v>53</v>
      </c>
      <c r="J1561" s="1">
        <v>1</v>
      </c>
      <c r="T1561" s="1">
        <v>1</v>
      </c>
    </row>
    <row r="1562" spans="1:58" x14ac:dyDescent="0.3">
      <c r="A1562" s="1" t="s">
        <v>49</v>
      </c>
      <c r="B1562" s="7">
        <v>40754</v>
      </c>
      <c r="C1562" s="1">
        <v>19</v>
      </c>
      <c r="D1562" s="1">
        <v>38</v>
      </c>
      <c r="E1562" s="1">
        <v>3</v>
      </c>
      <c r="F1562" s="1">
        <v>54</v>
      </c>
      <c r="T1562" s="1">
        <v>1</v>
      </c>
    </row>
    <row r="1563" spans="1:58" x14ac:dyDescent="0.3">
      <c r="A1563" s="1" t="s">
        <v>49</v>
      </c>
      <c r="B1563" s="7">
        <v>40754</v>
      </c>
      <c r="C1563" s="1">
        <v>19</v>
      </c>
      <c r="D1563" s="1">
        <v>38</v>
      </c>
      <c r="E1563" s="1">
        <v>3</v>
      </c>
      <c r="F1563" s="1">
        <v>55</v>
      </c>
      <c r="T1563" s="1">
        <v>1</v>
      </c>
    </row>
    <row r="1564" spans="1:58" x14ac:dyDescent="0.3">
      <c r="A1564" s="1" t="s">
        <v>49</v>
      </c>
      <c r="B1564" s="7">
        <v>40754</v>
      </c>
      <c r="C1564" s="1">
        <v>19</v>
      </c>
      <c r="D1564" s="1">
        <v>38</v>
      </c>
      <c r="E1564" s="1">
        <v>3</v>
      </c>
      <c r="F1564" s="1">
        <v>56</v>
      </c>
      <c r="J1564" s="3">
        <v>0</v>
      </c>
      <c r="K1564" s="3">
        <v>1</v>
      </c>
      <c r="R1564" s="1">
        <v>1</v>
      </c>
    </row>
    <row r="1565" spans="1:58" x14ac:dyDescent="0.3">
      <c r="A1565" s="1" t="s">
        <v>49</v>
      </c>
      <c r="B1565" s="7">
        <v>40754</v>
      </c>
      <c r="C1565" s="1">
        <v>19</v>
      </c>
      <c r="D1565" s="1">
        <v>38</v>
      </c>
      <c r="E1565" s="1">
        <v>3</v>
      </c>
      <c r="F1565" s="1">
        <v>57</v>
      </c>
      <c r="J1565" s="3">
        <v>0</v>
      </c>
      <c r="K1565" s="3">
        <v>1</v>
      </c>
    </row>
    <row r="1566" spans="1:58" x14ac:dyDescent="0.3">
      <c r="A1566" s="1" t="s">
        <v>49</v>
      </c>
      <c r="B1566" s="7">
        <v>40754</v>
      </c>
      <c r="C1566" s="1">
        <v>19</v>
      </c>
      <c r="D1566" s="1">
        <v>38</v>
      </c>
      <c r="E1566" s="1">
        <v>3</v>
      </c>
      <c r="F1566" s="1">
        <v>58</v>
      </c>
      <c r="J1566" s="3">
        <v>0</v>
      </c>
      <c r="K1566" s="3">
        <v>1</v>
      </c>
    </row>
    <row r="1567" spans="1:58" x14ac:dyDescent="0.3">
      <c r="A1567" s="1" t="s">
        <v>49</v>
      </c>
      <c r="B1567" s="7">
        <v>40754</v>
      </c>
      <c r="C1567" s="1">
        <v>19</v>
      </c>
      <c r="D1567" s="1">
        <v>38</v>
      </c>
      <c r="E1567" s="1">
        <v>3</v>
      </c>
      <c r="F1567" s="1">
        <v>59</v>
      </c>
      <c r="J1567" s="3">
        <v>0</v>
      </c>
      <c r="K1567" s="3">
        <v>1</v>
      </c>
      <c r="R1567" s="1">
        <v>1</v>
      </c>
    </row>
    <row r="1568" spans="1:58" x14ac:dyDescent="0.3">
      <c r="A1568" s="1" t="s">
        <v>49</v>
      </c>
      <c r="B1568" s="7">
        <v>40754</v>
      </c>
      <c r="C1568" s="1">
        <v>19</v>
      </c>
      <c r="D1568" s="1">
        <v>38</v>
      </c>
      <c r="E1568" s="1">
        <v>3</v>
      </c>
      <c r="F1568" s="1">
        <v>60</v>
      </c>
      <c r="J1568" s="3">
        <v>0</v>
      </c>
      <c r="K1568" s="3">
        <v>1</v>
      </c>
    </row>
    <row r="1569" spans="1:20" x14ac:dyDescent="0.3">
      <c r="A1569" s="1" t="s">
        <v>49</v>
      </c>
      <c r="B1569" s="7">
        <v>40754</v>
      </c>
      <c r="C1569" s="1">
        <v>19</v>
      </c>
      <c r="D1569" s="1">
        <v>38</v>
      </c>
      <c r="E1569" s="1">
        <v>3</v>
      </c>
      <c r="F1569" s="1">
        <v>61</v>
      </c>
      <c r="J1569" s="3">
        <v>0</v>
      </c>
      <c r="K1569" s="3">
        <v>1</v>
      </c>
      <c r="T1569" s="1">
        <v>1</v>
      </c>
    </row>
    <row r="1570" spans="1:20" x14ac:dyDescent="0.3">
      <c r="A1570" s="1" t="s">
        <v>49</v>
      </c>
      <c r="B1570" s="7">
        <v>40754</v>
      </c>
      <c r="C1570" s="1">
        <v>19</v>
      </c>
      <c r="D1570" s="1">
        <v>38</v>
      </c>
      <c r="E1570" s="1">
        <v>3</v>
      </c>
      <c r="F1570" s="1">
        <v>62</v>
      </c>
      <c r="J1570" s="3">
        <v>0</v>
      </c>
      <c r="K1570" s="3">
        <v>1</v>
      </c>
    </row>
    <row r="1571" spans="1:20" x14ac:dyDescent="0.3">
      <c r="A1571" s="1" t="s">
        <v>49</v>
      </c>
      <c r="B1571" s="7">
        <v>40754</v>
      </c>
      <c r="C1571" s="1">
        <v>19</v>
      </c>
      <c r="D1571" s="1">
        <v>38</v>
      </c>
      <c r="E1571" s="1">
        <v>3</v>
      </c>
      <c r="F1571" s="1">
        <v>63</v>
      </c>
      <c r="J1571" s="3">
        <v>0</v>
      </c>
      <c r="K1571" s="3">
        <v>1</v>
      </c>
    </row>
    <row r="1572" spans="1:20" x14ac:dyDescent="0.3">
      <c r="A1572" s="1" t="s">
        <v>49</v>
      </c>
      <c r="B1572" s="7">
        <v>40754</v>
      </c>
      <c r="C1572" s="1">
        <v>19</v>
      </c>
      <c r="D1572" s="1">
        <v>38</v>
      </c>
      <c r="E1572" s="1">
        <v>3</v>
      </c>
      <c r="F1572" s="1">
        <v>64</v>
      </c>
      <c r="T1572" s="1">
        <v>1</v>
      </c>
    </row>
    <row r="1573" spans="1:20" x14ac:dyDescent="0.3">
      <c r="A1573" s="1" t="s">
        <v>49</v>
      </c>
      <c r="B1573" s="7">
        <v>40754</v>
      </c>
      <c r="C1573" s="1">
        <v>19</v>
      </c>
      <c r="D1573" s="1">
        <v>38</v>
      </c>
      <c r="E1573" s="1">
        <v>3</v>
      </c>
      <c r="F1573" s="1">
        <v>65</v>
      </c>
    </row>
    <row r="1574" spans="1:20" x14ac:dyDescent="0.3">
      <c r="A1574" s="1" t="s">
        <v>49</v>
      </c>
      <c r="B1574" s="7">
        <v>40754</v>
      </c>
      <c r="C1574" s="1">
        <v>19</v>
      </c>
      <c r="D1574" s="1">
        <v>38</v>
      </c>
      <c r="E1574" s="1">
        <v>3</v>
      </c>
      <c r="F1574" s="1">
        <v>66</v>
      </c>
      <c r="J1574" s="3">
        <v>0</v>
      </c>
      <c r="K1574" s="3">
        <v>1</v>
      </c>
      <c r="R1574" s="3">
        <v>0</v>
      </c>
      <c r="S1574" s="3">
        <v>1</v>
      </c>
    </row>
    <row r="1575" spans="1:20" x14ac:dyDescent="0.3">
      <c r="A1575" s="1" t="s">
        <v>49</v>
      </c>
      <c r="B1575" s="7">
        <v>40754</v>
      </c>
      <c r="C1575" s="1">
        <v>19</v>
      </c>
      <c r="D1575" s="1">
        <v>38</v>
      </c>
      <c r="E1575" s="1">
        <v>3</v>
      </c>
      <c r="F1575" s="1">
        <v>67</v>
      </c>
      <c r="J1575" s="1">
        <v>1</v>
      </c>
    </row>
    <row r="1576" spans="1:20" x14ac:dyDescent="0.3">
      <c r="A1576" s="1" t="s">
        <v>49</v>
      </c>
      <c r="B1576" s="7">
        <v>40754</v>
      </c>
      <c r="C1576" s="1">
        <v>19</v>
      </c>
      <c r="D1576" s="1">
        <v>38</v>
      </c>
      <c r="E1576" s="1">
        <v>3</v>
      </c>
      <c r="F1576" s="1">
        <v>68</v>
      </c>
      <c r="J1576" s="1">
        <v>1</v>
      </c>
    </row>
    <row r="1577" spans="1:20" x14ac:dyDescent="0.3">
      <c r="A1577" s="1" t="s">
        <v>49</v>
      </c>
      <c r="B1577" s="7">
        <v>40754</v>
      </c>
      <c r="C1577" s="1">
        <v>19</v>
      </c>
      <c r="D1577" s="1">
        <v>38</v>
      </c>
      <c r="E1577" s="1">
        <v>3</v>
      </c>
      <c r="F1577" s="1">
        <v>69</v>
      </c>
      <c r="R1577" s="3">
        <v>0</v>
      </c>
      <c r="S1577" s="3">
        <v>1</v>
      </c>
    </row>
    <row r="1578" spans="1:20" x14ac:dyDescent="0.3">
      <c r="A1578" s="1" t="s">
        <v>49</v>
      </c>
      <c r="B1578" s="7">
        <v>40754</v>
      </c>
      <c r="C1578" s="1">
        <v>19</v>
      </c>
      <c r="D1578" s="1">
        <v>38</v>
      </c>
      <c r="E1578" s="1">
        <v>3</v>
      </c>
      <c r="F1578" s="1">
        <v>70</v>
      </c>
      <c r="J1578" s="1">
        <v>1</v>
      </c>
    </row>
    <row r="1579" spans="1:20" x14ac:dyDescent="0.3">
      <c r="A1579" s="1" t="s">
        <v>49</v>
      </c>
      <c r="B1579" s="7">
        <v>40754</v>
      </c>
      <c r="C1579" s="1">
        <v>19</v>
      </c>
      <c r="D1579" s="1">
        <v>38</v>
      </c>
      <c r="E1579" s="1">
        <v>3</v>
      </c>
      <c r="F1579" s="1">
        <v>71</v>
      </c>
      <c r="J1579" s="3">
        <v>0</v>
      </c>
      <c r="K1579" s="3">
        <v>1</v>
      </c>
    </row>
    <row r="1580" spans="1:20" x14ac:dyDescent="0.3">
      <c r="A1580" s="1" t="s">
        <v>49</v>
      </c>
      <c r="B1580" s="7">
        <v>40754</v>
      </c>
      <c r="C1580" s="1">
        <v>19</v>
      </c>
      <c r="D1580" s="1">
        <v>38</v>
      </c>
      <c r="E1580" s="1">
        <v>3</v>
      </c>
      <c r="F1580" s="1">
        <v>72</v>
      </c>
      <c r="J1580" s="3">
        <v>0</v>
      </c>
      <c r="K1580" s="3">
        <v>1</v>
      </c>
      <c r="T1580" s="1">
        <v>1</v>
      </c>
    </row>
    <row r="1581" spans="1:20" x14ac:dyDescent="0.3">
      <c r="A1581" s="1" t="s">
        <v>49</v>
      </c>
      <c r="B1581" s="7">
        <v>40754</v>
      </c>
      <c r="C1581" s="1">
        <v>19</v>
      </c>
      <c r="D1581" s="1">
        <v>38</v>
      </c>
      <c r="E1581" s="1">
        <v>3</v>
      </c>
      <c r="F1581" s="1">
        <v>73</v>
      </c>
      <c r="J1581" s="3">
        <v>0</v>
      </c>
      <c r="K1581" s="3">
        <v>1</v>
      </c>
    </row>
    <row r="1582" spans="1:20" x14ac:dyDescent="0.3">
      <c r="A1582" s="1" t="s">
        <v>49</v>
      </c>
      <c r="B1582" s="7">
        <v>40754</v>
      </c>
      <c r="C1582" s="1">
        <v>19</v>
      </c>
      <c r="D1582" s="1">
        <v>38</v>
      </c>
      <c r="E1582" s="1">
        <v>3</v>
      </c>
      <c r="F1582" s="1">
        <v>74</v>
      </c>
      <c r="J1582" s="1">
        <v>1</v>
      </c>
    </row>
    <row r="1583" spans="1:20" x14ac:dyDescent="0.3">
      <c r="A1583" s="1" t="s">
        <v>49</v>
      </c>
      <c r="B1583" s="7">
        <v>40754</v>
      </c>
      <c r="C1583" s="1">
        <v>19</v>
      </c>
      <c r="D1583" s="1">
        <v>38</v>
      </c>
      <c r="E1583" s="1">
        <v>3</v>
      </c>
      <c r="F1583" s="1">
        <v>75</v>
      </c>
      <c r="R1583" s="3">
        <v>0</v>
      </c>
      <c r="S1583" s="3">
        <v>1</v>
      </c>
    </row>
    <row r="1584" spans="1:20" x14ac:dyDescent="0.3">
      <c r="A1584" s="1" t="s">
        <v>49</v>
      </c>
      <c r="B1584" s="7">
        <v>40754</v>
      </c>
      <c r="C1584" s="1">
        <v>19</v>
      </c>
      <c r="D1584" s="1">
        <v>38</v>
      </c>
      <c r="E1584" s="1">
        <v>3</v>
      </c>
      <c r="F1584" s="1">
        <v>76</v>
      </c>
      <c r="J1584" s="3">
        <v>0</v>
      </c>
      <c r="K1584" s="3">
        <v>1</v>
      </c>
    </row>
    <row r="1585" spans="1:22" x14ac:dyDescent="0.3">
      <c r="A1585" s="1" t="s">
        <v>49</v>
      </c>
      <c r="B1585" s="7">
        <v>40754</v>
      </c>
      <c r="C1585" s="1">
        <v>19</v>
      </c>
      <c r="D1585" s="1">
        <v>38</v>
      </c>
      <c r="E1585" s="1">
        <v>3</v>
      </c>
      <c r="F1585" s="1">
        <v>77</v>
      </c>
      <c r="J1585" s="1">
        <v>1</v>
      </c>
      <c r="R1585" s="3">
        <v>0</v>
      </c>
      <c r="S1585" s="3">
        <v>1</v>
      </c>
    </row>
    <row r="1586" spans="1:22" x14ac:dyDescent="0.3">
      <c r="A1586" s="1" t="s">
        <v>49</v>
      </c>
      <c r="B1586" s="7">
        <v>40754</v>
      </c>
      <c r="C1586" s="1">
        <v>19</v>
      </c>
      <c r="D1586" s="1">
        <v>38</v>
      </c>
      <c r="E1586" s="1">
        <v>3</v>
      </c>
      <c r="F1586" s="1">
        <v>78</v>
      </c>
      <c r="J1586" s="3">
        <v>0</v>
      </c>
      <c r="K1586" s="3">
        <v>1</v>
      </c>
      <c r="T1586" s="1">
        <v>1</v>
      </c>
    </row>
    <row r="1587" spans="1:22" x14ac:dyDescent="0.3">
      <c r="A1587" s="1" t="s">
        <v>49</v>
      </c>
      <c r="B1587" s="7">
        <v>40754</v>
      </c>
      <c r="C1587" s="1">
        <v>19</v>
      </c>
      <c r="D1587" s="1">
        <v>38</v>
      </c>
      <c r="E1587" s="1">
        <v>3</v>
      </c>
      <c r="F1587" s="1">
        <v>79</v>
      </c>
    </row>
    <row r="1588" spans="1:22" x14ac:dyDescent="0.3">
      <c r="A1588" s="1" t="s">
        <v>49</v>
      </c>
      <c r="B1588" s="7">
        <v>40754</v>
      </c>
      <c r="C1588" s="1">
        <v>19</v>
      </c>
      <c r="D1588" s="1">
        <v>38</v>
      </c>
      <c r="E1588" s="1">
        <v>3</v>
      </c>
      <c r="F1588" s="1">
        <v>80</v>
      </c>
      <c r="J1588" s="1">
        <v>1</v>
      </c>
    </row>
    <row r="1589" spans="1:22" x14ac:dyDescent="0.3">
      <c r="A1589" s="1" t="s">
        <v>49</v>
      </c>
      <c r="B1589" s="7">
        <v>40754</v>
      </c>
      <c r="C1589" s="1">
        <v>19</v>
      </c>
      <c r="D1589" s="1">
        <v>38</v>
      </c>
      <c r="E1589" s="1">
        <v>3</v>
      </c>
      <c r="F1589" s="1">
        <v>81</v>
      </c>
      <c r="J1589" s="3">
        <v>0</v>
      </c>
      <c r="K1589" s="3">
        <v>1</v>
      </c>
    </row>
    <row r="1590" spans="1:22" x14ac:dyDescent="0.3">
      <c r="A1590" s="1" t="s">
        <v>49</v>
      </c>
      <c r="B1590" s="7">
        <v>40754</v>
      </c>
      <c r="C1590" s="1">
        <v>19</v>
      </c>
      <c r="D1590" s="1">
        <v>38</v>
      </c>
      <c r="E1590" s="1">
        <v>3</v>
      </c>
      <c r="F1590" s="1">
        <v>82</v>
      </c>
      <c r="J1590" s="1">
        <v>1</v>
      </c>
      <c r="L1590" s="1">
        <v>1</v>
      </c>
    </row>
    <row r="1591" spans="1:22" x14ac:dyDescent="0.3">
      <c r="A1591" s="1" t="s">
        <v>49</v>
      </c>
      <c r="B1591" s="7">
        <v>40754</v>
      </c>
      <c r="C1591" s="1">
        <v>19</v>
      </c>
      <c r="D1591" s="1">
        <v>38</v>
      </c>
      <c r="E1591" s="1">
        <v>3</v>
      </c>
      <c r="F1591" s="1">
        <v>83</v>
      </c>
      <c r="J1591" s="1">
        <v>1</v>
      </c>
    </row>
    <row r="1592" spans="1:22" x14ac:dyDescent="0.3">
      <c r="A1592" s="1" t="s">
        <v>49</v>
      </c>
      <c r="B1592" s="7">
        <v>40754</v>
      </c>
      <c r="C1592" s="1">
        <v>19</v>
      </c>
      <c r="D1592" s="1">
        <v>38</v>
      </c>
      <c r="E1592" s="1">
        <v>3</v>
      </c>
      <c r="F1592" s="1">
        <v>84</v>
      </c>
      <c r="J1592" s="3">
        <v>0</v>
      </c>
      <c r="K1592" s="3">
        <v>1</v>
      </c>
      <c r="R1592" s="3">
        <v>0</v>
      </c>
      <c r="S1592" s="3">
        <v>1</v>
      </c>
    </row>
    <row r="1593" spans="1:22" x14ac:dyDescent="0.3">
      <c r="A1593" s="1" t="s">
        <v>49</v>
      </c>
      <c r="B1593" s="7">
        <v>40754</v>
      </c>
      <c r="C1593" s="1">
        <v>19</v>
      </c>
      <c r="D1593" s="1">
        <v>38</v>
      </c>
      <c r="E1593" s="1">
        <v>3</v>
      </c>
      <c r="F1593" s="1">
        <v>85</v>
      </c>
      <c r="J1593" s="1">
        <v>1</v>
      </c>
      <c r="R1593" s="3">
        <v>0</v>
      </c>
      <c r="S1593" s="3">
        <v>1</v>
      </c>
    </row>
    <row r="1594" spans="1:22" x14ac:dyDescent="0.3">
      <c r="A1594" s="1" t="s">
        <v>49</v>
      </c>
      <c r="B1594" s="7">
        <v>40754</v>
      </c>
      <c r="C1594" s="1">
        <v>19</v>
      </c>
      <c r="D1594" s="1">
        <v>38</v>
      </c>
      <c r="E1594" s="1">
        <v>3</v>
      </c>
      <c r="F1594" s="1">
        <v>86</v>
      </c>
      <c r="J1594" s="3">
        <v>0</v>
      </c>
      <c r="K1594" s="3">
        <v>1</v>
      </c>
      <c r="T1594" s="1">
        <v>1</v>
      </c>
    </row>
    <row r="1595" spans="1:22" x14ac:dyDescent="0.3">
      <c r="A1595" s="1" t="s">
        <v>49</v>
      </c>
      <c r="B1595" s="7">
        <v>40754</v>
      </c>
      <c r="C1595" s="1">
        <v>19</v>
      </c>
      <c r="D1595" s="1">
        <v>38</v>
      </c>
      <c r="E1595" s="1">
        <v>3</v>
      </c>
      <c r="F1595" s="1">
        <v>87</v>
      </c>
      <c r="J1595" s="1">
        <v>1</v>
      </c>
      <c r="R1595" s="1">
        <v>1</v>
      </c>
    </row>
    <row r="1596" spans="1:22" x14ac:dyDescent="0.3">
      <c r="A1596" s="1" t="s">
        <v>49</v>
      </c>
      <c r="B1596" s="7">
        <v>40754</v>
      </c>
      <c r="C1596" s="1">
        <v>19</v>
      </c>
      <c r="D1596" s="1">
        <v>38</v>
      </c>
      <c r="E1596" s="1">
        <v>3</v>
      </c>
      <c r="F1596" s="1">
        <v>88</v>
      </c>
      <c r="J1596" s="3">
        <v>0</v>
      </c>
      <c r="K1596" s="3">
        <v>1</v>
      </c>
    </row>
    <row r="1597" spans="1:22" x14ac:dyDescent="0.3">
      <c r="A1597" s="1" t="s">
        <v>49</v>
      </c>
      <c r="B1597" s="7">
        <v>40754</v>
      </c>
      <c r="C1597" s="1">
        <v>19</v>
      </c>
      <c r="D1597" s="1">
        <v>38</v>
      </c>
      <c r="E1597" s="1">
        <v>3</v>
      </c>
      <c r="F1597" s="1">
        <v>89</v>
      </c>
      <c r="J1597" s="3">
        <v>0</v>
      </c>
      <c r="K1597" s="3">
        <v>1</v>
      </c>
      <c r="V1597" s="1">
        <v>1</v>
      </c>
    </row>
    <row r="1598" spans="1:22" x14ac:dyDescent="0.3">
      <c r="A1598" s="1" t="s">
        <v>49</v>
      </c>
      <c r="B1598" s="7">
        <v>40754</v>
      </c>
      <c r="C1598" s="1">
        <v>19</v>
      </c>
      <c r="D1598" s="1">
        <v>38</v>
      </c>
      <c r="E1598" s="1">
        <v>3</v>
      </c>
      <c r="F1598" s="1">
        <v>90</v>
      </c>
      <c r="J1598" s="3">
        <v>0</v>
      </c>
      <c r="K1598" s="3">
        <v>1</v>
      </c>
    </row>
    <row r="1599" spans="1:22" x14ac:dyDescent="0.3">
      <c r="A1599" s="1" t="s">
        <v>49</v>
      </c>
      <c r="B1599" s="7">
        <v>40754</v>
      </c>
      <c r="C1599" s="1">
        <v>19</v>
      </c>
      <c r="D1599" s="1">
        <v>38</v>
      </c>
      <c r="E1599" s="1">
        <v>3</v>
      </c>
      <c r="F1599" s="1">
        <v>91</v>
      </c>
      <c r="J1599" s="3">
        <v>0</v>
      </c>
      <c r="K1599" s="3">
        <v>1</v>
      </c>
      <c r="T1599" s="1">
        <v>1</v>
      </c>
    </row>
    <row r="1600" spans="1:22" x14ac:dyDescent="0.3">
      <c r="A1600" s="1" t="s">
        <v>49</v>
      </c>
      <c r="B1600" s="7">
        <v>40754</v>
      </c>
      <c r="C1600" s="1">
        <v>19</v>
      </c>
      <c r="D1600" s="1">
        <v>38</v>
      </c>
      <c r="E1600" s="1">
        <v>3</v>
      </c>
      <c r="F1600" s="1">
        <v>92</v>
      </c>
      <c r="L1600" s="1">
        <v>1</v>
      </c>
    </row>
    <row r="1601" spans="1:90" x14ac:dyDescent="0.3">
      <c r="A1601" s="1" t="s">
        <v>49</v>
      </c>
      <c r="B1601" s="7">
        <v>40754</v>
      </c>
      <c r="C1601" s="1">
        <v>19</v>
      </c>
      <c r="D1601" s="1">
        <v>38</v>
      </c>
      <c r="E1601" s="1">
        <v>3</v>
      </c>
      <c r="F1601" s="1">
        <v>93</v>
      </c>
      <c r="G1601" s="1">
        <v>1</v>
      </c>
    </row>
    <row r="1602" spans="1:90" x14ac:dyDescent="0.3">
      <c r="A1602" s="1" t="s">
        <v>49</v>
      </c>
      <c r="B1602" s="7">
        <v>40754</v>
      </c>
      <c r="C1602" s="1">
        <v>19</v>
      </c>
      <c r="D1602" s="1">
        <v>38</v>
      </c>
      <c r="E1602" s="1">
        <v>3</v>
      </c>
      <c r="F1602" s="1">
        <v>94</v>
      </c>
      <c r="G1602" s="1">
        <v>1</v>
      </c>
    </row>
    <row r="1603" spans="1:90" x14ac:dyDescent="0.3">
      <c r="A1603" s="1" t="s">
        <v>49</v>
      </c>
      <c r="B1603" s="7">
        <v>40754</v>
      </c>
      <c r="C1603" s="1">
        <v>19</v>
      </c>
      <c r="D1603" s="1">
        <v>38</v>
      </c>
      <c r="E1603" s="1">
        <v>3</v>
      </c>
      <c r="F1603" s="1">
        <v>95</v>
      </c>
      <c r="J1603" s="3">
        <v>0</v>
      </c>
      <c r="K1603" s="3">
        <v>1</v>
      </c>
    </row>
    <row r="1604" spans="1:90" x14ac:dyDescent="0.3">
      <c r="A1604" s="1" t="s">
        <v>49</v>
      </c>
      <c r="B1604" s="7">
        <v>40754</v>
      </c>
      <c r="C1604" s="1">
        <v>19</v>
      </c>
      <c r="D1604" s="1">
        <v>38</v>
      </c>
      <c r="E1604" s="1">
        <v>3</v>
      </c>
      <c r="F1604" s="1">
        <v>96</v>
      </c>
      <c r="J1604" s="3">
        <v>0</v>
      </c>
      <c r="K1604" s="3">
        <v>1</v>
      </c>
      <c r="R1604" s="3">
        <v>0</v>
      </c>
      <c r="S1604" s="3">
        <v>1</v>
      </c>
    </row>
    <row r="1605" spans="1:90" x14ac:dyDescent="0.3">
      <c r="A1605" s="1" t="s">
        <v>49</v>
      </c>
      <c r="B1605" s="7">
        <v>40754</v>
      </c>
      <c r="C1605" s="1">
        <v>19</v>
      </c>
      <c r="D1605" s="1">
        <v>38</v>
      </c>
      <c r="E1605" s="1">
        <v>3</v>
      </c>
      <c r="F1605" s="1">
        <v>97</v>
      </c>
      <c r="J1605" s="3">
        <v>0</v>
      </c>
      <c r="K1605" s="3">
        <v>1</v>
      </c>
      <c r="R1605" s="3">
        <v>0</v>
      </c>
      <c r="S1605" s="3">
        <v>1</v>
      </c>
      <c r="T1605" s="1">
        <v>1</v>
      </c>
    </row>
    <row r="1606" spans="1:90" x14ac:dyDescent="0.3">
      <c r="A1606" s="1" t="s">
        <v>49</v>
      </c>
      <c r="B1606" s="7">
        <v>40754</v>
      </c>
      <c r="C1606" s="1">
        <v>19</v>
      </c>
      <c r="D1606" s="1">
        <v>38</v>
      </c>
      <c r="E1606" s="1">
        <v>3</v>
      </c>
      <c r="F1606" s="1">
        <v>98</v>
      </c>
      <c r="BC1606" s="1">
        <v>1</v>
      </c>
    </row>
    <row r="1607" spans="1:90" x14ac:dyDescent="0.3">
      <c r="A1607" s="1" t="s">
        <v>49</v>
      </c>
      <c r="B1607" s="7">
        <v>40754</v>
      </c>
      <c r="C1607" s="1">
        <v>19</v>
      </c>
      <c r="D1607" s="1">
        <v>38</v>
      </c>
      <c r="E1607" s="1">
        <v>3</v>
      </c>
      <c r="F1607" s="1">
        <v>99</v>
      </c>
      <c r="R1607" s="1">
        <v>1</v>
      </c>
    </row>
    <row r="1608" spans="1:90" x14ac:dyDescent="0.3">
      <c r="A1608" s="1" t="s">
        <v>49</v>
      </c>
      <c r="B1608" s="7">
        <v>40754</v>
      </c>
      <c r="C1608" s="1">
        <v>19</v>
      </c>
      <c r="D1608" s="1">
        <v>38</v>
      </c>
      <c r="E1608" s="1">
        <v>3</v>
      </c>
      <c r="F1608" s="1">
        <v>100</v>
      </c>
      <c r="R1608" s="1">
        <v>1</v>
      </c>
    </row>
    <row r="1609" spans="1:90" s="12" customFormat="1" x14ac:dyDescent="0.3">
      <c r="A1609" s="14" t="s">
        <v>49</v>
      </c>
      <c r="B1609" s="13"/>
      <c r="G1609" s="12">
        <f>SUM(G1409:G1608)</f>
        <v>4</v>
      </c>
      <c r="H1609" s="12">
        <f t="shared" ref="H1609" si="525">SUM(H1409:H1608)</f>
        <v>25</v>
      </c>
      <c r="I1609" s="12">
        <f t="shared" ref="I1609" si="526">SUM(I1409:I1608)</f>
        <v>18</v>
      </c>
      <c r="J1609" s="12">
        <f t="shared" ref="J1609" si="527">SUM(J1409:J1608)</f>
        <v>65</v>
      </c>
      <c r="K1609" s="12">
        <f t="shared" ref="K1609" si="528">SUM(K1409:K1608)</f>
        <v>52</v>
      </c>
      <c r="L1609" s="12">
        <f t="shared" ref="L1609" si="529">SUM(L1409:L1608)</f>
        <v>16</v>
      </c>
      <c r="M1609" s="12">
        <f t="shared" ref="M1609" si="530">SUM(M1409:M1608)</f>
        <v>1</v>
      </c>
      <c r="N1609" s="12">
        <f t="shared" ref="N1609" si="531">SUM(N1409:N1608)</f>
        <v>3</v>
      </c>
      <c r="O1609" s="12">
        <f t="shared" ref="O1609" si="532">SUM(O1409:O1608)</f>
        <v>0</v>
      </c>
      <c r="P1609" s="12">
        <f t="shared" ref="P1609" si="533">SUM(P1409:P1608)</f>
        <v>0</v>
      </c>
      <c r="Q1609" s="12">
        <f t="shared" ref="Q1609" si="534">SUM(Q1409:Q1608)</f>
        <v>0</v>
      </c>
      <c r="R1609" s="12">
        <f t="shared" ref="R1609" si="535">SUM(R1409:R1608)</f>
        <v>15</v>
      </c>
      <c r="S1609" s="12">
        <f t="shared" ref="S1609" si="536">SUM(S1409:S1608)</f>
        <v>25</v>
      </c>
      <c r="T1609" s="12">
        <f t="shared" ref="T1609" si="537">SUM(T1409:T1608)</f>
        <v>23</v>
      </c>
      <c r="U1609" s="12">
        <f t="shared" ref="U1609" si="538">SUM(U1409:U1608)</f>
        <v>0</v>
      </c>
      <c r="V1609" s="12">
        <f t="shared" ref="V1609" si="539">SUM(V1409:V1608)</f>
        <v>1</v>
      </c>
      <c r="W1609" s="12">
        <f t="shared" ref="W1609" si="540">SUM(W1409:W1608)</f>
        <v>0</v>
      </c>
      <c r="X1609" s="12">
        <f t="shared" ref="X1609" si="541">SUM(X1409:X1608)</f>
        <v>0</v>
      </c>
      <c r="Y1609" s="12">
        <f t="shared" ref="Y1609" si="542">SUM(Y1409:Y1608)</f>
        <v>0</v>
      </c>
      <c r="Z1609" s="12">
        <f t="shared" ref="Z1609" si="543">SUM(Z1409:Z1608)</f>
        <v>0</v>
      </c>
      <c r="AA1609" s="12">
        <f t="shared" ref="AA1609" si="544">SUM(AA1409:AA1608)</f>
        <v>0</v>
      </c>
      <c r="AB1609" s="12">
        <f t="shared" ref="AB1609" si="545">SUM(AB1409:AB1608)</f>
        <v>0</v>
      </c>
      <c r="AC1609" s="12">
        <f t="shared" ref="AC1609" si="546">SUM(AC1409:AC1608)</f>
        <v>0</v>
      </c>
      <c r="AD1609" s="12">
        <f t="shared" ref="AD1609" si="547">SUM(AD1409:AD1608)</f>
        <v>0</v>
      </c>
      <c r="AE1609" s="12">
        <f t="shared" ref="AE1609" si="548">SUM(AE1409:AE1608)</f>
        <v>0</v>
      </c>
      <c r="AF1609" s="12">
        <f t="shared" ref="AF1609" si="549">SUM(AF1409:AF1608)</f>
        <v>4</v>
      </c>
      <c r="AG1609" s="12">
        <f t="shared" ref="AG1609" si="550">SUM(AG1409:AG1608)</f>
        <v>0</v>
      </c>
      <c r="AH1609" s="12">
        <f t="shared" ref="AH1609" si="551">SUM(AH1409:AH1608)</f>
        <v>0</v>
      </c>
      <c r="AI1609" s="12">
        <f t="shared" ref="AI1609" si="552">SUM(AI1409:AI1608)</f>
        <v>0</v>
      </c>
      <c r="AJ1609" s="12">
        <f t="shared" ref="AJ1609" si="553">SUM(AJ1409:AJ1608)</f>
        <v>0</v>
      </c>
      <c r="AK1609" s="12">
        <f t="shared" ref="AK1609" si="554">SUM(AK1409:AK1608)</f>
        <v>1</v>
      </c>
      <c r="AL1609" s="12">
        <f t="shared" ref="AL1609" si="555">SUM(AL1409:AL1608)</f>
        <v>0</v>
      </c>
      <c r="AM1609" s="12">
        <f t="shared" ref="AM1609" si="556">SUM(AM1409:AM1608)</f>
        <v>0</v>
      </c>
      <c r="AN1609" s="12">
        <f t="shared" ref="AN1609" si="557">SUM(AN1409:AN1608)</f>
        <v>0</v>
      </c>
      <c r="AO1609" s="12">
        <f t="shared" ref="AO1609" si="558">SUM(AO1409:AO1608)</f>
        <v>0</v>
      </c>
      <c r="AP1609" s="12">
        <f t="shared" ref="AP1609" si="559">SUM(AP1409:AP1608)</f>
        <v>0</v>
      </c>
      <c r="AQ1609" s="12">
        <f t="shared" ref="AQ1609" si="560">SUM(AQ1409:AQ1608)</f>
        <v>0</v>
      </c>
      <c r="AR1609" s="12">
        <f t="shared" ref="AR1609" si="561">SUM(AR1409:AR1608)</f>
        <v>0</v>
      </c>
      <c r="AS1609" s="12">
        <f t="shared" ref="AS1609" si="562">SUM(AS1409:AS1608)</f>
        <v>0</v>
      </c>
      <c r="AT1609" s="12">
        <f t="shared" ref="AT1609" si="563">SUM(AT1409:AT1608)</f>
        <v>0</v>
      </c>
      <c r="AU1609" s="12">
        <f t="shared" ref="AU1609" si="564">SUM(AU1409:AU1608)</f>
        <v>0</v>
      </c>
      <c r="AV1609" s="12">
        <f t="shared" ref="AV1609" si="565">SUM(AV1409:AV1608)</f>
        <v>0</v>
      </c>
      <c r="AW1609" s="12">
        <f t="shared" ref="AW1609" si="566">SUM(AW1409:AW1608)</f>
        <v>0</v>
      </c>
      <c r="AX1609" s="12">
        <f t="shared" ref="AX1609" si="567">SUM(AX1409:AX1608)</f>
        <v>0</v>
      </c>
      <c r="AY1609" s="12">
        <f t="shared" ref="AY1609" si="568">SUM(AY1409:AY1608)</f>
        <v>0</v>
      </c>
      <c r="AZ1609" s="12">
        <f t="shared" ref="AZ1609" si="569">SUM(AZ1409:AZ1608)</f>
        <v>0</v>
      </c>
      <c r="BA1609" s="12">
        <f t="shared" ref="BA1609" si="570">SUM(BA1409:BA1608)</f>
        <v>0</v>
      </c>
      <c r="BB1609" s="12">
        <f t="shared" ref="BB1609" si="571">SUM(BB1409:BB1608)</f>
        <v>0</v>
      </c>
      <c r="BC1609" s="12">
        <f t="shared" ref="BC1609" si="572">SUM(BC1409:BC1608)</f>
        <v>1</v>
      </c>
      <c r="BD1609" s="12">
        <f t="shared" ref="BD1609" si="573">SUM(BD1409:BD1608)</f>
        <v>0</v>
      </c>
      <c r="BE1609" s="12">
        <f t="shared" ref="BE1609" si="574">SUM(BE1409:BE1608)</f>
        <v>0</v>
      </c>
      <c r="BF1609" s="12">
        <f t="shared" ref="BF1609" si="575">SUM(BF1409:BF1608)</f>
        <v>1</v>
      </c>
      <c r="BG1609" s="12">
        <f t="shared" ref="BG1609" si="576">SUM(BG1409:BG1608)</f>
        <v>1</v>
      </c>
      <c r="BH1609" s="12">
        <f t="shared" ref="BH1609" si="577">SUM(BH1409:BH1608)</f>
        <v>1</v>
      </c>
      <c r="BI1609" s="12">
        <f t="shared" ref="BI1609" si="578">SUM(BI1409:BI1608)</f>
        <v>0</v>
      </c>
      <c r="BJ1609" s="12">
        <f t="shared" ref="BJ1609" si="579">SUM(BJ1409:BJ1608)</f>
        <v>0</v>
      </c>
      <c r="BK1609" s="12">
        <f t="shared" ref="BK1609" si="580">SUM(BK1409:BK1608)</f>
        <v>1</v>
      </c>
      <c r="BL1609" s="12">
        <f t="shared" ref="BL1609" si="581">SUM(BL1409:BL1608)</f>
        <v>0</v>
      </c>
      <c r="BM1609" s="12">
        <f t="shared" ref="BM1609" si="582">SUM(BM1409:BM1608)</f>
        <v>0</v>
      </c>
      <c r="BN1609" s="12">
        <f t="shared" ref="BN1609" si="583">SUM(BN1409:BN1608)</f>
        <v>0</v>
      </c>
      <c r="BO1609" s="12">
        <f t="shared" ref="BO1609" si="584">SUM(BO1409:BO1608)</f>
        <v>0</v>
      </c>
      <c r="BP1609" s="12">
        <f t="shared" ref="BP1609" si="585">SUM(BP1409:BP1608)</f>
        <v>0</v>
      </c>
      <c r="BQ1609" s="12">
        <f t="shared" ref="BQ1609" si="586">SUM(BQ1409:BQ1608)</f>
        <v>0</v>
      </c>
      <c r="BR1609" s="12">
        <f t="shared" ref="BR1609" si="587">SUM(BR1409:BR1608)</f>
        <v>0</v>
      </c>
      <c r="BS1609" s="12">
        <f t="shared" ref="BS1609" si="588">SUM(BS1409:BS1608)</f>
        <v>0</v>
      </c>
      <c r="BT1609" s="12">
        <f t="shared" ref="BT1609" si="589">SUM(BT1409:BT1608)</f>
        <v>0</v>
      </c>
      <c r="BU1609" s="12">
        <f t="shared" ref="BU1609" si="590">SUM(BU1409:BU1608)</f>
        <v>0</v>
      </c>
      <c r="BV1609" s="12">
        <f t="shared" ref="BV1609" si="591">SUM(BV1409:BV1608)</f>
        <v>0</v>
      </c>
      <c r="BW1609" s="12">
        <f t="shared" ref="BW1609" si="592">SUM(BW1409:BW1608)</f>
        <v>0</v>
      </c>
      <c r="BX1609" s="12">
        <f t="shared" ref="BX1609" si="593">SUM(BX1409:BX1608)</f>
        <v>0</v>
      </c>
      <c r="BY1609" s="12">
        <f t="shared" ref="BY1609" si="594">SUM(BY1409:BY1608)</f>
        <v>1</v>
      </c>
      <c r="BZ1609" s="12">
        <f t="shared" ref="BZ1609" si="595">SUM(BZ1409:BZ1608)</f>
        <v>0</v>
      </c>
      <c r="CA1609" s="12">
        <f t="shared" ref="CA1609" si="596">SUM(CA1409:CA1608)</f>
        <v>0</v>
      </c>
      <c r="CB1609" s="12">
        <f t="shared" ref="CB1609" si="597">SUM(CB1409:CB1608)</f>
        <v>0</v>
      </c>
      <c r="CC1609" s="12">
        <f t="shared" ref="CC1609" si="598">SUM(CC1409:CC1608)</f>
        <v>0</v>
      </c>
      <c r="CD1609" s="12">
        <f t="shared" ref="CD1609" si="599">SUM(CD1409:CD1608)</f>
        <v>0</v>
      </c>
      <c r="CE1609" s="12">
        <f t="shared" ref="CE1609" si="600">SUM(CE1409:CE1608)</f>
        <v>0</v>
      </c>
      <c r="CF1609" s="12">
        <f t="shared" ref="CF1609" si="601">SUM(CF1409:CF1608)</f>
        <v>0</v>
      </c>
      <c r="CG1609" s="12">
        <f t="shared" ref="CG1609" si="602">SUM(CG1409:CG1608)</f>
        <v>0</v>
      </c>
      <c r="CH1609" s="12">
        <f t="shared" ref="CH1609" si="603">SUM(CH1409:CH1608)</f>
        <v>0</v>
      </c>
      <c r="CI1609" s="12">
        <f t="shared" ref="CI1609" si="604">SUM(CI1409:CI1608)</f>
        <v>0</v>
      </c>
      <c r="CJ1609" s="12">
        <f t="shared" ref="CJ1609" si="605">SUM(CJ1409:CJ1608)</f>
        <v>0</v>
      </c>
      <c r="CK1609" s="12">
        <f t="shared" ref="CK1609" si="606">SUM(CK1409:CK1608)</f>
        <v>0</v>
      </c>
      <c r="CL1609" s="12">
        <f t="shared" ref="CL1609" si="607">SUM(CL1409:CL1608)</f>
        <v>0</v>
      </c>
    </row>
    <row r="1610" spans="1:90" x14ac:dyDescent="0.3">
      <c r="A1610" s="1" t="s">
        <v>50</v>
      </c>
      <c r="B1610" s="7">
        <v>40751</v>
      </c>
      <c r="C1610" s="1">
        <v>2.7</v>
      </c>
      <c r="D1610" s="1">
        <v>12</v>
      </c>
      <c r="F1610" s="1">
        <v>1</v>
      </c>
      <c r="I1610" s="1">
        <v>1</v>
      </c>
      <c r="T1610" s="1">
        <v>1</v>
      </c>
      <c r="W1610" s="1">
        <v>1</v>
      </c>
    </row>
    <row r="1611" spans="1:90" x14ac:dyDescent="0.3">
      <c r="A1611" s="1" t="s">
        <v>50</v>
      </c>
      <c r="B1611" s="7">
        <v>40751</v>
      </c>
      <c r="C1611" s="1">
        <v>2.7</v>
      </c>
      <c r="D1611" s="1">
        <v>12</v>
      </c>
      <c r="F1611" s="1">
        <v>2</v>
      </c>
      <c r="J1611" s="1">
        <v>1</v>
      </c>
    </row>
    <row r="1612" spans="1:90" x14ac:dyDescent="0.3">
      <c r="A1612" s="1" t="s">
        <v>50</v>
      </c>
      <c r="B1612" s="7">
        <v>40751</v>
      </c>
      <c r="C1612" s="1">
        <v>2.7</v>
      </c>
      <c r="D1612" s="1">
        <v>12</v>
      </c>
      <c r="F1612" s="1">
        <v>3</v>
      </c>
      <c r="I1612" s="1">
        <v>1</v>
      </c>
      <c r="J1612" s="3">
        <v>0</v>
      </c>
      <c r="K1612" s="3">
        <v>1</v>
      </c>
      <c r="BI1612" s="3">
        <v>0</v>
      </c>
      <c r="BJ1612" s="3">
        <v>1</v>
      </c>
    </row>
    <row r="1613" spans="1:90" x14ac:dyDescent="0.3">
      <c r="A1613" s="1" t="s">
        <v>50</v>
      </c>
      <c r="B1613" s="7">
        <v>40751</v>
      </c>
      <c r="C1613" s="1">
        <v>2.7</v>
      </c>
      <c r="D1613" s="1">
        <v>12</v>
      </c>
      <c r="F1613" s="1">
        <v>4</v>
      </c>
      <c r="J1613" s="3">
        <v>0</v>
      </c>
      <c r="K1613" s="3">
        <v>1</v>
      </c>
      <c r="L1613" s="1">
        <v>1</v>
      </c>
    </row>
    <row r="1614" spans="1:90" x14ac:dyDescent="0.3">
      <c r="A1614" s="1" t="s">
        <v>50</v>
      </c>
      <c r="B1614" s="7">
        <v>40751</v>
      </c>
      <c r="C1614" s="1">
        <v>2.7</v>
      </c>
      <c r="D1614" s="1">
        <v>12</v>
      </c>
      <c r="F1614" s="1">
        <v>5</v>
      </c>
      <c r="J1614" s="1">
        <v>1</v>
      </c>
      <c r="T1614" s="1">
        <v>1</v>
      </c>
    </row>
    <row r="1615" spans="1:90" x14ac:dyDescent="0.3">
      <c r="A1615" s="1" t="s">
        <v>50</v>
      </c>
      <c r="B1615" s="7">
        <v>40751</v>
      </c>
      <c r="C1615" s="1">
        <v>2.7</v>
      </c>
      <c r="D1615" s="1">
        <v>12</v>
      </c>
      <c r="F1615" s="1">
        <v>6</v>
      </c>
      <c r="J1615" s="3">
        <v>0</v>
      </c>
      <c r="K1615" s="3">
        <v>1</v>
      </c>
      <c r="L1615" s="1">
        <v>1</v>
      </c>
    </row>
    <row r="1616" spans="1:90" x14ac:dyDescent="0.3">
      <c r="A1616" s="1" t="s">
        <v>50</v>
      </c>
      <c r="B1616" s="7">
        <v>40751</v>
      </c>
      <c r="C1616" s="1">
        <v>2.7</v>
      </c>
      <c r="D1616" s="1">
        <v>12</v>
      </c>
      <c r="F1616" s="1">
        <v>7</v>
      </c>
      <c r="H1616" s="1">
        <v>1</v>
      </c>
      <c r="T1616" s="1">
        <v>1</v>
      </c>
    </row>
    <row r="1617" spans="1:61" x14ac:dyDescent="0.3">
      <c r="A1617" s="1" t="s">
        <v>50</v>
      </c>
      <c r="B1617" s="7">
        <v>40751</v>
      </c>
      <c r="C1617" s="1">
        <v>2.7</v>
      </c>
      <c r="D1617" s="1">
        <v>12</v>
      </c>
      <c r="F1617" s="1">
        <v>8</v>
      </c>
      <c r="N1617" s="8">
        <v>1</v>
      </c>
      <c r="O1617" s="8"/>
      <c r="BI1617" s="1">
        <v>1</v>
      </c>
    </row>
    <row r="1618" spans="1:61" x14ac:dyDescent="0.3">
      <c r="A1618" s="1" t="s">
        <v>50</v>
      </c>
      <c r="B1618" s="7">
        <v>40751</v>
      </c>
      <c r="C1618" s="1">
        <v>2.7</v>
      </c>
      <c r="D1618" s="1">
        <v>12</v>
      </c>
      <c r="F1618" s="1">
        <v>9</v>
      </c>
      <c r="T1618" s="1">
        <v>1</v>
      </c>
    </row>
    <row r="1619" spans="1:61" x14ac:dyDescent="0.3">
      <c r="A1619" s="1" t="s">
        <v>50</v>
      </c>
      <c r="B1619" s="7">
        <v>40751</v>
      </c>
      <c r="C1619" s="1">
        <v>2.7</v>
      </c>
      <c r="D1619" s="1">
        <v>12</v>
      </c>
      <c r="F1619" s="1">
        <v>10</v>
      </c>
      <c r="J1619" s="1">
        <v>1</v>
      </c>
      <c r="T1619" s="1">
        <v>1</v>
      </c>
    </row>
    <row r="1620" spans="1:61" x14ac:dyDescent="0.3">
      <c r="A1620" s="1" t="s">
        <v>50</v>
      </c>
      <c r="B1620" s="7">
        <v>40751</v>
      </c>
      <c r="C1620" s="1">
        <v>2.7</v>
      </c>
      <c r="D1620" s="1">
        <v>12</v>
      </c>
      <c r="F1620" s="1">
        <v>11</v>
      </c>
      <c r="BI1620" s="1">
        <v>1</v>
      </c>
    </row>
    <row r="1621" spans="1:61" x14ac:dyDescent="0.3">
      <c r="A1621" s="1" t="s">
        <v>50</v>
      </c>
      <c r="B1621" s="7">
        <v>40751</v>
      </c>
      <c r="C1621" s="1">
        <v>2.7</v>
      </c>
      <c r="D1621" s="1">
        <v>12</v>
      </c>
      <c r="F1621" s="1">
        <v>12</v>
      </c>
      <c r="J1621" s="1">
        <v>1</v>
      </c>
    </row>
    <row r="1622" spans="1:61" x14ac:dyDescent="0.3">
      <c r="A1622" s="1" t="s">
        <v>50</v>
      </c>
      <c r="B1622" s="7">
        <v>40751</v>
      </c>
      <c r="C1622" s="1">
        <v>2.7</v>
      </c>
      <c r="D1622" s="1">
        <v>12</v>
      </c>
      <c r="F1622" s="1">
        <v>13</v>
      </c>
      <c r="L1622" s="1">
        <v>1</v>
      </c>
    </row>
    <row r="1623" spans="1:61" x14ac:dyDescent="0.3">
      <c r="A1623" s="1" t="s">
        <v>50</v>
      </c>
      <c r="B1623" s="7">
        <v>40751</v>
      </c>
      <c r="C1623" s="1">
        <v>2.7</v>
      </c>
      <c r="D1623" s="1">
        <v>12</v>
      </c>
      <c r="F1623" s="1">
        <v>14</v>
      </c>
      <c r="H1623" s="1">
        <v>1</v>
      </c>
      <c r="T1623" s="1">
        <v>1</v>
      </c>
    </row>
    <row r="1624" spans="1:61" x14ac:dyDescent="0.3">
      <c r="A1624" s="1" t="s">
        <v>50</v>
      </c>
      <c r="B1624" s="7">
        <v>40751</v>
      </c>
      <c r="C1624" s="1">
        <v>2.7</v>
      </c>
      <c r="D1624" s="1">
        <v>12</v>
      </c>
      <c r="F1624" s="1">
        <v>15</v>
      </c>
      <c r="J1624" s="1">
        <v>1</v>
      </c>
      <c r="L1624" s="1">
        <v>1</v>
      </c>
      <c r="N1624" s="1">
        <v>1</v>
      </c>
    </row>
    <row r="1625" spans="1:61" x14ac:dyDescent="0.3">
      <c r="A1625" s="1" t="s">
        <v>50</v>
      </c>
      <c r="B1625" s="7">
        <v>40751</v>
      </c>
      <c r="C1625" s="1">
        <v>2.7</v>
      </c>
      <c r="D1625" s="1">
        <v>12</v>
      </c>
      <c r="F1625" s="1">
        <v>16</v>
      </c>
      <c r="J1625" s="3">
        <v>0</v>
      </c>
      <c r="K1625" s="3">
        <v>1</v>
      </c>
      <c r="L1625" s="1">
        <v>1</v>
      </c>
    </row>
    <row r="1626" spans="1:61" x14ac:dyDescent="0.3">
      <c r="A1626" s="1" t="s">
        <v>50</v>
      </c>
      <c r="B1626" s="7">
        <v>40751</v>
      </c>
      <c r="C1626" s="1">
        <v>2.7</v>
      </c>
      <c r="D1626" s="1">
        <v>12</v>
      </c>
      <c r="F1626" s="1">
        <v>17</v>
      </c>
      <c r="J1626" s="3">
        <v>0</v>
      </c>
      <c r="K1626" s="3">
        <v>1</v>
      </c>
      <c r="T1626" s="1">
        <v>1</v>
      </c>
    </row>
    <row r="1627" spans="1:61" x14ac:dyDescent="0.3">
      <c r="A1627" s="1" t="s">
        <v>50</v>
      </c>
      <c r="B1627" s="7">
        <v>40751</v>
      </c>
      <c r="C1627" s="1">
        <v>2.7</v>
      </c>
      <c r="D1627" s="1">
        <v>12</v>
      </c>
      <c r="F1627" s="1">
        <v>18</v>
      </c>
      <c r="J1627" s="3">
        <v>0</v>
      </c>
      <c r="K1627" s="3">
        <v>1</v>
      </c>
    </row>
    <row r="1628" spans="1:61" x14ac:dyDescent="0.3">
      <c r="A1628" s="1" t="s">
        <v>50</v>
      </c>
      <c r="B1628" s="7">
        <v>40751</v>
      </c>
      <c r="C1628" s="1">
        <v>2.7</v>
      </c>
      <c r="D1628" s="1">
        <v>12</v>
      </c>
      <c r="F1628" s="1">
        <v>19</v>
      </c>
      <c r="J1628" s="3">
        <v>0</v>
      </c>
      <c r="K1628" s="3">
        <v>1</v>
      </c>
    </row>
    <row r="1629" spans="1:61" x14ac:dyDescent="0.3">
      <c r="A1629" s="1" t="s">
        <v>50</v>
      </c>
      <c r="B1629" s="7">
        <v>40751</v>
      </c>
      <c r="C1629" s="1">
        <v>2.7</v>
      </c>
      <c r="D1629" s="1">
        <v>12</v>
      </c>
      <c r="F1629" s="1">
        <v>20</v>
      </c>
      <c r="J1629" s="1">
        <v>1</v>
      </c>
      <c r="T1629" s="1">
        <v>1</v>
      </c>
    </row>
    <row r="1630" spans="1:61" x14ac:dyDescent="0.3">
      <c r="A1630" s="1" t="s">
        <v>50</v>
      </c>
      <c r="B1630" s="7">
        <v>40751</v>
      </c>
      <c r="C1630" s="1">
        <v>2.7</v>
      </c>
      <c r="D1630" s="1">
        <v>12</v>
      </c>
      <c r="F1630" s="1">
        <v>21</v>
      </c>
      <c r="J1630" s="1">
        <v>1</v>
      </c>
      <c r="L1630" s="3">
        <v>0</v>
      </c>
      <c r="M1630" s="3">
        <v>1</v>
      </c>
    </row>
    <row r="1631" spans="1:61" x14ac:dyDescent="0.3">
      <c r="A1631" s="1" t="s">
        <v>50</v>
      </c>
      <c r="B1631" s="7">
        <v>40751</v>
      </c>
      <c r="C1631" s="1">
        <v>2.7</v>
      </c>
      <c r="D1631" s="1">
        <v>12</v>
      </c>
      <c r="F1631" s="1">
        <v>22</v>
      </c>
      <c r="L1631" s="1">
        <v>1</v>
      </c>
      <c r="T1631" s="1">
        <v>1</v>
      </c>
    </row>
    <row r="1632" spans="1:61" x14ac:dyDescent="0.3">
      <c r="A1632" s="1" t="s">
        <v>50</v>
      </c>
      <c r="B1632" s="7">
        <v>40751</v>
      </c>
      <c r="C1632" s="1">
        <v>2.7</v>
      </c>
      <c r="D1632" s="1">
        <v>12</v>
      </c>
      <c r="F1632" s="1">
        <v>23</v>
      </c>
      <c r="J1632" s="1">
        <v>1</v>
      </c>
    </row>
    <row r="1633" spans="1:39" x14ac:dyDescent="0.3">
      <c r="A1633" s="1" t="s">
        <v>50</v>
      </c>
      <c r="B1633" s="7">
        <v>40751</v>
      </c>
      <c r="C1633" s="1">
        <v>2.7</v>
      </c>
      <c r="D1633" s="1">
        <v>12</v>
      </c>
      <c r="F1633" s="1">
        <v>24</v>
      </c>
      <c r="J1633" s="1">
        <v>1</v>
      </c>
      <c r="L1633" s="1">
        <v>1</v>
      </c>
    </row>
    <row r="1634" spans="1:39" x14ac:dyDescent="0.3">
      <c r="A1634" s="1" t="s">
        <v>50</v>
      </c>
      <c r="B1634" s="7">
        <v>40751</v>
      </c>
      <c r="C1634" s="1">
        <v>2.7</v>
      </c>
      <c r="D1634" s="1">
        <v>12</v>
      </c>
      <c r="F1634" s="1">
        <v>25</v>
      </c>
      <c r="I1634" s="1">
        <v>1</v>
      </c>
      <c r="J1634" s="1">
        <v>1</v>
      </c>
      <c r="L1634" s="1">
        <v>1</v>
      </c>
    </row>
    <row r="1635" spans="1:39" x14ac:dyDescent="0.3">
      <c r="A1635" s="1" t="s">
        <v>50</v>
      </c>
      <c r="B1635" s="7">
        <v>40751</v>
      </c>
      <c r="C1635" s="1">
        <v>2.7</v>
      </c>
      <c r="D1635" s="1">
        <v>12</v>
      </c>
      <c r="F1635" s="1">
        <v>26</v>
      </c>
      <c r="L1635" s="1">
        <v>1</v>
      </c>
    </row>
    <row r="1636" spans="1:39" x14ac:dyDescent="0.3">
      <c r="A1636" s="1" t="s">
        <v>50</v>
      </c>
      <c r="B1636" s="7">
        <v>40751</v>
      </c>
      <c r="C1636" s="1">
        <v>2.7</v>
      </c>
      <c r="D1636" s="1">
        <v>12</v>
      </c>
      <c r="F1636" s="1">
        <v>27</v>
      </c>
      <c r="J1636" s="1">
        <v>1</v>
      </c>
      <c r="T1636" s="1">
        <v>1</v>
      </c>
    </row>
    <row r="1637" spans="1:39" x14ac:dyDescent="0.3">
      <c r="A1637" s="1" t="s">
        <v>50</v>
      </c>
      <c r="B1637" s="7">
        <v>40751</v>
      </c>
      <c r="C1637" s="1">
        <v>2.7</v>
      </c>
      <c r="D1637" s="1">
        <v>12</v>
      </c>
      <c r="F1637" s="1">
        <v>28</v>
      </c>
      <c r="J1637" s="3">
        <v>0</v>
      </c>
      <c r="K1637" s="3">
        <v>1</v>
      </c>
    </row>
    <row r="1638" spans="1:39" x14ac:dyDescent="0.3">
      <c r="A1638" s="1" t="s">
        <v>50</v>
      </c>
      <c r="B1638" s="7">
        <v>40751</v>
      </c>
      <c r="C1638" s="1">
        <v>2.7</v>
      </c>
      <c r="D1638" s="1">
        <v>12</v>
      </c>
      <c r="F1638" s="1">
        <v>29</v>
      </c>
      <c r="J1638" s="3">
        <v>0</v>
      </c>
      <c r="K1638" s="3">
        <v>1</v>
      </c>
    </row>
    <row r="1639" spans="1:39" x14ac:dyDescent="0.3">
      <c r="A1639" s="1" t="s">
        <v>50</v>
      </c>
      <c r="B1639" s="7">
        <v>40751</v>
      </c>
      <c r="C1639" s="1">
        <v>2.7</v>
      </c>
      <c r="D1639" s="1">
        <v>12</v>
      </c>
      <c r="F1639" s="1">
        <v>30</v>
      </c>
      <c r="J1639" s="3">
        <v>0</v>
      </c>
      <c r="K1639" s="3">
        <v>1</v>
      </c>
      <c r="T1639" s="8">
        <v>1</v>
      </c>
      <c r="U1639" s="8"/>
    </row>
    <row r="1640" spans="1:39" x14ac:dyDescent="0.3">
      <c r="A1640" s="1" t="s">
        <v>50</v>
      </c>
      <c r="B1640" s="7">
        <v>40751</v>
      </c>
      <c r="C1640" s="1">
        <v>2.7</v>
      </c>
      <c r="D1640" s="1">
        <v>12</v>
      </c>
      <c r="F1640" s="1">
        <v>31</v>
      </c>
      <c r="J1640" s="1">
        <v>1</v>
      </c>
      <c r="AM1640" s="1">
        <v>1</v>
      </c>
    </row>
    <row r="1641" spans="1:39" x14ac:dyDescent="0.3">
      <c r="A1641" s="1" t="s">
        <v>50</v>
      </c>
      <c r="B1641" s="7">
        <v>40751</v>
      </c>
      <c r="C1641" s="1">
        <v>2.7</v>
      </c>
      <c r="D1641" s="1">
        <v>12</v>
      </c>
      <c r="F1641" s="1">
        <v>32</v>
      </c>
      <c r="T1641" s="1">
        <v>1</v>
      </c>
    </row>
    <row r="1642" spans="1:39" x14ac:dyDescent="0.3">
      <c r="A1642" s="1" t="s">
        <v>50</v>
      </c>
      <c r="B1642" s="7">
        <v>40751</v>
      </c>
      <c r="C1642" s="1">
        <v>2.7</v>
      </c>
      <c r="D1642" s="1">
        <v>12</v>
      </c>
      <c r="F1642" s="1">
        <v>33</v>
      </c>
    </row>
    <row r="1643" spans="1:39" x14ac:dyDescent="0.3">
      <c r="A1643" s="1" t="s">
        <v>50</v>
      </c>
      <c r="B1643" s="7">
        <v>40751</v>
      </c>
      <c r="C1643" s="1">
        <v>2.7</v>
      </c>
      <c r="D1643" s="1">
        <v>12</v>
      </c>
      <c r="F1643" s="1">
        <v>34</v>
      </c>
    </row>
    <row r="1644" spans="1:39" x14ac:dyDescent="0.3">
      <c r="A1644" s="1" t="s">
        <v>50</v>
      </c>
      <c r="B1644" s="7">
        <v>40751</v>
      </c>
      <c r="C1644" s="1">
        <v>2.7</v>
      </c>
      <c r="D1644" s="1">
        <v>12</v>
      </c>
      <c r="F1644" s="1">
        <v>35</v>
      </c>
      <c r="I1644" s="1">
        <v>1</v>
      </c>
    </row>
    <row r="1645" spans="1:39" x14ac:dyDescent="0.3">
      <c r="A1645" s="1" t="s">
        <v>50</v>
      </c>
      <c r="B1645" s="7">
        <v>40751</v>
      </c>
      <c r="C1645" s="1">
        <v>2.7</v>
      </c>
      <c r="D1645" s="1">
        <v>12</v>
      </c>
      <c r="F1645" s="1">
        <v>36</v>
      </c>
    </row>
    <row r="1646" spans="1:39" x14ac:dyDescent="0.3">
      <c r="A1646" s="1" t="s">
        <v>50</v>
      </c>
      <c r="B1646" s="7">
        <v>40751</v>
      </c>
      <c r="C1646" s="1">
        <v>2.7</v>
      </c>
      <c r="D1646" s="1">
        <v>12</v>
      </c>
      <c r="F1646" s="1">
        <v>37</v>
      </c>
      <c r="J1646" s="1">
        <v>1</v>
      </c>
      <c r="L1646" s="1">
        <v>1</v>
      </c>
    </row>
    <row r="1647" spans="1:39" x14ac:dyDescent="0.3">
      <c r="A1647" s="1" t="s">
        <v>50</v>
      </c>
      <c r="B1647" s="7">
        <v>40751</v>
      </c>
      <c r="C1647" s="1">
        <v>2.7</v>
      </c>
      <c r="D1647" s="1">
        <v>12</v>
      </c>
      <c r="F1647" s="1">
        <v>38</v>
      </c>
      <c r="J1647" s="3">
        <v>0</v>
      </c>
      <c r="K1647" s="3">
        <v>1</v>
      </c>
    </row>
    <row r="1648" spans="1:39" x14ac:dyDescent="0.3">
      <c r="A1648" s="1" t="s">
        <v>50</v>
      </c>
      <c r="B1648" s="7">
        <v>40751</v>
      </c>
      <c r="C1648" s="1">
        <v>2.7</v>
      </c>
      <c r="D1648" s="1">
        <v>12</v>
      </c>
      <c r="F1648" s="1">
        <v>39</v>
      </c>
      <c r="L1648" s="1">
        <v>1</v>
      </c>
      <c r="T1648" s="1">
        <v>1</v>
      </c>
    </row>
    <row r="1649" spans="1:32" x14ac:dyDescent="0.3">
      <c r="A1649" s="1" t="s">
        <v>50</v>
      </c>
      <c r="B1649" s="7">
        <v>40751</v>
      </c>
      <c r="C1649" s="1">
        <v>2.7</v>
      </c>
      <c r="D1649" s="1">
        <v>12</v>
      </c>
      <c r="F1649" s="1">
        <v>40</v>
      </c>
      <c r="J1649" s="3">
        <v>0</v>
      </c>
      <c r="K1649" s="3">
        <v>1</v>
      </c>
      <c r="T1649" s="1">
        <v>1</v>
      </c>
    </row>
    <row r="1650" spans="1:32" x14ac:dyDescent="0.3">
      <c r="A1650" s="1" t="s">
        <v>50</v>
      </c>
      <c r="B1650" s="7">
        <v>40751</v>
      </c>
      <c r="C1650" s="1">
        <v>2.7</v>
      </c>
      <c r="D1650" s="1">
        <v>12</v>
      </c>
      <c r="F1650" s="1">
        <v>41</v>
      </c>
      <c r="J1650" s="1">
        <v>1</v>
      </c>
    </row>
    <row r="1651" spans="1:32" x14ac:dyDescent="0.3">
      <c r="A1651" s="1" t="s">
        <v>50</v>
      </c>
      <c r="B1651" s="7">
        <v>40751</v>
      </c>
      <c r="C1651" s="1">
        <v>2.7</v>
      </c>
      <c r="D1651" s="1">
        <v>12</v>
      </c>
      <c r="F1651" s="1">
        <v>42</v>
      </c>
      <c r="AF1651" s="1">
        <v>1</v>
      </c>
    </row>
    <row r="1652" spans="1:32" x14ac:dyDescent="0.3">
      <c r="A1652" s="1" t="s">
        <v>50</v>
      </c>
      <c r="B1652" s="7">
        <v>40751</v>
      </c>
      <c r="C1652" s="1">
        <v>2.7</v>
      </c>
      <c r="D1652" s="1">
        <v>12</v>
      </c>
      <c r="F1652" s="1">
        <v>43</v>
      </c>
    </row>
    <row r="1653" spans="1:32" x14ac:dyDescent="0.3">
      <c r="A1653" s="1" t="s">
        <v>50</v>
      </c>
      <c r="B1653" s="7">
        <v>40751</v>
      </c>
      <c r="C1653" s="1">
        <v>2.7</v>
      </c>
      <c r="D1653" s="1">
        <v>12</v>
      </c>
      <c r="F1653" s="1">
        <v>44</v>
      </c>
      <c r="J1653" s="8">
        <v>1</v>
      </c>
      <c r="K1653" s="8"/>
    </row>
    <row r="1654" spans="1:32" x14ac:dyDescent="0.3">
      <c r="A1654" s="1" t="s">
        <v>50</v>
      </c>
      <c r="B1654" s="7">
        <v>40751</v>
      </c>
      <c r="C1654" s="1">
        <v>2.7</v>
      </c>
      <c r="D1654" s="1">
        <v>12</v>
      </c>
      <c r="F1654" s="1">
        <v>45</v>
      </c>
      <c r="J1654" s="1">
        <v>1</v>
      </c>
      <c r="T1654" s="1">
        <v>1</v>
      </c>
    </row>
    <row r="1655" spans="1:32" x14ac:dyDescent="0.3">
      <c r="A1655" s="1" t="s">
        <v>50</v>
      </c>
      <c r="B1655" s="7">
        <v>40751</v>
      </c>
      <c r="C1655" s="1">
        <v>2.7</v>
      </c>
      <c r="D1655" s="1">
        <v>12</v>
      </c>
      <c r="F1655" s="1">
        <v>46</v>
      </c>
      <c r="J1655" s="1">
        <v>1</v>
      </c>
      <c r="L1655" s="1">
        <v>1</v>
      </c>
    </row>
    <row r="1656" spans="1:32" x14ac:dyDescent="0.3">
      <c r="A1656" s="1" t="s">
        <v>50</v>
      </c>
      <c r="B1656" s="7">
        <v>40751</v>
      </c>
      <c r="C1656" s="1">
        <v>2.7</v>
      </c>
      <c r="D1656" s="1">
        <v>12</v>
      </c>
      <c r="F1656" s="1">
        <v>47</v>
      </c>
      <c r="J1656" s="1">
        <v>1</v>
      </c>
      <c r="T1656" s="1">
        <v>1</v>
      </c>
    </row>
    <row r="1657" spans="1:32" x14ac:dyDescent="0.3">
      <c r="A1657" s="1" t="s">
        <v>50</v>
      </c>
      <c r="B1657" s="7">
        <v>40751</v>
      </c>
      <c r="C1657" s="1">
        <v>2.7</v>
      </c>
      <c r="D1657" s="1">
        <v>12</v>
      </c>
      <c r="F1657" s="1">
        <v>48</v>
      </c>
    </row>
    <row r="1658" spans="1:32" x14ac:dyDescent="0.3">
      <c r="A1658" s="1" t="s">
        <v>50</v>
      </c>
      <c r="B1658" s="7">
        <v>40751</v>
      </c>
      <c r="C1658" s="1">
        <v>2.7</v>
      </c>
      <c r="D1658" s="1">
        <v>12</v>
      </c>
      <c r="F1658" s="1">
        <v>49</v>
      </c>
      <c r="J1658" s="1">
        <v>1</v>
      </c>
    </row>
    <row r="1659" spans="1:32" x14ac:dyDescent="0.3">
      <c r="A1659" s="1" t="s">
        <v>50</v>
      </c>
      <c r="B1659" s="7">
        <v>40751</v>
      </c>
      <c r="C1659" s="1">
        <v>2.7</v>
      </c>
      <c r="D1659" s="1">
        <v>12</v>
      </c>
      <c r="F1659" s="1">
        <v>50</v>
      </c>
      <c r="J1659" s="1">
        <v>1</v>
      </c>
      <c r="T1659" s="1">
        <v>1</v>
      </c>
    </row>
    <row r="1660" spans="1:32" x14ac:dyDescent="0.3">
      <c r="A1660" s="1" t="s">
        <v>50</v>
      </c>
      <c r="B1660" s="7">
        <v>40751</v>
      </c>
      <c r="C1660" s="1">
        <v>2.7</v>
      </c>
      <c r="D1660" s="1">
        <v>12</v>
      </c>
      <c r="F1660" s="1">
        <v>51</v>
      </c>
      <c r="J1660" s="1">
        <v>1</v>
      </c>
    </row>
    <row r="1661" spans="1:32" x14ac:dyDescent="0.3">
      <c r="A1661" s="1" t="s">
        <v>50</v>
      </c>
      <c r="B1661" s="7">
        <v>40751</v>
      </c>
      <c r="C1661" s="1">
        <v>2.7</v>
      </c>
      <c r="D1661" s="1">
        <v>12</v>
      </c>
      <c r="F1661" s="1">
        <v>52</v>
      </c>
      <c r="J1661" s="1">
        <v>1</v>
      </c>
    </row>
    <row r="1662" spans="1:32" x14ac:dyDescent="0.3">
      <c r="A1662" s="1" t="s">
        <v>50</v>
      </c>
      <c r="B1662" s="7">
        <v>40751</v>
      </c>
      <c r="C1662" s="1">
        <v>2.7</v>
      </c>
      <c r="D1662" s="1">
        <v>12</v>
      </c>
      <c r="F1662" s="1">
        <v>53</v>
      </c>
      <c r="J1662" s="1">
        <v>1</v>
      </c>
    </row>
    <row r="1663" spans="1:32" x14ac:dyDescent="0.3">
      <c r="A1663" s="1" t="s">
        <v>50</v>
      </c>
      <c r="B1663" s="7">
        <v>40751</v>
      </c>
      <c r="C1663" s="1">
        <v>2.7</v>
      </c>
      <c r="D1663" s="1">
        <v>12</v>
      </c>
      <c r="F1663" s="1">
        <v>54</v>
      </c>
      <c r="J1663" s="1">
        <v>1</v>
      </c>
      <c r="L1663" s="1">
        <v>1</v>
      </c>
    </row>
    <row r="1664" spans="1:32" x14ac:dyDescent="0.3">
      <c r="A1664" s="1" t="s">
        <v>50</v>
      </c>
      <c r="B1664" s="7">
        <v>40751</v>
      </c>
      <c r="C1664" s="1">
        <v>2.7</v>
      </c>
      <c r="D1664" s="1">
        <v>12</v>
      </c>
      <c r="F1664" s="1">
        <v>55</v>
      </c>
      <c r="R1664" s="1">
        <v>1</v>
      </c>
    </row>
    <row r="1665" spans="1:64" x14ac:dyDescent="0.3">
      <c r="A1665" s="1" t="s">
        <v>50</v>
      </c>
      <c r="B1665" s="7">
        <v>40751</v>
      </c>
      <c r="C1665" s="1">
        <v>2.7</v>
      </c>
      <c r="D1665" s="1">
        <v>12</v>
      </c>
      <c r="F1665" s="1">
        <v>56</v>
      </c>
      <c r="L1665" s="1">
        <v>1</v>
      </c>
      <c r="BL1665" s="1">
        <v>1</v>
      </c>
    </row>
    <row r="1666" spans="1:64" x14ac:dyDescent="0.3">
      <c r="A1666" s="1" t="s">
        <v>50</v>
      </c>
      <c r="B1666" s="7">
        <v>40751</v>
      </c>
      <c r="C1666" s="1">
        <v>2.7</v>
      </c>
      <c r="D1666" s="1">
        <v>12</v>
      </c>
      <c r="F1666" s="1">
        <v>57</v>
      </c>
      <c r="T1666" s="1">
        <v>1</v>
      </c>
    </row>
    <row r="1667" spans="1:64" x14ac:dyDescent="0.3">
      <c r="A1667" s="1" t="s">
        <v>50</v>
      </c>
      <c r="B1667" s="7">
        <v>40751</v>
      </c>
      <c r="C1667" s="1">
        <v>2.7</v>
      </c>
      <c r="D1667" s="1">
        <v>12</v>
      </c>
      <c r="F1667" s="1">
        <v>58</v>
      </c>
      <c r="L1667" s="1">
        <v>1</v>
      </c>
    </row>
    <row r="1668" spans="1:64" x14ac:dyDescent="0.3">
      <c r="A1668" s="1" t="s">
        <v>50</v>
      </c>
      <c r="B1668" s="7">
        <v>40751</v>
      </c>
      <c r="C1668" s="1">
        <v>2.7</v>
      </c>
      <c r="D1668" s="1">
        <v>12</v>
      </c>
      <c r="F1668" s="1">
        <v>59</v>
      </c>
      <c r="T1668" s="1">
        <v>1</v>
      </c>
    </row>
    <row r="1669" spans="1:64" x14ac:dyDescent="0.3">
      <c r="A1669" s="1" t="s">
        <v>50</v>
      </c>
      <c r="B1669" s="7">
        <v>40751</v>
      </c>
      <c r="C1669" s="1">
        <v>2.7</v>
      </c>
      <c r="D1669" s="1">
        <v>12</v>
      </c>
      <c r="F1669" s="1">
        <v>60</v>
      </c>
      <c r="T1669" s="8">
        <v>1</v>
      </c>
      <c r="U1669" s="8"/>
    </row>
    <row r="1670" spans="1:64" x14ac:dyDescent="0.3">
      <c r="A1670" s="1" t="s">
        <v>50</v>
      </c>
      <c r="B1670" s="7">
        <v>40751</v>
      </c>
      <c r="C1670" s="1">
        <v>2.7</v>
      </c>
      <c r="D1670" s="1">
        <v>12</v>
      </c>
      <c r="F1670" s="1">
        <v>61</v>
      </c>
      <c r="AM1670" s="1">
        <v>1</v>
      </c>
      <c r="BI1670" s="1">
        <v>1</v>
      </c>
    </row>
    <row r="1671" spans="1:64" x14ac:dyDescent="0.3">
      <c r="A1671" s="1" t="s">
        <v>50</v>
      </c>
      <c r="B1671" s="7">
        <v>40751</v>
      </c>
      <c r="C1671" s="1">
        <v>2.7</v>
      </c>
      <c r="D1671" s="1">
        <v>12</v>
      </c>
      <c r="F1671" s="1">
        <v>62</v>
      </c>
      <c r="L1671" s="1">
        <v>1</v>
      </c>
      <c r="AM1671" s="1">
        <v>1</v>
      </c>
    </row>
    <row r="1672" spans="1:64" x14ac:dyDescent="0.3">
      <c r="A1672" s="1" t="s">
        <v>50</v>
      </c>
      <c r="B1672" s="7">
        <v>40751</v>
      </c>
      <c r="C1672" s="1">
        <v>2.7</v>
      </c>
      <c r="D1672" s="1">
        <v>12</v>
      </c>
      <c r="F1672" s="1">
        <v>63</v>
      </c>
    </row>
    <row r="1673" spans="1:64" x14ac:dyDescent="0.3">
      <c r="A1673" s="1" t="s">
        <v>50</v>
      </c>
      <c r="B1673" s="7">
        <v>40751</v>
      </c>
      <c r="C1673" s="1">
        <v>2.7</v>
      </c>
      <c r="D1673" s="1">
        <v>12</v>
      </c>
      <c r="F1673" s="1">
        <v>64</v>
      </c>
      <c r="L1673" s="1">
        <v>1</v>
      </c>
    </row>
    <row r="1674" spans="1:64" x14ac:dyDescent="0.3">
      <c r="A1674" s="1" t="s">
        <v>50</v>
      </c>
      <c r="B1674" s="7">
        <v>40751</v>
      </c>
      <c r="C1674" s="1">
        <v>2.7</v>
      </c>
      <c r="D1674" s="1">
        <v>12</v>
      </c>
      <c r="F1674" s="1">
        <v>65</v>
      </c>
      <c r="BL1674" s="1">
        <v>1</v>
      </c>
    </row>
    <row r="1675" spans="1:64" x14ac:dyDescent="0.3">
      <c r="A1675" s="1" t="s">
        <v>50</v>
      </c>
      <c r="B1675" s="7">
        <v>40751</v>
      </c>
      <c r="C1675" s="1">
        <v>2.7</v>
      </c>
      <c r="D1675" s="1">
        <v>12</v>
      </c>
      <c r="F1675" s="1">
        <v>66</v>
      </c>
      <c r="T1675" s="1">
        <v>1</v>
      </c>
      <c r="BL1675" s="1">
        <v>1</v>
      </c>
    </row>
    <row r="1676" spans="1:64" x14ac:dyDescent="0.3">
      <c r="A1676" s="1" t="s">
        <v>50</v>
      </c>
      <c r="B1676" s="7">
        <v>40751</v>
      </c>
      <c r="C1676" s="1">
        <v>2.7</v>
      </c>
      <c r="D1676" s="1">
        <v>12</v>
      </c>
      <c r="F1676" s="1">
        <v>67</v>
      </c>
      <c r="T1676" s="1">
        <v>1</v>
      </c>
    </row>
    <row r="1677" spans="1:64" x14ac:dyDescent="0.3">
      <c r="A1677" s="1" t="s">
        <v>50</v>
      </c>
      <c r="B1677" s="7">
        <v>40751</v>
      </c>
      <c r="C1677" s="1">
        <v>2.7</v>
      </c>
      <c r="D1677" s="1">
        <v>12</v>
      </c>
      <c r="F1677" s="1">
        <v>68</v>
      </c>
      <c r="J1677" s="1">
        <v>1</v>
      </c>
      <c r="T1677" s="1">
        <v>1</v>
      </c>
    </row>
    <row r="1678" spans="1:64" x14ac:dyDescent="0.3">
      <c r="A1678" s="1" t="s">
        <v>50</v>
      </c>
      <c r="B1678" s="7">
        <v>40751</v>
      </c>
      <c r="C1678" s="1">
        <v>2.7</v>
      </c>
      <c r="D1678" s="1">
        <v>12</v>
      </c>
      <c r="F1678" s="1">
        <v>69</v>
      </c>
      <c r="J1678" s="1">
        <v>1</v>
      </c>
      <c r="T1678" s="1">
        <v>1</v>
      </c>
    </row>
    <row r="1679" spans="1:64" x14ac:dyDescent="0.3">
      <c r="A1679" s="1" t="s">
        <v>50</v>
      </c>
      <c r="B1679" s="7">
        <v>40751</v>
      </c>
      <c r="C1679" s="1">
        <v>2.7</v>
      </c>
      <c r="D1679" s="1">
        <v>12</v>
      </c>
      <c r="F1679" s="1">
        <v>70</v>
      </c>
      <c r="T1679" s="1">
        <v>1</v>
      </c>
      <c r="BL1679" s="1">
        <v>1</v>
      </c>
    </row>
    <row r="1680" spans="1:64" x14ac:dyDescent="0.3">
      <c r="A1680" s="1" t="s">
        <v>50</v>
      </c>
      <c r="B1680" s="7">
        <v>40751</v>
      </c>
      <c r="C1680" s="1">
        <v>2.7</v>
      </c>
      <c r="D1680" s="1">
        <v>12</v>
      </c>
      <c r="F1680" s="1">
        <v>71</v>
      </c>
    </row>
    <row r="1681" spans="1:32" x14ac:dyDescent="0.3">
      <c r="A1681" s="1" t="s">
        <v>50</v>
      </c>
      <c r="B1681" s="7">
        <v>40751</v>
      </c>
      <c r="C1681" s="1">
        <v>2.7</v>
      </c>
      <c r="D1681" s="1">
        <v>12</v>
      </c>
      <c r="F1681" s="1">
        <v>72</v>
      </c>
      <c r="J1681" s="3">
        <v>0</v>
      </c>
      <c r="K1681" s="3">
        <v>1</v>
      </c>
    </row>
    <row r="1682" spans="1:32" x14ac:dyDescent="0.3">
      <c r="A1682" s="1" t="s">
        <v>50</v>
      </c>
      <c r="B1682" s="7">
        <v>40751</v>
      </c>
      <c r="C1682" s="1">
        <v>2.7</v>
      </c>
      <c r="D1682" s="1">
        <v>12</v>
      </c>
      <c r="F1682" s="1">
        <v>73</v>
      </c>
      <c r="R1682" s="1">
        <v>1</v>
      </c>
      <c r="AF1682" s="1">
        <v>1</v>
      </c>
    </row>
    <row r="1683" spans="1:32" x14ac:dyDescent="0.3">
      <c r="A1683" s="1" t="s">
        <v>50</v>
      </c>
      <c r="B1683" s="7">
        <v>40751</v>
      </c>
      <c r="C1683" s="1">
        <v>2.7</v>
      </c>
      <c r="D1683" s="1">
        <v>12</v>
      </c>
      <c r="F1683" s="1">
        <v>74</v>
      </c>
      <c r="J1683" s="3">
        <v>0</v>
      </c>
      <c r="K1683" s="3">
        <v>1</v>
      </c>
    </row>
    <row r="1684" spans="1:32" x14ac:dyDescent="0.3">
      <c r="A1684" s="1" t="s">
        <v>50</v>
      </c>
      <c r="B1684" s="7">
        <v>40751</v>
      </c>
      <c r="C1684" s="1">
        <v>2.7</v>
      </c>
      <c r="D1684" s="1">
        <v>12</v>
      </c>
      <c r="F1684" s="1">
        <v>75</v>
      </c>
      <c r="J1684" s="1">
        <v>1</v>
      </c>
      <c r="L1684" s="1">
        <v>1</v>
      </c>
    </row>
    <row r="1685" spans="1:32" x14ac:dyDescent="0.3">
      <c r="A1685" s="1" t="s">
        <v>50</v>
      </c>
      <c r="B1685" s="7">
        <v>40751</v>
      </c>
      <c r="C1685" s="1">
        <v>2.7</v>
      </c>
      <c r="D1685" s="1">
        <v>12</v>
      </c>
      <c r="F1685" s="1">
        <v>76</v>
      </c>
      <c r="J1685" s="1">
        <v>1</v>
      </c>
    </row>
    <row r="1686" spans="1:32" x14ac:dyDescent="0.3">
      <c r="A1686" s="1" t="s">
        <v>50</v>
      </c>
      <c r="B1686" s="7">
        <v>40751</v>
      </c>
      <c r="C1686" s="1">
        <v>2.7</v>
      </c>
      <c r="D1686" s="1">
        <v>12</v>
      </c>
      <c r="F1686" s="1">
        <v>77</v>
      </c>
      <c r="T1686" s="1">
        <v>1</v>
      </c>
    </row>
    <row r="1687" spans="1:32" x14ac:dyDescent="0.3">
      <c r="A1687" s="1" t="s">
        <v>50</v>
      </c>
      <c r="B1687" s="7">
        <v>40751</v>
      </c>
      <c r="C1687" s="1">
        <v>2.7</v>
      </c>
      <c r="D1687" s="1">
        <v>12</v>
      </c>
      <c r="F1687" s="1">
        <v>78</v>
      </c>
      <c r="L1687" s="1">
        <v>1</v>
      </c>
      <c r="T1687" s="1">
        <v>1</v>
      </c>
    </row>
    <row r="1688" spans="1:32" x14ac:dyDescent="0.3">
      <c r="A1688" s="1" t="s">
        <v>50</v>
      </c>
      <c r="B1688" s="7">
        <v>40751</v>
      </c>
      <c r="C1688" s="1">
        <v>2.7</v>
      </c>
      <c r="D1688" s="1">
        <v>12</v>
      </c>
      <c r="F1688" s="1">
        <v>79</v>
      </c>
      <c r="I1688" s="1">
        <v>1</v>
      </c>
      <c r="T1688" s="8">
        <v>1</v>
      </c>
      <c r="U1688" s="8"/>
    </row>
    <row r="1689" spans="1:32" x14ac:dyDescent="0.3">
      <c r="A1689" s="1" t="s">
        <v>50</v>
      </c>
      <c r="B1689" s="7">
        <v>40751</v>
      </c>
      <c r="C1689" s="1">
        <v>2.7</v>
      </c>
      <c r="D1689" s="1">
        <v>12</v>
      </c>
      <c r="F1689" s="1">
        <v>80</v>
      </c>
      <c r="H1689" s="1">
        <v>1</v>
      </c>
      <c r="J1689" s="1">
        <v>1</v>
      </c>
      <c r="T1689" s="1">
        <v>1</v>
      </c>
    </row>
    <row r="1690" spans="1:32" x14ac:dyDescent="0.3">
      <c r="A1690" s="1" t="s">
        <v>50</v>
      </c>
      <c r="B1690" s="7">
        <v>40751</v>
      </c>
      <c r="C1690" s="1">
        <v>2.7</v>
      </c>
      <c r="D1690" s="1">
        <v>12</v>
      </c>
      <c r="F1690" s="1">
        <v>81</v>
      </c>
      <c r="J1690" s="1">
        <v>1</v>
      </c>
      <c r="L1690" s="8">
        <v>1</v>
      </c>
      <c r="M1690" s="8"/>
    </row>
    <row r="1691" spans="1:32" x14ac:dyDescent="0.3">
      <c r="A1691" s="1" t="s">
        <v>50</v>
      </c>
      <c r="B1691" s="7">
        <v>40751</v>
      </c>
      <c r="C1691" s="1">
        <v>2.7</v>
      </c>
      <c r="D1691" s="1">
        <v>12</v>
      </c>
      <c r="F1691" s="1">
        <v>82</v>
      </c>
      <c r="J1691" s="3">
        <v>0</v>
      </c>
      <c r="K1691" s="3">
        <v>1</v>
      </c>
      <c r="L1691" s="1">
        <v>1</v>
      </c>
    </row>
    <row r="1692" spans="1:32" x14ac:dyDescent="0.3">
      <c r="A1692" s="1" t="s">
        <v>50</v>
      </c>
      <c r="B1692" s="7">
        <v>40751</v>
      </c>
      <c r="C1692" s="1">
        <v>2.7</v>
      </c>
      <c r="D1692" s="1">
        <v>12</v>
      </c>
      <c r="F1692" s="1">
        <v>83</v>
      </c>
      <c r="J1692" s="1">
        <v>1</v>
      </c>
    </row>
    <row r="1693" spans="1:32" x14ac:dyDescent="0.3">
      <c r="A1693" s="1" t="s">
        <v>50</v>
      </c>
      <c r="B1693" s="7">
        <v>40751</v>
      </c>
      <c r="C1693" s="1">
        <v>2.7</v>
      </c>
      <c r="D1693" s="1">
        <v>12</v>
      </c>
      <c r="F1693" s="1">
        <v>84</v>
      </c>
      <c r="J1693" s="1">
        <v>1</v>
      </c>
      <c r="R1693" s="1">
        <v>1</v>
      </c>
    </row>
    <row r="1694" spans="1:32" x14ac:dyDescent="0.3">
      <c r="A1694" s="1" t="s">
        <v>50</v>
      </c>
      <c r="B1694" s="7">
        <v>40751</v>
      </c>
      <c r="C1694" s="1">
        <v>2.7</v>
      </c>
      <c r="D1694" s="1">
        <v>12</v>
      </c>
      <c r="F1694" s="1">
        <v>85</v>
      </c>
      <c r="L1694" s="1">
        <v>1</v>
      </c>
    </row>
    <row r="1695" spans="1:32" x14ac:dyDescent="0.3">
      <c r="A1695" s="1" t="s">
        <v>50</v>
      </c>
      <c r="B1695" s="7">
        <v>40751</v>
      </c>
      <c r="C1695" s="1">
        <v>2.7</v>
      </c>
      <c r="D1695" s="1">
        <v>12</v>
      </c>
      <c r="F1695" s="1">
        <v>86</v>
      </c>
      <c r="L1695" s="1">
        <v>1</v>
      </c>
    </row>
    <row r="1696" spans="1:32" x14ac:dyDescent="0.3">
      <c r="A1696" s="1" t="s">
        <v>50</v>
      </c>
      <c r="B1696" s="7">
        <v>40751</v>
      </c>
      <c r="C1696" s="1">
        <v>2.7</v>
      </c>
      <c r="D1696" s="1">
        <v>12</v>
      </c>
      <c r="F1696" s="1">
        <v>87</v>
      </c>
      <c r="L1696" s="1">
        <v>1</v>
      </c>
    </row>
    <row r="1697" spans="1:64" x14ac:dyDescent="0.3">
      <c r="A1697" s="1" t="s">
        <v>50</v>
      </c>
      <c r="B1697" s="7">
        <v>40751</v>
      </c>
      <c r="C1697" s="1">
        <v>2.7</v>
      </c>
      <c r="D1697" s="1">
        <v>12</v>
      </c>
      <c r="F1697" s="1">
        <v>88</v>
      </c>
      <c r="J1697" s="3">
        <v>0</v>
      </c>
      <c r="K1697" s="3">
        <v>1</v>
      </c>
    </row>
    <row r="1698" spans="1:64" x14ac:dyDescent="0.3">
      <c r="A1698" s="1" t="s">
        <v>50</v>
      </c>
      <c r="B1698" s="7">
        <v>40751</v>
      </c>
      <c r="C1698" s="1">
        <v>2.7</v>
      </c>
      <c r="D1698" s="1">
        <v>12</v>
      </c>
      <c r="F1698" s="1">
        <v>89</v>
      </c>
      <c r="J1698" s="1">
        <v>1</v>
      </c>
      <c r="T1698" s="1">
        <v>1</v>
      </c>
    </row>
    <row r="1699" spans="1:64" x14ac:dyDescent="0.3">
      <c r="A1699" s="1" t="s">
        <v>50</v>
      </c>
      <c r="B1699" s="7">
        <v>40751</v>
      </c>
      <c r="C1699" s="1">
        <v>2.7</v>
      </c>
      <c r="D1699" s="1">
        <v>12</v>
      </c>
      <c r="F1699" s="1">
        <v>90</v>
      </c>
      <c r="J1699" s="8">
        <v>1</v>
      </c>
      <c r="K1699" s="8"/>
      <c r="T1699" s="1">
        <v>1</v>
      </c>
    </row>
    <row r="1700" spans="1:64" x14ac:dyDescent="0.3">
      <c r="A1700" s="1" t="s">
        <v>50</v>
      </c>
      <c r="B1700" s="7">
        <v>40751</v>
      </c>
      <c r="C1700" s="1">
        <v>2.7</v>
      </c>
      <c r="D1700" s="1">
        <v>12</v>
      </c>
      <c r="F1700" s="1">
        <v>91</v>
      </c>
      <c r="L1700" s="1">
        <v>1</v>
      </c>
    </row>
    <row r="1701" spans="1:64" x14ac:dyDescent="0.3">
      <c r="A1701" s="1" t="s">
        <v>50</v>
      </c>
      <c r="B1701" s="7">
        <v>40751</v>
      </c>
      <c r="C1701" s="1">
        <v>2.7</v>
      </c>
      <c r="D1701" s="1">
        <v>12</v>
      </c>
      <c r="F1701" s="1">
        <v>92</v>
      </c>
      <c r="J1701" s="1">
        <v>1</v>
      </c>
    </row>
    <row r="1702" spans="1:64" x14ac:dyDescent="0.3">
      <c r="A1702" s="1" t="s">
        <v>50</v>
      </c>
      <c r="B1702" s="7">
        <v>40751</v>
      </c>
      <c r="C1702" s="1">
        <v>2.7</v>
      </c>
      <c r="D1702" s="1">
        <v>12</v>
      </c>
      <c r="F1702" s="1">
        <v>93</v>
      </c>
      <c r="J1702" s="3">
        <v>0</v>
      </c>
      <c r="K1702" s="3">
        <v>1</v>
      </c>
    </row>
    <row r="1703" spans="1:64" x14ac:dyDescent="0.3">
      <c r="A1703" s="1" t="s">
        <v>50</v>
      </c>
      <c r="B1703" s="7">
        <v>40751</v>
      </c>
      <c r="C1703" s="1">
        <v>2.7</v>
      </c>
      <c r="D1703" s="1">
        <v>12</v>
      </c>
      <c r="F1703" s="1">
        <v>94</v>
      </c>
      <c r="J1703" s="1">
        <v>1</v>
      </c>
      <c r="T1703" s="1">
        <v>1</v>
      </c>
    </row>
    <row r="1704" spans="1:64" x14ac:dyDescent="0.3">
      <c r="A1704" s="1" t="s">
        <v>50</v>
      </c>
      <c r="B1704" s="7">
        <v>40751</v>
      </c>
      <c r="C1704" s="1">
        <v>2.7</v>
      </c>
      <c r="D1704" s="1">
        <v>12</v>
      </c>
      <c r="F1704" s="1">
        <v>95</v>
      </c>
      <c r="L1704" s="1">
        <v>1</v>
      </c>
      <c r="BL1704" s="1">
        <v>1</v>
      </c>
    </row>
    <row r="1705" spans="1:64" x14ac:dyDescent="0.3">
      <c r="A1705" s="1" t="s">
        <v>50</v>
      </c>
      <c r="B1705" s="7">
        <v>40751</v>
      </c>
      <c r="C1705" s="1">
        <v>2.7</v>
      </c>
      <c r="D1705" s="1">
        <v>12</v>
      </c>
      <c r="F1705" s="1">
        <v>96</v>
      </c>
      <c r="I1705" s="1">
        <v>1</v>
      </c>
      <c r="J1705" s="1">
        <v>1</v>
      </c>
    </row>
    <row r="1706" spans="1:64" x14ac:dyDescent="0.3">
      <c r="A1706" s="1" t="s">
        <v>50</v>
      </c>
      <c r="B1706" s="7">
        <v>40751</v>
      </c>
      <c r="C1706" s="1">
        <v>2.7</v>
      </c>
      <c r="D1706" s="1">
        <v>12</v>
      </c>
      <c r="F1706" s="1">
        <v>97</v>
      </c>
      <c r="J1706" s="1">
        <v>1</v>
      </c>
      <c r="L1706" s="1">
        <v>1</v>
      </c>
    </row>
    <row r="1707" spans="1:64" x14ac:dyDescent="0.3">
      <c r="A1707" s="1" t="s">
        <v>50</v>
      </c>
      <c r="B1707" s="7">
        <v>40751</v>
      </c>
      <c r="C1707" s="1">
        <v>2.7</v>
      </c>
      <c r="D1707" s="1">
        <v>12</v>
      </c>
      <c r="F1707" s="1">
        <v>98</v>
      </c>
      <c r="J1707" s="1">
        <v>1</v>
      </c>
      <c r="T1707" s="8">
        <v>1</v>
      </c>
      <c r="U1707" s="8"/>
    </row>
    <row r="1708" spans="1:64" x14ac:dyDescent="0.3">
      <c r="A1708" s="1" t="s">
        <v>50</v>
      </c>
      <c r="B1708" s="7">
        <v>40751</v>
      </c>
      <c r="C1708" s="1">
        <v>2.7</v>
      </c>
      <c r="D1708" s="1">
        <v>12</v>
      </c>
      <c r="F1708" s="1">
        <v>99</v>
      </c>
      <c r="J1708" s="1">
        <v>1</v>
      </c>
      <c r="T1708" s="1">
        <v>1</v>
      </c>
    </row>
    <row r="1709" spans="1:64" x14ac:dyDescent="0.3">
      <c r="A1709" s="1" t="s">
        <v>50</v>
      </c>
      <c r="B1709" s="7">
        <v>40751</v>
      </c>
      <c r="C1709" s="1">
        <v>2.7</v>
      </c>
      <c r="D1709" s="1">
        <v>12</v>
      </c>
      <c r="F1709" s="1">
        <v>100</v>
      </c>
    </row>
    <row r="1710" spans="1:64" x14ac:dyDescent="0.3">
      <c r="A1710" s="1" t="s">
        <v>50</v>
      </c>
      <c r="B1710" s="7">
        <v>40755</v>
      </c>
      <c r="C1710" s="1">
        <v>6</v>
      </c>
      <c r="D1710" s="1">
        <v>315</v>
      </c>
      <c r="E1710" s="1">
        <v>3</v>
      </c>
      <c r="F1710" s="1">
        <v>1</v>
      </c>
      <c r="J1710" s="3">
        <v>0</v>
      </c>
      <c r="K1710" s="3">
        <v>1</v>
      </c>
      <c r="L1710" s="1">
        <v>1</v>
      </c>
    </row>
    <row r="1711" spans="1:64" x14ac:dyDescent="0.3">
      <c r="A1711" s="1" t="s">
        <v>50</v>
      </c>
      <c r="B1711" s="7">
        <v>40755</v>
      </c>
      <c r="C1711" s="1">
        <v>6</v>
      </c>
      <c r="D1711" s="1">
        <v>315</v>
      </c>
      <c r="E1711" s="1">
        <v>3</v>
      </c>
      <c r="F1711" s="1">
        <v>2</v>
      </c>
      <c r="I1711" s="1">
        <v>1</v>
      </c>
      <c r="J1711" s="3">
        <v>0</v>
      </c>
      <c r="K1711" s="3">
        <v>1</v>
      </c>
      <c r="L1711" s="1">
        <v>1</v>
      </c>
    </row>
    <row r="1712" spans="1:64" x14ac:dyDescent="0.3">
      <c r="A1712" s="1" t="s">
        <v>50</v>
      </c>
      <c r="B1712" s="7">
        <v>40755</v>
      </c>
      <c r="C1712" s="1">
        <v>6</v>
      </c>
      <c r="D1712" s="1">
        <v>315</v>
      </c>
      <c r="E1712" s="1">
        <v>3</v>
      </c>
      <c r="F1712" s="1">
        <v>3</v>
      </c>
      <c r="I1712" s="1">
        <v>1</v>
      </c>
      <c r="J1712" s="1">
        <v>1</v>
      </c>
      <c r="L1712" s="1">
        <v>1</v>
      </c>
    </row>
    <row r="1713" spans="1:65" x14ac:dyDescent="0.3">
      <c r="A1713" s="1" t="s">
        <v>50</v>
      </c>
      <c r="B1713" s="7">
        <v>40755</v>
      </c>
      <c r="C1713" s="1">
        <v>6</v>
      </c>
      <c r="D1713" s="1">
        <v>315</v>
      </c>
      <c r="E1713" s="1">
        <v>3</v>
      </c>
      <c r="F1713" s="1">
        <v>4</v>
      </c>
      <c r="I1713" s="1">
        <v>1</v>
      </c>
      <c r="J1713" s="1">
        <v>1</v>
      </c>
    </row>
    <row r="1714" spans="1:65" x14ac:dyDescent="0.3">
      <c r="A1714" s="1" t="s">
        <v>50</v>
      </c>
      <c r="B1714" s="7">
        <v>40755</v>
      </c>
      <c r="C1714" s="1">
        <v>6</v>
      </c>
      <c r="D1714" s="1">
        <v>315</v>
      </c>
      <c r="E1714" s="1">
        <v>3</v>
      </c>
      <c r="F1714" s="1">
        <v>5</v>
      </c>
      <c r="J1714" s="1">
        <v>1</v>
      </c>
    </row>
    <row r="1715" spans="1:65" x14ac:dyDescent="0.3">
      <c r="A1715" s="1" t="s">
        <v>50</v>
      </c>
      <c r="B1715" s="7">
        <v>40755</v>
      </c>
      <c r="C1715" s="1">
        <v>6</v>
      </c>
      <c r="D1715" s="1">
        <v>315</v>
      </c>
      <c r="E1715" s="1">
        <v>3</v>
      </c>
      <c r="F1715" s="1">
        <v>6</v>
      </c>
      <c r="J1715" s="1">
        <v>1</v>
      </c>
      <c r="L1715" s="1">
        <v>1</v>
      </c>
      <c r="BM1715" s="1">
        <v>1</v>
      </c>
    </row>
    <row r="1716" spans="1:65" x14ac:dyDescent="0.3">
      <c r="A1716" s="1" t="s">
        <v>50</v>
      </c>
      <c r="B1716" s="7">
        <v>40755</v>
      </c>
      <c r="C1716" s="1">
        <v>6</v>
      </c>
      <c r="D1716" s="1">
        <v>315</v>
      </c>
      <c r="E1716" s="1">
        <v>3</v>
      </c>
      <c r="F1716" s="1">
        <v>7</v>
      </c>
      <c r="J1716" s="1">
        <v>1</v>
      </c>
      <c r="L1716" s="1">
        <v>1</v>
      </c>
    </row>
    <row r="1717" spans="1:65" x14ac:dyDescent="0.3">
      <c r="A1717" s="1" t="s">
        <v>50</v>
      </c>
      <c r="B1717" s="7">
        <v>40755</v>
      </c>
      <c r="C1717" s="1">
        <v>6</v>
      </c>
      <c r="D1717" s="1">
        <v>315</v>
      </c>
      <c r="E1717" s="1">
        <v>3</v>
      </c>
      <c r="F1717" s="1">
        <v>8</v>
      </c>
      <c r="J1717" s="3">
        <v>0</v>
      </c>
      <c r="K1717" s="3">
        <v>1</v>
      </c>
    </row>
    <row r="1718" spans="1:65" x14ac:dyDescent="0.3">
      <c r="A1718" s="1" t="s">
        <v>50</v>
      </c>
      <c r="B1718" s="7">
        <v>40755</v>
      </c>
      <c r="C1718" s="1">
        <v>6</v>
      </c>
      <c r="D1718" s="1">
        <v>315</v>
      </c>
      <c r="E1718" s="1">
        <v>3</v>
      </c>
      <c r="F1718" s="1">
        <v>9</v>
      </c>
      <c r="J1718" s="1">
        <v>1</v>
      </c>
    </row>
    <row r="1719" spans="1:65" x14ac:dyDescent="0.3">
      <c r="A1719" s="1" t="s">
        <v>50</v>
      </c>
      <c r="B1719" s="7">
        <v>40755</v>
      </c>
      <c r="C1719" s="1">
        <v>6</v>
      </c>
      <c r="D1719" s="1">
        <v>315</v>
      </c>
      <c r="E1719" s="1">
        <v>3</v>
      </c>
      <c r="F1719" s="1">
        <v>10</v>
      </c>
      <c r="I1719" s="1">
        <v>1</v>
      </c>
      <c r="T1719" s="1">
        <v>1</v>
      </c>
      <c r="BG1719" s="1">
        <v>1</v>
      </c>
    </row>
    <row r="1720" spans="1:65" x14ac:dyDescent="0.3">
      <c r="A1720" s="1" t="s">
        <v>50</v>
      </c>
      <c r="B1720" s="7">
        <v>40755</v>
      </c>
      <c r="C1720" s="1">
        <v>6</v>
      </c>
      <c r="D1720" s="1">
        <v>315</v>
      </c>
      <c r="E1720" s="1">
        <v>3</v>
      </c>
      <c r="F1720" s="1">
        <v>11</v>
      </c>
      <c r="L1720" s="1">
        <v>1</v>
      </c>
    </row>
    <row r="1721" spans="1:65" x14ac:dyDescent="0.3">
      <c r="A1721" s="1" t="s">
        <v>50</v>
      </c>
      <c r="B1721" s="7">
        <v>40755</v>
      </c>
      <c r="C1721" s="1">
        <v>6</v>
      </c>
      <c r="D1721" s="1">
        <v>315</v>
      </c>
      <c r="E1721" s="1">
        <v>3</v>
      </c>
      <c r="F1721" s="1">
        <v>12</v>
      </c>
    </row>
    <row r="1722" spans="1:65" x14ac:dyDescent="0.3">
      <c r="A1722" s="1" t="s">
        <v>50</v>
      </c>
      <c r="B1722" s="7">
        <v>40755</v>
      </c>
      <c r="C1722" s="1">
        <v>6</v>
      </c>
      <c r="D1722" s="1">
        <v>315</v>
      </c>
      <c r="E1722" s="1">
        <v>3</v>
      </c>
      <c r="F1722" s="1">
        <v>13</v>
      </c>
      <c r="L1722" s="1">
        <v>1</v>
      </c>
    </row>
    <row r="1723" spans="1:65" x14ac:dyDescent="0.3">
      <c r="A1723" s="1" t="s">
        <v>50</v>
      </c>
      <c r="B1723" s="7">
        <v>40755</v>
      </c>
      <c r="C1723" s="1">
        <v>6</v>
      </c>
      <c r="D1723" s="1">
        <v>315</v>
      </c>
      <c r="E1723" s="1">
        <v>3</v>
      </c>
      <c r="F1723" s="1">
        <v>14</v>
      </c>
      <c r="J1723" s="1">
        <v>1</v>
      </c>
    </row>
    <row r="1724" spans="1:65" x14ac:dyDescent="0.3">
      <c r="A1724" s="1" t="s">
        <v>50</v>
      </c>
      <c r="B1724" s="7">
        <v>40755</v>
      </c>
      <c r="C1724" s="1">
        <v>6</v>
      </c>
      <c r="D1724" s="1">
        <v>315</v>
      </c>
      <c r="E1724" s="1">
        <v>3</v>
      </c>
      <c r="F1724" s="1">
        <v>15</v>
      </c>
      <c r="T1724" s="1">
        <v>1</v>
      </c>
    </row>
    <row r="1725" spans="1:65" x14ac:dyDescent="0.3">
      <c r="A1725" s="1" t="s">
        <v>50</v>
      </c>
      <c r="B1725" s="7">
        <v>40755</v>
      </c>
      <c r="C1725" s="1">
        <v>6</v>
      </c>
      <c r="D1725" s="1">
        <v>315</v>
      </c>
      <c r="E1725" s="1">
        <v>3</v>
      </c>
      <c r="F1725" s="1">
        <v>16</v>
      </c>
      <c r="J1725" s="3">
        <v>0</v>
      </c>
      <c r="K1725" s="3">
        <v>1</v>
      </c>
    </row>
    <row r="1726" spans="1:65" x14ac:dyDescent="0.3">
      <c r="A1726" s="1" t="s">
        <v>50</v>
      </c>
      <c r="B1726" s="7">
        <v>40755</v>
      </c>
      <c r="C1726" s="1">
        <v>6</v>
      </c>
      <c r="D1726" s="1">
        <v>315</v>
      </c>
      <c r="E1726" s="1">
        <v>3</v>
      </c>
      <c r="F1726" s="1">
        <v>17</v>
      </c>
      <c r="J1726" s="3">
        <v>0</v>
      </c>
      <c r="K1726" s="3">
        <v>1</v>
      </c>
    </row>
    <row r="1727" spans="1:65" x14ac:dyDescent="0.3">
      <c r="A1727" s="1" t="s">
        <v>50</v>
      </c>
      <c r="B1727" s="7">
        <v>40755</v>
      </c>
      <c r="C1727" s="1">
        <v>6</v>
      </c>
      <c r="D1727" s="1">
        <v>315</v>
      </c>
      <c r="E1727" s="1">
        <v>3</v>
      </c>
      <c r="F1727" s="1">
        <v>18</v>
      </c>
      <c r="J1727" s="3">
        <v>0</v>
      </c>
      <c r="K1727" s="3">
        <v>1</v>
      </c>
      <c r="L1727" s="1">
        <v>1</v>
      </c>
    </row>
    <row r="1728" spans="1:65" x14ac:dyDescent="0.3">
      <c r="A1728" s="1" t="s">
        <v>50</v>
      </c>
      <c r="B1728" s="7">
        <v>40755</v>
      </c>
      <c r="C1728" s="1">
        <v>6</v>
      </c>
      <c r="D1728" s="1">
        <v>315</v>
      </c>
      <c r="E1728" s="1">
        <v>3</v>
      </c>
      <c r="F1728" s="1">
        <v>19</v>
      </c>
      <c r="J1728" s="1">
        <v>1</v>
      </c>
    </row>
    <row r="1729" spans="1:65" x14ac:dyDescent="0.3">
      <c r="A1729" s="1" t="s">
        <v>50</v>
      </c>
      <c r="B1729" s="7">
        <v>40755</v>
      </c>
      <c r="C1729" s="1">
        <v>6</v>
      </c>
      <c r="D1729" s="1">
        <v>315</v>
      </c>
      <c r="E1729" s="1">
        <v>3</v>
      </c>
      <c r="F1729" s="1">
        <v>20</v>
      </c>
      <c r="J1729" s="1">
        <v>1</v>
      </c>
      <c r="L1729" s="1">
        <v>1</v>
      </c>
    </row>
    <row r="1730" spans="1:65" x14ac:dyDescent="0.3">
      <c r="A1730" s="1" t="s">
        <v>50</v>
      </c>
      <c r="B1730" s="7">
        <v>40755</v>
      </c>
      <c r="C1730" s="1">
        <v>6</v>
      </c>
      <c r="D1730" s="1">
        <v>315</v>
      </c>
      <c r="E1730" s="1">
        <v>3</v>
      </c>
      <c r="F1730" s="1">
        <v>21</v>
      </c>
      <c r="I1730" s="1">
        <v>1</v>
      </c>
      <c r="T1730" s="1">
        <v>1</v>
      </c>
    </row>
    <row r="1731" spans="1:65" x14ac:dyDescent="0.3">
      <c r="A1731" s="1" t="s">
        <v>50</v>
      </c>
      <c r="B1731" s="7">
        <v>40755</v>
      </c>
      <c r="C1731" s="1">
        <v>6</v>
      </c>
      <c r="D1731" s="1">
        <v>315</v>
      </c>
      <c r="E1731" s="1">
        <v>3</v>
      </c>
      <c r="F1731" s="1">
        <v>22</v>
      </c>
      <c r="T1731" s="1">
        <v>1</v>
      </c>
      <c r="AG1731" s="3">
        <v>0</v>
      </c>
      <c r="AH1731" s="3">
        <v>1</v>
      </c>
    </row>
    <row r="1732" spans="1:65" x14ac:dyDescent="0.3">
      <c r="A1732" s="1" t="s">
        <v>50</v>
      </c>
      <c r="B1732" s="7">
        <v>40755</v>
      </c>
      <c r="C1732" s="1">
        <v>6</v>
      </c>
      <c r="D1732" s="1">
        <v>315</v>
      </c>
      <c r="E1732" s="1">
        <v>3</v>
      </c>
      <c r="F1732" s="1">
        <v>23</v>
      </c>
      <c r="I1732" s="1">
        <v>1</v>
      </c>
      <c r="L1732" s="1">
        <v>1</v>
      </c>
    </row>
    <row r="1733" spans="1:65" x14ac:dyDescent="0.3">
      <c r="A1733" s="1" t="s">
        <v>50</v>
      </c>
      <c r="B1733" s="7">
        <v>40755</v>
      </c>
      <c r="C1733" s="1">
        <v>6</v>
      </c>
      <c r="D1733" s="1">
        <v>315</v>
      </c>
      <c r="E1733" s="1">
        <v>3</v>
      </c>
      <c r="F1733" s="1">
        <v>24</v>
      </c>
      <c r="L1733" s="1">
        <v>1</v>
      </c>
      <c r="BM1733" s="1">
        <v>1</v>
      </c>
    </row>
    <row r="1734" spans="1:65" x14ac:dyDescent="0.3">
      <c r="A1734" s="1" t="s">
        <v>50</v>
      </c>
      <c r="B1734" s="7">
        <v>40755</v>
      </c>
      <c r="C1734" s="1">
        <v>6</v>
      </c>
      <c r="D1734" s="1">
        <v>315</v>
      </c>
      <c r="E1734" s="1">
        <v>3</v>
      </c>
      <c r="F1734" s="1">
        <v>25</v>
      </c>
      <c r="J1734" s="1">
        <v>1</v>
      </c>
    </row>
    <row r="1735" spans="1:65" x14ac:dyDescent="0.3">
      <c r="A1735" s="1" t="s">
        <v>50</v>
      </c>
      <c r="B1735" s="7">
        <v>40755</v>
      </c>
      <c r="C1735" s="1">
        <v>6</v>
      </c>
      <c r="D1735" s="1">
        <v>315</v>
      </c>
      <c r="E1735" s="1">
        <v>3</v>
      </c>
      <c r="F1735" s="1">
        <v>26</v>
      </c>
      <c r="I1735" s="1">
        <v>1</v>
      </c>
      <c r="J1735" s="3">
        <v>0</v>
      </c>
      <c r="K1735" s="3">
        <v>1</v>
      </c>
    </row>
    <row r="1736" spans="1:65" x14ac:dyDescent="0.3">
      <c r="A1736" s="1" t="s">
        <v>50</v>
      </c>
      <c r="B1736" s="7">
        <v>40755</v>
      </c>
      <c r="C1736" s="1">
        <v>6</v>
      </c>
      <c r="D1736" s="1">
        <v>315</v>
      </c>
      <c r="E1736" s="1">
        <v>3</v>
      </c>
      <c r="F1736" s="1">
        <v>27</v>
      </c>
      <c r="J1736" s="3">
        <v>0</v>
      </c>
      <c r="K1736" s="3">
        <v>1</v>
      </c>
    </row>
    <row r="1737" spans="1:65" x14ac:dyDescent="0.3">
      <c r="A1737" s="1" t="s">
        <v>50</v>
      </c>
      <c r="B1737" s="7">
        <v>40755</v>
      </c>
      <c r="C1737" s="1">
        <v>6</v>
      </c>
      <c r="D1737" s="1">
        <v>315</v>
      </c>
      <c r="E1737" s="1">
        <v>3</v>
      </c>
      <c r="F1737" s="1">
        <v>28</v>
      </c>
      <c r="J1737" s="1">
        <v>1</v>
      </c>
      <c r="T1737" s="1">
        <v>1</v>
      </c>
    </row>
    <row r="1738" spans="1:65" x14ac:dyDescent="0.3">
      <c r="A1738" s="1" t="s">
        <v>50</v>
      </c>
      <c r="B1738" s="7">
        <v>40755</v>
      </c>
      <c r="C1738" s="1">
        <v>6</v>
      </c>
      <c r="D1738" s="1">
        <v>315</v>
      </c>
      <c r="E1738" s="1">
        <v>3</v>
      </c>
      <c r="F1738" s="1">
        <v>29</v>
      </c>
      <c r="J1738" s="8">
        <v>1</v>
      </c>
      <c r="K1738" s="8"/>
      <c r="L1738" s="8">
        <v>1</v>
      </c>
      <c r="M1738" s="8"/>
    </row>
    <row r="1739" spans="1:65" x14ac:dyDescent="0.3">
      <c r="A1739" s="1" t="s">
        <v>50</v>
      </c>
      <c r="B1739" s="7">
        <v>40755</v>
      </c>
      <c r="C1739" s="1">
        <v>6</v>
      </c>
      <c r="D1739" s="1">
        <v>315</v>
      </c>
      <c r="E1739" s="1">
        <v>3</v>
      </c>
      <c r="F1739" s="1">
        <v>30</v>
      </c>
      <c r="T1739" s="1">
        <v>1</v>
      </c>
    </row>
    <row r="1740" spans="1:65" x14ac:dyDescent="0.3">
      <c r="A1740" s="1" t="s">
        <v>50</v>
      </c>
      <c r="B1740" s="7">
        <v>40755</v>
      </c>
      <c r="C1740" s="1">
        <v>6</v>
      </c>
      <c r="D1740" s="1">
        <v>315</v>
      </c>
      <c r="E1740" s="1">
        <v>3</v>
      </c>
      <c r="F1740" s="1">
        <v>31</v>
      </c>
    </row>
    <row r="1741" spans="1:65" x14ac:dyDescent="0.3">
      <c r="A1741" s="1" t="s">
        <v>50</v>
      </c>
      <c r="B1741" s="7">
        <v>40755</v>
      </c>
      <c r="C1741" s="1">
        <v>6</v>
      </c>
      <c r="D1741" s="1">
        <v>315</v>
      </c>
      <c r="E1741" s="1">
        <v>3</v>
      </c>
      <c r="F1741" s="1">
        <v>32</v>
      </c>
      <c r="I1741" s="1">
        <v>1</v>
      </c>
      <c r="AS1741" s="1">
        <v>1</v>
      </c>
    </row>
    <row r="1742" spans="1:65" x14ac:dyDescent="0.3">
      <c r="A1742" s="1" t="s">
        <v>50</v>
      </c>
      <c r="B1742" s="7">
        <v>40755</v>
      </c>
      <c r="C1742" s="1">
        <v>6</v>
      </c>
      <c r="D1742" s="1">
        <v>315</v>
      </c>
      <c r="E1742" s="1">
        <v>3</v>
      </c>
      <c r="F1742" s="1">
        <v>33</v>
      </c>
      <c r="J1742" s="3">
        <v>0</v>
      </c>
      <c r="K1742" s="3">
        <v>1</v>
      </c>
    </row>
    <row r="1743" spans="1:65" x14ac:dyDescent="0.3">
      <c r="A1743" s="1" t="s">
        <v>50</v>
      </c>
      <c r="B1743" s="7">
        <v>40755</v>
      </c>
      <c r="C1743" s="1">
        <v>6</v>
      </c>
      <c r="D1743" s="1">
        <v>315</v>
      </c>
      <c r="E1743" s="1">
        <v>3</v>
      </c>
      <c r="F1743" s="1">
        <v>34</v>
      </c>
      <c r="J1743" s="3">
        <v>0</v>
      </c>
      <c r="K1743" s="3">
        <v>1</v>
      </c>
    </row>
    <row r="1744" spans="1:65" x14ac:dyDescent="0.3">
      <c r="A1744" s="1" t="s">
        <v>50</v>
      </c>
      <c r="B1744" s="7">
        <v>40755</v>
      </c>
      <c r="C1744" s="1">
        <v>6</v>
      </c>
      <c r="D1744" s="1">
        <v>315</v>
      </c>
      <c r="E1744" s="1">
        <v>3</v>
      </c>
      <c r="F1744" s="1">
        <v>35</v>
      </c>
      <c r="J1744" s="3">
        <v>0</v>
      </c>
      <c r="K1744" s="3">
        <v>1</v>
      </c>
    </row>
    <row r="1745" spans="1:65" x14ac:dyDescent="0.3">
      <c r="A1745" s="1" t="s">
        <v>50</v>
      </c>
      <c r="B1745" s="7">
        <v>40755</v>
      </c>
      <c r="C1745" s="1">
        <v>6</v>
      </c>
      <c r="D1745" s="1">
        <v>315</v>
      </c>
      <c r="E1745" s="1">
        <v>3</v>
      </c>
      <c r="F1745" s="1">
        <v>36</v>
      </c>
      <c r="J1745" s="1">
        <v>1</v>
      </c>
      <c r="T1745" s="1">
        <v>1</v>
      </c>
      <c r="AK1745" s="1">
        <v>1</v>
      </c>
    </row>
    <row r="1746" spans="1:65" x14ac:dyDescent="0.3">
      <c r="A1746" s="1" t="s">
        <v>50</v>
      </c>
      <c r="B1746" s="7">
        <v>40755</v>
      </c>
      <c r="C1746" s="1">
        <v>6</v>
      </c>
      <c r="D1746" s="1">
        <v>315</v>
      </c>
      <c r="E1746" s="1">
        <v>3</v>
      </c>
      <c r="F1746" s="1">
        <v>37</v>
      </c>
      <c r="L1746" s="1">
        <v>1</v>
      </c>
      <c r="BM1746" s="1">
        <v>1</v>
      </c>
    </row>
    <row r="1747" spans="1:65" x14ac:dyDescent="0.3">
      <c r="A1747" s="1" t="s">
        <v>50</v>
      </c>
      <c r="B1747" s="7">
        <v>40755</v>
      </c>
      <c r="C1747" s="1">
        <v>6</v>
      </c>
      <c r="D1747" s="1">
        <v>315</v>
      </c>
      <c r="E1747" s="1">
        <v>3</v>
      </c>
      <c r="F1747" s="1">
        <v>38</v>
      </c>
      <c r="J1747" s="3">
        <v>0</v>
      </c>
      <c r="K1747" s="3">
        <v>1</v>
      </c>
    </row>
    <row r="1748" spans="1:65" x14ac:dyDescent="0.3">
      <c r="A1748" s="1" t="s">
        <v>50</v>
      </c>
      <c r="B1748" s="7">
        <v>40755</v>
      </c>
      <c r="C1748" s="1">
        <v>6</v>
      </c>
      <c r="D1748" s="1">
        <v>315</v>
      </c>
      <c r="E1748" s="1">
        <v>3</v>
      </c>
      <c r="F1748" s="1">
        <v>39</v>
      </c>
      <c r="I1748" s="1">
        <v>1</v>
      </c>
      <c r="J1748" s="1">
        <v>1</v>
      </c>
      <c r="L1748" s="1">
        <v>1</v>
      </c>
    </row>
    <row r="1749" spans="1:65" x14ac:dyDescent="0.3">
      <c r="A1749" s="1" t="s">
        <v>50</v>
      </c>
      <c r="B1749" s="7">
        <v>40755</v>
      </c>
      <c r="C1749" s="1">
        <v>6</v>
      </c>
      <c r="D1749" s="1">
        <v>315</v>
      </c>
      <c r="E1749" s="1">
        <v>3</v>
      </c>
      <c r="F1749" s="1">
        <v>40</v>
      </c>
      <c r="T1749" s="1">
        <v>1</v>
      </c>
      <c r="BG1749" s="1">
        <v>1</v>
      </c>
    </row>
    <row r="1750" spans="1:65" x14ac:dyDescent="0.3">
      <c r="A1750" s="1" t="s">
        <v>50</v>
      </c>
      <c r="B1750" s="7">
        <v>40755</v>
      </c>
      <c r="C1750" s="1">
        <v>6</v>
      </c>
      <c r="D1750" s="1">
        <v>315</v>
      </c>
      <c r="E1750" s="1">
        <v>3</v>
      </c>
      <c r="F1750" s="1">
        <v>41</v>
      </c>
      <c r="J1750" s="1">
        <v>1</v>
      </c>
      <c r="L1750" s="1">
        <v>1</v>
      </c>
    </row>
    <row r="1751" spans="1:65" x14ac:dyDescent="0.3">
      <c r="A1751" s="1" t="s">
        <v>50</v>
      </c>
      <c r="B1751" s="7">
        <v>40755</v>
      </c>
      <c r="C1751" s="1">
        <v>6</v>
      </c>
      <c r="D1751" s="1">
        <v>315</v>
      </c>
      <c r="E1751" s="1">
        <v>3</v>
      </c>
      <c r="F1751" s="1">
        <v>42</v>
      </c>
      <c r="J1751" s="3">
        <v>0</v>
      </c>
      <c r="K1751" s="3">
        <v>1</v>
      </c>
    </row>
    <row r="1752" spans="1:65" x14ac:dyDescent="0.3">
      <c r="A1752" s="1" t="s">
        <v>50</v>
      </c>
      <c r="B1752" s="7">
        <v>40755</v>
      </c>
      <c r="C1752" s="1">
        <v>6</v>
      </c>
      <c r="D1752" s="1">
        <v>315</v>
      </c>
      <c r="E1752" s="1">
        <v>3</v>
      </c>
      <c r="F1752" s="1">
        <v>43</v>
      </c>
      <c r="V1752" s="1">
        <v>1</v>
      </c>
    </row>
    <row r="1753" spans="1:65" x14ac:dyDescent="0.3">
      <c r="A1753" s="1" t="s">
        <v>50</v>
      </c>
      <c r="B1753" s="7">
        <v>40755</v>
      </c>
      <c r="C1753" s="1">
        <v>6</v>
      </c>
      <c r="D1753" s="1">
        <v>315</v>
      </c>
      <c r="E1753" s="1">
        <v>3</v>
      </c>
      <c r="F1753" s="1">
        <v>44</v>
      </c>
      <c r="AG1753" s="3">
        <v>0</v>
      </c>
      <c r="AH1753" s="3">
        <v>1</v>
      </c>
      <c r="BM1753" s="1">
        <v>1</v>
      </c>
    </row>
    <row r="1754" spans="1:65" x14ac:dyDescent="0.3">
      <c r="A1754" s="1" t="s">
        <v>50</v>
      </c>
      <c r="B1754" s="7">
        <v>40755</v>
      </c>
      <c r="C1754" s="1">
        <v>6</v>
      </c>
      <c r="D1754" s="1">
        <v>315</v>
      </c>
      <c r="E1754" s="1">
        <v>3</v>
      </c>
      <c r="F1754" s="1">
        <v>45</v>
      </c>
      <c r="J1754" s="1">
        <v>1</v>
      </c>
      <c r="L1754" s="1">
        <v>1</v>
      </c>
      <c r="BM1754" s="1">
        <v>1</v>
      </c>
    </row>
    <row r="1755" spans="1:65" x14ac:dyDescent="0.3">
      <c r="A1755" s="1" t="s">
        <v>50</v>
      </c>
      <c r="B1755" s="7">
        <v>40755</v>
      </c>
      <c r="C1755" s="1">
        <v>6</v>
      </c>
      <c r="D1755" s="1">
        <v>315</v>
      </c>
      <c r="E1755" s="1">
        <v>3</v>
      </c>
      <c r="F1755" s="1">
        <v>46</v>
      </c>
      <c r="J1755" s="1">
        <v>1</v>
      </c>
    </row>
    <row r="1756" spans="1:65" x14ac:dyDescent="0.3">
      <c r="A1756" s="1" t="s">
        <v>50</v>
      </c>
      <c r="B1756" s="7">
        <v>40755</v>
      </c>
      <c r="C1756" s="1">
        <v>6</v>
      </c>
      <c r="D1756" s="1">
        <v>315</v>
      </c>
      <c r="E1756" s="1">
        <v>3</v>
      </c>
      <c r="F1756" s="1">
        <v>47</v>
      </c>
      <c r="I1756" s="1">
        <v>1</v>
      </c>
      <c r="BM1756" s="1">
        <v>1</v>
      </c>
    </row>
    <row r="1757" spans="1:65" x14ac:dyDescent="0.3">
      <c r="A1757" s="1" t="s">
        <v>50</v>
      </c>
      <c r="B1757" s="7">
        <v>40755</v>
      </c>
      <c r="C1757" s="1">
        <v>6</v>
      </c>
      <c r="D1757" s="1">
        <v>315</v>
      </c>
      <c r="E1757" s="1">
        <v>3</v>
      </c>
      <c r="F1757" s="1">
        <v>48</v>
      </c>
      <c r="I1757" s="1">
        <v>1</v>
      </c>
      <c r="J1757" s="1">
        <v>1</v>
      </c>
    </row>
    <row r="1758" spans="1:65" x14ac:dyDescent="0.3">
      <c r="A1758" s="1" t="s">
        <v>50</v>
      </c>
      <c r="B1758" s="7">
        <v>40755</v>
      </c>
      <c r="C1758" s="1">
        <v>6</v>
      </c>
      <c r="D1758" s="1">
        <v>315</v>
      </c>
      <c r="E1758" s="1">
        <v>3</v>
      </c>
      <c r="F1758" s="1">
        <v>49</v>
      </c>
      <c r="J1758" s="1">
        <v>1</v>
      </c>
      <c r="T1758" s="1">
        <v>1</v>
      </c>
    </row>
    <row r="1759" spans="1:65" x14ac:dyDescent="0.3">
      <c r="A1759" s="1" t="s">
        <v>50</v>
      </c>
      <c r="B1759" s="7">
        <v>40755</v>
      </c>
      <c r="C1759" s="1">
        <v>6</v>
      </c>
      <c r="D1759" s="1">
        <v>315</v>
      </c>
      <c r="E1759" s="1">
        <v>3</v>
      </c>
      <c r="F1759" s="1">
        <v>50</v>
      </c>
      <c r="J1759" s="3">
        <v>0</v>
      </c>
      <c r="K1759" s="3">
        <v>1</v>
      </c>
    </row>
    <row r="1760" spans="1:65" x14ac:dyDescent="0.3">
      <c r="A1760" s="1" t="s">
        <v>50</v>
      </c>
      <c r="B1760" s="7">
        <v>40755</v>
      </c>
      <c r="C1760" s="1">
        <v>6</v>
      </c>
      <c r="D1760" s="1">
        <v>315</v>
      </c>
      <c r="E1760" s="1">
        <v>3</v>
      </c>
      <c r="F1760" s="1">
        <v>51</v>
      </c>
      <c r="J1760" s="3">
        <v>0</v>
      </c>
      <c r="K1760" s="3">
        <v>1</v>
      </c>
    </row>
    <row r="1761" spans="1:65" x14ac:dyDescent="0.3">
      <c r="A1761" s="1" t="s">
        <v>50</v>
      </c>
      <c r="B1761" s="7">
        <v>40755</v>
      </c>
      <c r="C1761" s="1">
        <v>6</v>
      </c>
      <c r="D1761" s="1">
        <v>315</v>
      </c>
      <c r="E1761" s="1">
        <v>3</v>
      </c>
      <c r="F1761" s="1">
        <v>52</v>
      </c>
      <c r="J1761" s="1">
        <v>1</v>
      </c>
      <c r="L1761" s="1">
        <v>1</v>
      </c>
    </row>
    <row r="1762" spans="1:65" x14ac:dyDescent="0.3">
      <c r="A1762" s="1" t="s">
        <v>50</v>
      </c>
      <c r="B1762" s="7">
        <v>40755</v>
      </c>
      <c r="C1762" s="1">
        <v>6</v>
      </c>
      <c r="D1762" s="1">
        <v>315</v>
      </c>
      <c r="E1762" s="1">
        <v>3</v>
      </c>
      <c r="F1762" s="1">
        <v>53</v>
      </c>
      <c r="J1762" s="1">
        <v>1</v>
      </c>
      <c r="L1762" s="1">
        <v>1</v>
      </c>
    </row>
    <row r="1763" spans="1:65" x14ac:dyDescent="0.3">
      <c r="A1763" s="1" t="s">
        <v>50</v>
      </c>
      <c r="B1763" s="7">
        <v>40755</v>
      </c>
      <c r="C1763" s="1">
        <v>6</v>
      </c>
      <c r="D1763" s="1">
        <v>315</v>
      </c>
      <c r="E1763" s="1">
        <v>3</v>
      </c>
      <c r="F1763" s="1">
        <v>54</v>
      </c>
      <c r="J1763" s="3">
        <v>0</v>
      </c>
      <c r="K1763" s="3">
        <v>1</v>
      </c>
      <c r="BM1763" s="1">
        <v>1</v>
      </c>
    </row>
    <row r="1764" spans="1:65" x14ac:dyDescent="0.3">
      <c r="A1764" s="1" t="s">
        <v>50</v>
      </c>
      <c r="B1764" s="7">
        <v>40755</v>
      </c>
      <c r="C1764" s="1">
        <v>6</v>
      </c>
      <c r="D1764" s="1">
        <v>315</v>
      </c>
      <c r="E1764" s="1">
        <v>3</v>
      </c>
      <c r="F1764" s="1">
        <v>55</v>
      </c>
      <c r="J1764" s="3">
        <v>0</v>
      </c>
      <c r="K1764" s="3">
        <v>1</v>
      </c>
    </row>
    <row r="1765" spans="1:65" x14ac:dyDescent="0.3">
      <c r="A1765" s="1" t="s">
        <v>50</v>
      </c>
      <c r="B1765" s="7">
        <v>40755</v>
      </c>
      <c r="C1765" s="1">
        <v>6</v>
      </c>
      <c r="D1765" s="1">
        <v>315</v>
      </c>
      <c r="E1765" s="1">
        <v>3</v>
      </c>
      <c r="F1765" s="1">
        <v>56</v>
      </c>
      <c r="J1765" s="3">
        <v>0</v>
      </c>
      <c r="K1765" s="3">
        <v>1</v>
      </c>
      <c r="BM1765" s="1">
        <v>1</v>
      </c>
    </row>
    <row r="1766" spans="1:65" x14ac:dyDescent="0.3">
      <c r="A1766" s="1" t="s">
        <v>50</v>
      </c>
      <c r="B1766" s="7">
        <v>40755</v>
      </c>
      <c r="C1766" s="1">
        <v>6</v>
      </c>
      <c r="D1766" s="1">
        <v>315</v>
      </c>
      <c r="E1766" s="1">
        <v>3</v>
      </c>
      <c r="F1766" s="1">
        <v>57</v>
      </c>
      <c r="J1766" s="3">
        <v>0</v>
      </c>
      <c r="K1766" s="3">
        <v>1</v>
      </c>
    </row>
    <row r="1767" spans="1:65" x14ac:dyDescent="0.3">
      <c r="A1767" s="1" t="s">
        <v>50</v>
      </c>
      <c r="B1767" s="7">
        <v>40755</v>
      </c>
      <c r="C1767" s="1">
        <v>6</v>
      </c>
      <c r="D1767" s="1">
        <v>315</v>
      </c>
      <c r="E1767" s="1">
        <v>3</v>
      </c>
      <c r="F1767" s="1">
        <v>58</v>
      </c>
      <c r="J1767" s="3">
        <v>0</v>
      </c>
      <c r="K1767" s="3">
        <v>1</v>
      </c>
    </row>
    <row r="1768" spans="1:65" x14ac:dyDescent="0.3">
      <c r="A1768" s="1" t="s">
        <v>50</v>
      </c>
      <c r="B1768" s="7">
        <v>40755</v>
      </c>
      <c r="C1768" s="1">
        <v>6</v>
      </c>
      <c r="D1768" s="1">
        <v>315</v>
      </c>
      <c r="E1768" s="1">
        <v>3</v>
      </c>
      <c r="F1768" s="1">
        <v>59</v>
      </c>
      <c r="L1768" s="1">
        <v>1</v>
      </c>
      <c r="T1768" s="1">
        <v>1</v>
      </c>
    </row>
    <row r="1769" spans="1:65" x14ac:dyDescent="0.3">
      <c r="A1769" s="1" t="s">
        <v>50</v>
      </c>
      <c r="B1769" s="7">
        <v>40755</v>
      </c>
      <c r="C1769" s="1">
        <v>6</v>
      </c>
      <c r="D1769" s="1">
        <v>315</v>
      </c>
      <c r="E1769" s="1">
        <v>3</v>
      </c>
      <c r="F1769" s="1">
        <v>60</v>
      </c>
      <c r="L1769" s="1">
        <v>1</v>
      </c>
      <c r="V1769" s="1">
        <v>1</v>
      </c>
    </row>
    <row r="1770" spans="1:65" x14ac:dyDescent="0.3">
      <c r="A1770" s="1" t="s">
        <v>50</v>
      </c>
      <c r="B1770" s="7">
        <v>40755</v>
      </c>
      <c r="C1770" s="1">
        <v>6</v>
      </c>
      <c r="D1770" s="1">
        <v>315</v>
      </c>
      <c r="E1770" s="1">
        <v>3</v>
      </c>
      <c r="F1770" s="1">
        <v>61</v>
      </c>
      <c r="L1770" s="1">
        <v>1</v>
      </c>
      <c r="AG1770" s="1">
        <v>1</v>
      </c>
    </row>
    <row r="1771" spans="1:65" x14ac:dyDescent="0.3">
      <c r="A1771" s="1" t="s">
        <v>50</v>
      </c>
      <c r="B1771" s="7">
        <v>40755</v>
      </c>
      <c r="C1771" s="1">
        <v>6</v>
      </c>
      <c r="D1771" s="1">
        <v>315</v>
      </c>
      <c r="E1771" s="1">
        <v>3</v>
      </c>
      <c r="F1771" s="1">
        <v>62</v>
      </c>
      <c r="J1771" s="3">
        <v>0</v>
      </c>
      <c r="K1771" s="3">
        <v>1</v>
      </c>
    </row>
    <row r="1772" spans="1:65" x14ac:dyDescent="0.3">
      <c r="A1772" s="1" t="s">
        <v>50</v>
      </c>
      <c r="B1772" s="7">
        <v>40755</v>
      </c>
      <c r="C1772" s="1">
        <v>6</v>
      </c>
      <c r="D1772" s="1">
        <v>315</v>
      </c>
      <c r="E1772" s="1">
        <v>3</v>
      </c>
      <c r="F1772" s="1">
        <v>63</v>
      </c>
      <c r="J1772" s="1">
        <v>1</v>
      </c>
      <c r="L1772" s="1">
        <v>1</v>
      </c>
    </row>
    <row r="1773" spans="1:65" x14ac:dyDescent="0.3">
      <c r="A1773" s="1" t="s">
        <v>50</v>
      </c>
      <c r="B1773" s="7">
        <v>40755</v>
      </c>
      <c r="C1773" s="1">
        <v>6</v>
      </c>
      <c r="D1773" s="1">
        <v>315</v>
      </c>
      <c r="E1773" s="1">
        <v>3</v>
      </c>
      <c r="F1773" s="1">
        <v>64</v>
      </c>
      <c r="J1773" s="1">
        <v>1</v>
      </c>
      <c r="L1773" s="1">
        <v>1</v>
      </c>
      <c r="BM1773" s="1">
        <v>1</v>
      </c>
    </row>
    <row r="1774" spans="1:65" x14ac:dyDescent="0.3">
      <c r="A1774" s="1" t="s">
        <v>50</v>
      </c>
      <c r="B1774" s="7">
        <v>40755</v>
      </c>
      <c r="C1774" s="1">
        <v>6</v>
      </c>
      <c r="D1774" s="1">
        <v>315</v>
      </c>
      <c r="E1774" s="1">
        <v>3</v>
      </c>
      <c r="F1774" s="1">
        <v>65</v>
      </c>
      <c r="J1774" s="3">
        <v>0</v>
      </c>
      <c r="K1774" s="3">
        <v>1</v>
      </c>
      <c r="L1774" s="1">
        <v>1</v>
      </c>
    </row>
    <row r="1775" spans="1:65" x14ac:dyDescent="0.3">
      <c r="A1775" s="1" t="s">
        <v>50</v>
      </c>
      <c r="B1775" s="7">
        <v>40755</v>
      </c>
      <c r="C1775" s="1">
        <v>6</v>
      </c>
      <c r="D1775" s="1">
        <v>315</v>
      </c>
      <c r="E1775" s="1">
        <v>3</v>
      </c>
      <c r="F1775" s="1">
        <v>66</v>
      </c>
      <c r="L1775" s="1">
        <v>1</v>
      </c>
      <c r="BM1775" s="1">
        <v>1</v>
      </c>
    </row>
    <row r="1776" spans="1:65" x14ac:dyDescent="0.3">
      <c r="A1776" s="1" t="s">
        <v>50</v>
      </c>
      <c r="B1776" s="7">
        <v>40755</v>
      </c>
      <c r="C1776" s="1">
        <v>6</v>
      </c>
      <c r="D1776" s="1">
        <v>315</v>
      </c>
      <c r="E1776" s="1">
        <v>3</v>
      </c>
      <c r="F1776" s="1">
        <v>67</v>
      </c>
      <c r="J1776" s="3">
        <v>0</v>
      </c>
      <c r="K1776" s="3">
        <v>1</v>
      </c>
    </row>
    <row r="1777" spans="1:65" x14ac:dyDescent="0.3">
      <c r="A1777" s="1" t="s">
        <v>50</v>
      </c>
      <c r="B1777" s="7">
        <v>40755</v>
      </c>
      <c r="C1777" s="1">
        <v>6</v>
      </c>
      <c r="D1777" s="1">
        <v>315</v>
      </c>
      <c r="E1777" s="1">
        <v>3</v>
      </c>
      <c r="F1777" s="1">
        <v>68</v>
      </c>
      <c r="J1777" s="3">
        <v>0</v>
      </c>
      <c r="K1777" s="3">
        <v>1</v>
      </c>
    </row>
    <row r="1778" spans="1:65" x14ac:dyDescent="0.3">
      <c r="A1778" s="1" t="s">
        <v>50</v>
      </c>
      <c r="B1778" s="7">
        <v>40755</v>
      </c>
      <c r="C1778" s="1">
        <v>6</v>
      </c>
      <c r="D1778" s="1">
        <v>315</v>
      </c>
      <c r="E1778" s="1">
        <v>3</v>
      </c>
      <c r="F1778" s="1">
        <v>69</v>
      </c>
    </row>
    <row r="1779" spans="1:65" x14ac:dyDescent="0.3">
      <c r="A1779" s="1" t="s">
        <v>50</v>
      </c>
      <c r="B1779" s="7">
        <v>40755</v>
      </c>
      <c r="C1779" s="1">
        <v>6</v>
      </c>
      <c r="D1779" s="1">
        <v>315</v>
      </c>
      <c r="E1779" s="1">
        <v>3</v>
      </c>
      <c r="F1779" s="1">
        <v>70</v>
      </c>
      <c r="I1779" s="1">
        <v>1</v>
      </c>
      <c r="L1779" s="8">
        <v>1</v>
      </c>
      <c r="M1779" s="8"/>
    </row>
    <row r="1780" spans="1:65" x14ac:dyDescent="0.3">
      <c r="A1780" s="1" t="s">
        <v>50</v>
      </c>
      <c r="B1780" s="7">
        <v>40755</v>
      </c>
      <c r="C1780" s="1">
        <v>6</v>
      </c>
      <c r="D1780" s="1">
        <v>315</v>
      </c>
      <c r="E1780" s="1">
        <v>3</v>
      </c>
      <c r="F1780" s="1">
        <v>71</v>
      </c>
      <c r="J1780" s="1">
        <v>1</v>
      </c>
    </row>
    <row r="1781" spans="1:65" x14ac:dyDescent="0.3">
      <c r="A1781" s="1" t="s">
        <v>50</v>
      </c>
      <c r="B1781" s="7">
        <v>40755</v>
      </c>
      <c r="C1781" s="1">
        <v>6</v>
      </c>
      <c r="D1781" s="1">
        <v>315</v>
      </c>
      <c r="E1781" s="1">
        <v>3</v>
      </c>
      <c r="F1781" s="1">
        <v>72</v>
      </c>
      <c r="I1781" s="1">
        <v>1</v>
      </c>
      <c r="L1781" s="1">
        <v>1</v>
      </c>
    </row>
    <row r="1782" spans="1:65" x14ac:dyDescent="0.3">
      <c r="A1782" s="1" t="s">
        <v>50</v>
      </c>
      <c r="B1782" s="7">
        <v>40755</v>
      </c>
      <c r="C1782" s="1">
        <v>6</v>
      </c>
      <c r="D1782" s="1">
        <v>315</v>
      </c>
      <c r="E1782" s="1">
        <v>3</v>
      </c>
      <c r="F1782" s="1">
        <v>73</v>
      </c>
      <c r="J1782" s="3">
        <v>0</v>
      </c>
      <c r="K1782" s="3">
        <v>1</v>
      </c>
    </row>
    <row r="1783" spans="1:65" x14ac:dyDescent="0.3">
      <c r="A1783" s="1" t="s">
        <v>50</v>
      </c>
      <c r="B1783" s="7">
        <v>40755</v>
      </c>
      <c r="C1783" s="1">
        <v>6</v>
      </c>
      <c r="D1783" s="1">
        <v>315</v>
      </c>
      <c r="E1783" s="1">
        <v>3</v>
      </c>
      <c r="F1783" s="1">
        <v>74</v>
      </c>
      <c r="I1783" s="1">
        <v>1</v>
      </c>
    </row>
    <row r="1784" spans="1:65" x14ac:dyDescent="0.3">
      <c r="A1784" s="1" t="s">
        <v>50</v>
      </c>
      <c r="B1784" s="7">
        <v>40755</v>
      </c>
      <c r="C1784" s="1">
        <v>6</v>
      </c>
      <c r="D1784" s="1">
        <v>315</v>
      </c>
      <c r="E1784" s="1">
        <v>3</v>
      </c>
      <c r="F1784" s="1">
        <v>75</v>
      </c>
      <c r="J1784" s="3">
        <v>0</v>
      </c>
      <c r="K1784" s="3">
        <v>1</v>
      </c>
      <c r="BM1784" s="1">
        <v>1</v>
      </c>
    </row>
    <row r="1785" spans="1:65" x14ac:dyDescent="0.3">
      <c r="A1785" s="1" t="s">
        <v>50</v>
      </c>
      <c r="B1785" s="7">
        <v>40755</v>
      </c>
      <c r="C1785" s="1">
        <v>6</v>
      </c>
      <c r="D1785" s="1">
        <v>315</v>
      </c>
      <c r="E1785" s="1">
        <v>3</v>
      </c>
      <c r="F1785" s="1">
        <v>76</v>
      </c>
      <c r="L1785" s="1">
        <v>1</v>
      </c>
    </row>
    <row r="1786" spans="1:65" x14ac:dyDescent="0.3">
      <c r="A1786" s="1" t="s">
        <v>50</v>
      </c>
      <c r="B1786" s="7">
        <v>40755</v>
      </c>
      <c r="C1786" s="1">
        <v>6</v>
      </c>
      <c r="D1786" s="1">
        <v>315</v>
      </c>
      <c r="E1786" s="1">
        <v>3</v>
      </c>
      <c r="F1786" s="1">
        <v>77</v>
      </c>
    </row>
    <row r="1787" spans="1:65" x14ac:dyDescent="0.3">
      <c r="A1787" s="1" t="s">
        <v>50</v>
      </c>
      <c r="B1787" s="7">
        <v>40755</v>
      </c>
      <c r="C1787" s="1">
        <v>6</v>
      </c>
      <c r="D1787" s="1">
        <v>315</v>
      </c>
      <c r="E1787" s="1">
        <v>3</v>
      </c>
      <c r="F1787" s="1">
        <v>78</v>
      </c>
      <c r="I1787" s="1">
        <v>1</v>
      </c>
    </row>
    <row r="1788" spans="1:65" x14ac:dyDescent="0.3">
      <c r="A1788" s="1" t="s">
        <v>50</v>
      </c>
      <c r="B1788" s="7">
        <v>40755</v>
      </c>
      <c r="C1788" s="1">
        <v>6</v>
      </c>
      <c r="D1788" s="1">
        <v>315</v>
      </c>
      <c r="E1788" s="1">
        <v>3</v>
      </c>
      <c r="F1788" s="1">
        <v>79</v>
      </c>
      <c r="L1788" s="1">
        <v>1</v>
      </c>
      <c r="AF1788" s="1">
        <v>1</v>
      </c>
    </row>
    <row r="1789" spans="1:65" x14ac:dyDescent="0.3">
      <c r="A1789" s="1" t="s">
        <v>50</v>
      </c>
      <c r="B1789" s="7">
        <v>40755</v>
      </c>
      <c r="C1789" s="1">
        <v>6</v>
      </c>
      <c r="D1789" s="1">
        <v>315</v>
      </c>
      <c r="E1789" s="1">
        <v>3</v>
      </c>
      <c r="F1789" s="1">
        <v>80</v>
      </c>
      <c r="J1789" s="1">
        <v>1</v>
      </c>
      <c r="L1789" s="1">
        <v>1</v>
      </c>
      <c r="V1789" s="1">
        <v>1</v>
      </c>
    </row>
    <row r="1790" spans="1:65" x14ac:dyDescent="0.3">
      <c r="A1790" s="1" t="s">
        <v>50</v>
      </c>
      <c r="B1790" s="7">
        <v>40755</v>
      </c>
      <c r="C1790" s="1">
        <v>6</v>
      </c>
      <c r="D1790" s="1">
        <v>315</v>
      </c>
      <c r="E1790" s="1">
        <v>3</v>
      </c>
      <c r="F1790" s="1">
        <v>81</v>
      </c>
      <c r="I1790" s="1">
        <v>1</v>
      </c>
      <c r="J1790" s="1">
        <v>1</v>
      </c>
    </row>
    <row r="1791" spans="1:65" x14ac:dyDescent="0.3">
      <c r="A1791" s="1" t="s">
        <v>50</v>
      </c>
      <c r="B1791" s="7">
        <v>40755</v>
      </c>
      <c r="C1791" s="1">
        <v>6</v>
      </c>
      <c r="D1791" s="1">
        <v>315</v>
      </c>
      <c r="E1791" s="1">
        <v>3</v>
      </c>
      <c r="F1791" s="1">
        <v>82</v>
      </c>
      <c r="J1791" s="1">
        <v>1</v>
      </c>
      <c r="L1791" s="1">
        <v>1</v>
      </c>
    </row>
    <row r="1792" spans="1:65" x14ac:dyDescent="0.3">
      <c r="A1792" s="1" t="s">
        <v>50</v>
      </c>
      <c r="B1792" s="7">
        <v>40755</v>
      </c>
      <c r="C1792" s="1">
        <v>6</v>
      </c>
      <c r="D1792" s="1">
        <v>315</v>
      </c>
      <c r="E1792" s="1">
        <v>3</v>
      </c>
      <c r="F1792" s="1">
        <v>83</v>
      </c>
      <c r="J1792" s="3">
        <v>0</v>
      </c>
      <c r="K1792" s="3">
        <v>1</v>
      </c>
      <c r="L1792" s="1">
        <v>1</v>
      </c>
    </row>
    <row r="1793" spans="1:34" x14ac:dyDescent="0.3">
      <c r="A1793" s="1" t="s">
        <v>50</v>
      </c>
      <c r="B1793" s="7">
        <v>40755</v>
      </c>
      <c r="C1793" s="1">
        <v>6</v>
      </c>
      <c r="D1793" s="1">
        <v>315</v>
      </c>
      <c r="E1793" s="1">
        <v>3</v>
      </c>
      <c r="F1793" s="1">
        <v>84</v>
      </c>
      <c r="J1793" s="1">
        <v>1</v>
      </c>
    </row>
    <row r="1794" spans="1:34" x14ac:dyDescent="0.3">
      <c r="A1794" s="1" t="s">
        <v>50</v>
      </c>
      <c r="B1794" s="7">
        <v>40755</v>
      </c>
      <c r="C1794" s="1">
        <v>6</v>
      </c>
      <c r="D1794" s="1">
        <v>315</v>
      </c>
      <c r="E1794" s="1">
        <v>3</v>
      </c>
      <c r="F1794" s="1">
        <v>85</v>
      </c>
      <c r="L1794" s="1">
        <v>1</v>
      </c>
      <c r="AG1794" s="1">
        <v>1</v>
      </c>
    </row>
    <row r="1795" spans="1:34" x14ac:dyDescent="0.3">
      <c r="A1795" s="1" t="s">
        <v>50</v>
      </c>
      <c r="B1795" s="7">
        <v>40755</v>
      </c>
      <c r="C1795" s="1">
        <v>6</v>
      </c>
      <c r="D1795" s="1">
        <v>315</v>
      </c>
      <c r="E1795" s="1">
        <v>3</v>
      </c>
      <c r="F1795" s="1">
        <v>86</v>
      </c>
      <c r="J1795" s="3">
        <v>0</v>
      </c>
      <c r="K1795" s="3">
        <v>1</v>
      </c>
      <c r="L1795" s="1">
        <v>1</v>
      </c>
    </row>
    <row r="1796" spans="1:34" x14ac:dyDescent="0.3">
      <c r="A1796" s="1" t="s">
        <v>50</v>
      </c>
      <c r="B1796" s="7">
        <v>40755</v>
      </c>
      <c r="C1796" s="1">
        <v>6</v>
      </c>
      <c r="D1796" s="1">
        <v>315</v>
      </c>
      <c r="E1796" s="1">
        <v>3</v>
      </c>
      <c r="F1796" s="1">
        <v>87</v>
      </c>
      <c r="T1796" s="1">
        <v>1</v>
      </c>
    </row>
    <row r="1797" spans="1:34" x14ac:dyDescent="0.3">
      <c r="A1797" s="1" t="s">
        <v>50</v>
      </c>
      <c r="B1797" s="7">
        <v>40755</v>
      </c>
      <c r="C1797" s="1">
        <v>6</v>
      </c>
      <c r="D1797" s="1">
        <v>315</v>
      </c>
      <c r="E1797" s="1">
        <v>3</v>
      </c>
      <c r="F1797" s="1">
        <v>88</v>
      </c>
      <c r="J1797" s="3">
        <v>0</v>
      </c>
      <c r="K1797" s="3">
        <v>1</v>
      </c>
    </row>
    <row r="1798" spans="1:34" x14ac:dyDescent="0.3">
      <c r="A1798" s="1" t="s">
        <v>50</v>
      </c>
      <c r="B1798" s="7">
        <v>40755</v>
      </c>
      <c r="C1798" s="1">
        <v>6</v>
      </c>
      <c r="D1798" s="1">
        <v>315</v>
      </c>
      <c r="E1798" s="1">
        <v>3</v>
      </c>
      <c r="F1798" s="1">
        <v>89</v>
      </c>
      <c r="L1798" s="8">
        <v>1</v>
      </c>
      <c r="M1798" s="8"/>
    </row>
    <row r="1799" spans="1:34" x14ac:dyDescent="0.3">
      <c r="A1799" s="1" t="s">
        <v>50</v>
      </c>
      <c r="B1799" s="7">
        <v>40755</v>
      </c>
      <c r="C1799" s="1">
        <v>6</v>
      </c>
      <c r="D1799" s="1">
        <v>315</v>
      </c>
      <c r="E1799" s="1">
        <v>3</v>
      </c>
      <c r="F1799" s="1">
        <v>90</v>
      </c>
      <c r="J1799" s="1">
        <v>1</v>
      </c>
    </row>
    <row r="1800" spans="1:34" x14ac:dyDescent="0.3">
      <c r="A1800" s="1" t="s">
        <v>50</v>
      </c>
      <c r="B1800" s="7">
        <v>40755</v>
      </c>
      <c r="C1800" s="1">
        <v>6</v>
      </c>
      <c r="D1800" s="1">
        <v>315</v>
      </c>
      <c r="E1800" s="1">
        <v>3</v>
      </c>
      <c r="F1800" s="1">
        <v>91</v>
      </c>
      <c r="I1800" s="1">
        <v>1</v>
      </c>
      <c r="J1800" s="3">
        <v>0</v>
      </c>
      <c r="K1800" s="3">
        <v>1</v>
      </c>
    </row>
    <row r="1801" spans="1:34" x14ac:dyDescent="0.3">
      <c r="A1801" s="1" t="s">
        <v>50</v>
      </c>
      <c r="B1801" s="7">
        <v>40755</v>
      </c>
      <c r="C1801" s="1">
        <v>6</v>
      </c>
      <c r="D1801" s="1">
        <v>315</v>
      </c>
      <c r="E1801" s="1">
        <v>3</v>
      </c>
      <c r="F1801" s="1">
        <v>92</v>
      </c>
      <c r="J1801" s="3">
        <v>0</v>
      </c>
      <c r="K1801" s="3">
        <v>1</v>
      </c>
    </row>
    <row r="1802" spans="1:34" x14ac:dyDescent="0.3">
      <c r="A1802" s="1" t="s">
        <v>50</v>
      </c>
      <c r="B1802" s="7">
        <v>40755</v>
      </c>
      <c r="C1802" s="1">
        <v>6</v>
      </c>
      <c r="D1802" s="1">
        <v>315</v>
      </c>
      <c r="E1802" s="1">
        <v>3</v>
      </c>
      <c r="F1802" s="1">
        <v>93</v>
      </c>
      <c r="I1802" s="1">
        <v>1</v>
      </c>
      <c r="J1802" s="1">
        <v>1</v>
      </c>
    </row>
    <row r="1803" spans="1:34" x14ac:dyDescent="0.3">
      <c r="A1803" s="1" t="s">
        <v>50</v>
      </c>
      <c r="B1803" s="7">
        <v>40755</v>
      </c>
      <c r="C1803" s="1">
        <v>6</v>
      </c>
      <c r="D1803" s="1">
        <v>315</v>
      </c>
      <c r="E1803" s="1">
        <v>3</v>
      </c>
      <c r="F1803" s="1">
        <v>94</v>
      </c>
      <c r="L1803" s="1">
        <v>1</v>
      </c>
    </row>
    <row r="1804" spans="1:34" x14ac:dyDescent="0.3">
      <c r="A1804" s="1" t="s">
        <v>50</v>
      </c>
      <c r="B1804" s="7">
        <v>40755</v>
      </c>
      <c r="C1804" s="1">
        <v>6</v>
      </c>
      <c r="D1804" s="1">
        <v>315</v>
      </c>
      <c r="E1804" s="1">
        <v>3</v>
      </c>
      <c r="F1804" s="1">
        <v>95</v>
      </c>
      <c r="AF1804" s="1">
        <v>1</v>
      </c>
    </row>
    <row r="1805" spans="1:34" x14ac:dyDescent="0.3">
      <c r="A1805" s="1" t="s">
        <v>50</v>
      </c>
      <c r="B1805" s="7">
        <v>40755</v>
      </c>
      <c r="C1805" s="1">
        <v>6</v>
      </c>
      <c r="D1805" s="1">
        <v>315</v>
      </c>
      <c r="E1805" s="1">
        <v>3</v>
      </c>
      <c r="F1805" s="1">
        <v>96</v>
      </c>
      <c r="AG1805" s="3">
        <v>0</v>
      </c>
      <c r="AH1805" s="3">
        <v>1</v>
      </c>
    </row>
    <row r="1806" spans="1:34" x14ac:dyDescent="0.3">
      <c r="A1806" s="1" t="s">
        <v>50</v>
      </c>
      <c r="B1806" s="7">
        <v>40755</v>
      </c>
      <c r="C1806" s="1">
        <v>6</v>
      </c>
      <c r="D1806" s="1">
        <v>315</v>
      </c>
      <c r="E1806" s="1">
        <v>3</v>
      </c>
      <c r="F1806" s="1">
        <v>97</v>
      </c>
      <c r="T1806" s="1">
        <v>1</v>
      </c>
    </row>
    <row r="1807" spans="1:34" x14ac:dyDescent="0.3">
      <c r="A1807" s="1" t="s">
        <v>50</v>
      </c>
      <c r="B1807" s="7">
        <v>40755</v>
      </c>
      <c r="C1807" s="1">
        <v>6</v>
      </c>
      <c r="D1807" s="1">
        <v>315</v>
      </c>
      <c r="E1807" s="1">
        <v>3</v>
      </c>
      <c r="F1807" s="1">
        <v>98</v>
      </c>
      <c r="J1807" s="3">
        <v>0</v>
      </c>
      <c r="K1807" s="3">
        <v>1</v>
      </c>
    </row>
    <row r="1808" spans="1:34" x14ac:dyDescent="0.3">
      <c r="A1808" s="1" t="s">
        <v>50</v>
      </c>
      <c r="B1808" s="7">
        <v>40755</v>
      </c>
      <c r="C1808" s="1">
        <v>6</v>
      </c>
      <c r="D1808" s="1">
        <v>315</v>
      </c>
      <c r="E1808" s="1">
        <v>3</v>
      </c>
      <c r="F1808" s="1">
        <v>99</v>
      </c>
      <c r="J1808" s="3">
        <v>0</v>
      </c>
      <c r="K1808" s="3">
        <v>1</v>
      </c>
    </row>
    <row r="1809" spans="1:90" x14ac:dyDescent="0.3">
      <c r="A1809" s="1" t="s">
        <v>50</v>
      </c>
      <c r="B1809" s="7">
        <v>40755</v>
      </c>
      <c r="C1809" s="1">
        <v>6</v>
      </c>
      <c r="D1809" s="1">
        <v>315</v>
      </c>
      <c r="E1809" s="1">
        <v>3</v>
      </c>
      <c r="F1809" s="1">
        <v>100</v>
      </c>
      <c r="I1809" s="1">
        <v>1</v>
      </c>
    </row>
    <row r="1810" spans="1:90" s="12" customFormat="1" x14ac:dyDescent="0.3">
      <c r="A1810" s="14" t="s">
        <v>50</v>
      </c>
      <c r="B1810" s="13"/>
      <c r="G1810" s="12">
        <f>SUM(G1610:G1809)</f>
        <v>0</v>
      </c>
      <c r="H1810" s="12">
        <f t="shared" ref="H1810" si="608">SUM(H1610:H1809)</f>
        <v>3</v>
      </c>
      <c r="I1810" s="12">
        <f t="shared" ref="I1810" si="609">SUM(I1610:I1809)</f>
        <v>25</v>
      </c>
      <c r="J1810" s="12">
        <f t="shared" ref="J1810" si="610">SUM(J1610:J1809)</f>
        <v>70</v>
      </c>
      <c r="K1810" s="12">
        <f t="shared" ref="K1810" si="611">SUM(K1610:K1809)</f>
        <v>50</v>
      </c>
      <c r="L1810" s="12">
        <f t="shared" ref="L1810" si="612">SUM(L1610:L1809)</f>
        <v>63</v>
      </c>
      <c r="M1810" s="12">
        <f t="shared" ref="M1810" si="613">SUM(M1610:M1809)</f>
        <v>1</v>
      </c>
      <c r="N1810" s="12">
        <f t="shared" ref="N1810" si="614">SUM(N1610:N1809)</f>
        <v>2</v>
      </c>
      <c r="O1810" s="12">
        <f t="shared" ref="O1810" si="615">SUM(O1610:O1809)</f>
        <v>0</v>
      </c>
      <c r="P1810" s="12">
        <f t="shared" ref="P1810" si="616">SUM(P1610:P1809)</f>
        <v>0</v>
      </c>
      <c r="Q1810" s="12">
        <f t="shared" ref="Q1810" si="617">SUM(Q1610:Q1809)</f>
        <v>0</v>
      </c>
      <c r="R1810" s="12">
        <f t="shared" ref="R1810" si="618">SUM(R1610:R1809)</f>
        <v>3</v>
      </c>
      <c r="S1810" s="12">
        <f t="shared" ref="S1810" si="619">SUM(S1610:S1809)</f>
        <v>0</v>
      </c>
      <c r="T1810" s="12">
        <f t="shared" ref="T1810" si="620">SUM(T1610:T1809)</f>
        <v>46</v>
      </c>
      <c r="U1810" s="12">
        <f t="shared" ref="U1810" si="621">SUM(U1610:U1809)</f>
        <v>0</v>
      </c>
      <c r="V1810" s="12">
        <f t="shared" ref="V1810" si="622">SUM(V1610:V1809)</f>
        <v>3</v>
      </c>
      <c r="W1810" s="12">
        <f t="shared" ref="W1810" si="623">SUM(W1610:W1809)</f>
        <v>1</v>
      </c>
      <c r="X1810" s="12">
        <f t="shared" ref="X1810" si="624">SUM(X1610:X1809)</f>
        <v>0</v>
      </c>
      <c r="Y1810" s="12">
        <f t="shared" ref="Y1810" si="625">SUM(Y1610:Y1809)</f>
        <v>0</v>
      </c>
      <c r="Z1810" s="12">
        <f t="shared" ref="Z1810" si="626">SUM(Z1610:Z1809)</f>
        <v>0</v>
      </c>
      <c r="AA1810" s="12">
        <f t="shared" ref="AA1810" si="627">SUM(AA1610:AA1809)</f>
        <v>0</v>
      </c>
      <c r="AB1810" s="12">
        <f t="shared" ref="AB1810" si="628">SUM(AB1610:AB1809)</f>
        <v>0</v>
      </c>
      <c r="AC1810" s="12">
        <f t="shared" ref="AC1810" si="629">SUM(AC1610:AC1809)</f>
        <v>0</v>
      </c>
      <c r="AD1810" s="12">
        <f t="shared" ref="AD1810" si="630">SUM(AD1610:AD1809)</f>
        <v>0</v>
      </c>
      <c r="AE1810" s="12">
        <f t="shared" ref="AE1810" si="631">SUM(AE1610:AE1809)</f>
        <v>0</v>
      </c>
      <c r="AF1810" s="12">
        <f t="shared" ref="AF1810" si="632">SUM(AF1610:AF1809)</f>
        <v>4</v>
      </c>
      <c r="AG1810" s="12">
        <f t="shared" ref="AG1810" si="633">SUM(AG1610:AG1809)</f>
        <v>2</v>
      </c>
      <c r="AH1810" s="12">
        <f t="shared" ref="AH1810" si="634">SUM(AH1610:AH1809)</f>
        <v>3</v>
      </c>
      <c r="AI1810" s="12">
        <f t="shared" ref="AI1810" si="635">SUM(AI1610:AI1809)</f>
        <v>0</v>
      </c>
      <c r="AJ1810" s="12">
        <f t="shared" ref="AJ1810" si="636">SUM(AJ1610:AJ1809)</f>
        <v>0</v>
      </c>
      <c r="AK1810" s="12">
        <f t="shared" ref="AK1810" si="637">SUM(AK1610:AK1809)</f>
        <v>1</v>
      </c>
      <c r="AL1810" s="12">
        <f t="shared" ref="AL1810" si="638">SUM(AL1610:AL1809)</f>
        <v>0</v>
      </c>
      <c r="AM1810" s="12">
        <f t="shared" ref="AM1810" si="639">SUM(AM1610:AM1809)</f>
        <v>3</v>
      </c>
      <c r="AN1810" s="12">
        <f t="shared" ref="AN1810" si="640">SUM(AN1610:AN1809)</f>
        <v>0</v>
      </c>
      <c r="AO1810" s="12">
        <f t="shared" ref="AO1810" si="641">SUM(AO1610:AO1809)</f>
        <v>0</v>
      </c>
      <c r="AP1810" s="12">
        <f t="shared" ref="AP1810" si="642">SUM(AP1610:AP1809)</f>
        <v>0</v>
      </c>
      <c r="AQ1810" s="12">
        <f t="shared" ref="AQ1810" si="643">SUM(AQ1610:AQ1809)</f>
        <v>0</v>
      </c>
      <c r="AR1810" s="12">
        <f t="shared" ref="AR1810" si="644">SUM(AR1610:AR1809)</f>
        <v>0</v>
      </c>
      <c r="AS1810" s="12">
        <f t="shared" ref="AS1810" si="645">SUM(AS1610:AS1809)</f>
        <v>1</v>
      </c>
      <c r="AT1810" s="12">
        <f t="shared" ref="AT1810" si="646">SUM(AT1610:AT1809)</f>
        <v>0</v>
      </c>
      <c r="AU1810" s="12">
        <f t="shared" ref="AU1810" si="647">SUM(AU1610:AU1809)</f>
        <v>0</v>
      </c>
      <c r="AV1810" s="12">
        <f t="shared" ref="AV1810" si="648">SUM(AV1610:AV1809)</f>
        <v>0</v>
      </c>
      <c r="AW1810" s="12">
        <f t="shared" ref="AW1810" si="649">SUM(AW1610:AW1809)</f>
        <v>0</v>
      </c>
      <c r="AX1810" s="12">
        <f t="shared" ref="AX1810" si="650">SUM(AX1610:AX1809)</f>
        <v>0</v>
      </c>
      <c r="AY1810" s="12">
        <f t="shared" ref="AY1810" si="651">SUM(AY1610:AY1809)</f>
        <v>0</v>
      </c>
      <c r="AZ1810" s="12">
        <f t="shared" ref="AZ1810" si="652">SUM(AZ1610:AZ1809)</f>
        <v>0</v>
      </c>
      <c r="BA1810" s="12">
        <f t="shared" ref="BA1810" si="653">SUM(BA1610:BA1809)</f>
        <v>0</v>
      </c>
      <c r="BB1810" s="12">
        <f t="shared" ref="BB1810" si="654">SUM(BB1610:BB1809)</f>
        <v>0</v>
      </c>
      <c r="BC1810" s="12">
        <f t="shared" ref="BC1810" si="655">SUM(BC1610:BC1809)</f>
        <v>0</v>
      </c>
      <c r="BD1810" s="12">
        <f t="shared" ref="BD1810" si="656">SUM(BD1610:BD1809)</f>
        <v>0</v>
      </c>
      <c r="BE1810" s="12">
        <f t="shared" ref="BE1810" si="657">SUM(BE1610:BE1809)</f>
        <v>0</v>
      </c>
      <c r="BF1810" s="12">
        <f t="shared" ref="BF1810" si="658">SUM(BF1610:BF1809)</f>
        <v>0</v>
      </c>
      <c r="BG1810" s="12">
        <f t="shared" ref="BG1810" si="659">SUM(BG1610:BG1809)</f>
        <v>2</v>
      </c>
      <c r="BH1810" s="12">
        <f t="shared" ref="BH1810" si="660">SUM(BH1610:BH1809)</f>
        <v>0</v>
      </c>
      <c r="BI1810" s="12">
        <f t="shared" ref="BI1810" si="661">SUM(BI1610:BI1809)</f>
        <v>3</v>
      </c>
      <c r="BJ1810" s="12">
        <f t="shared" ref="BJ1810" si="662">SUM(BJ1610:BJ1809)</f>
        <v>1</v>
      </c>
      <c r="BK1810" s="12">
        <f t="shared" ref="BK1810" si="663">SUM(BK1610:BK1809)</f>
        <v>0</v>
      </c>
      <c r="BL1810" s="12">
        <f t="shared" ref="BL1810" si="664">SUM(BL1610:BL1809)</f>
        <v>5</v>
      </c>
      <c r="BM1810" s="12">
        <f t="shared" ref="BM1810" si="665">SUM(BM1610:BM1809)</f>
        <v>11</v>
      </c>
      <c r="BN1810" s="12">
        <f t="shared" ref="BN1810" si="666">SUM(BN1610:BN1809)</f>
        <v>0</v>
      </c>
      <c r="BO1810" s="12">
        <f t="shared" ref="BO1810" si="667">SUM(BO1610:BO1809)</f>
        <v>0</v>
      </c>
      <c r="BP1810" s="12">
        <f t="shared" ref="BP1810" si="668">SUM(BP1610:BP1809)</f>
        <v>0</v>
      </c>
      <c r="BQ1810" s="12">
        <f t="shared" ref="BQ1810" si="669">SUM(BQ1610:BQ1809)</f>
        <v>0</v>
      </c>
      <c r="BR1810" s="12">
        <f t="shared" ref="BR1810" si="670">SUM(BR1610:BR1809)</f>
        <v>0</v>
      </c>
      <c r="BS1810" s="12">
        <f t="shared" ref="BS1810" si="671">SUM(BS1610:BS1809)</f>
        <v>0</v>
      </c>
      <c r="BT1810" s="12">
        <f t="shared" ref="BT1810" si="672">SUM(BT1610:BT1809)</f>
        <v>0</v>
      </c>
      <c r="BU1810" s="12">
        <f t="shared" ref="BU1810" si="673">SUM(BU1610:BU1809)</f>
        <v>0</v>
      </c>
      <c r="BV1810" s="12">
        <f t="shared" ref="BV1810" si="674">SUM(BV1610:BV1809)</f>
        <v>0</v>
      </c>
      <c r="BW1810" s="12">
        <f t="shared" ref="BW1810" si="675">SUM(BW1610:BW1809)</f>
        <v>0</v>
      </c>
      <c r="BX1810" s="12">
        <f t="shared" ref="BX1810" si="676">SUM(BX1610:BX1809)</f>
        <v>0</v>
      </c>
      <c r="BY1810" s="12">
        <f t="shared" ref="BY1810" si="677">SUM(BY1610:BY1809)</f>
        <v>0</v>
      </c>
      <c r="BZ1810" s="12">
        <f t="shared" ref="BZ1810" si="678">SUM(BZ1610:BZ1809)</f>
        <v>0</v>
      </c>
      <c r="CA1810" s="12">
        <f t="shared" ref="CA1810" si="679">SUM(CA1610:CA1809)</f>
        <v>0</v>
      </c>
      <c r="CB1810" s="12">
        <f t="shared" ref="CB1810" si="680">SUM(CB1610:CB1809)</f>
        <v>0</v>
      </c>
      <c r="CC1810" s="12">
        <f t="shared" ref="CC1810" si="681">SUM(CC1610:CC1809)</f>
        <v>0</v>
      </c>
      <c r="CD1810" s="12">
        <f t="shared" ref="CD1810" si="682">SUM(CD1610:CD1809)</f>
        <v>0</v>
      </c>
      <c r="CE1810" s="12">
        <f t="shared" ref="CE1810" si="683">SUM(CE1610:CE1809)</f>
        <v>0</v>
      </c>
      <c r="CF1810" s="12">
        <f t="shared" ref="CF1810" si="684">SUM(CF1610:CF1809)</f>
        <v>0</v>
      </c>
      <c r="CG1810" s="12">
        <f t="shared" ref="CG1810" si="685">SUM(CG1610:CG1809)</f>
        <v>0</v>
      </c>
      <c r="CH1810" s="12">
        <f t="shared" ref="CH1810" si="686">SUM(CH1610:CH1809)</f>
        <v>0</v>
      </c>
      <c r="CI1810" s="12">
        <f t="shared" ref="CI1810" si="687">SUM(CI1610:CI1809)</f>
        <v>0</v>
      </c>
      <c r="CJ1810" s="12">
        <f t="shared" ref="CJ1810" si="688">SUM(CJ1610:CJ1809)</f>
        <v>0</v>
      </c>
      <c r="CK1810" s="12">
        <f t="shared" ref="CK1810" si="689">SUM(CK1610:CK1809)</f>
        <v>0</v>
      </c>
      <c r="CL1810" s="12">
        <f t="shared" ref="CL1810" si="690">SUM(CL1610:CL1809)</f>
        <v>0</v>
      </c>
    </row>
    <row r="1811" spans="1:90" x14ac:dyDescent="0.3">
      <c r="A1811" s="1" t="s">
        <v>51</v>
      </c>
      <c r="B1811" s="7">
        <v>40756</v>
      </c>
      <c r="C1811" s="1">
        <v>3</v>
      </c>
      <c r="D1811" s="1">
        <v>260</v>
      </c>
      <c r="E1811" s="1">
        <v>1</v>
      </c>
      <c r="F1811" s="1">
        <v>1</v>
      </c>
      <c r="L1811" s="8">
        <v>1</v>
      </c>
      <c r="M1811" s="8"/>
    </row>
    <row r="1812" spans="1:90" x14ac:dyDescent="0.3">
      <c r="A1812" s="1" t="s">
        <v>51</v>
      </c>
      <c r="B1812" s="7">
        <v>40756</v>
      </c>
      <c r="C1812" s="1">
        <v>3</v>
      </c>
      <c r="D1812" s="1">
        <v>260</v>
      </c>
      <c r="E1812" s="1">
        <v>1</v>
      </c>
      <c r="F1812" s="1">
        <v>2</v>
      </c>
      <c r="G1812" s="1">
        <v>1</v>
      </c>
      <c r="T1812" s="1">
        <v>1</v>
      </c>
    </row>
    <row r="1813" spans="1:90" x14ac:dyDescent="0.3">
      <c r="A1813" s="1" t="s">
        <v>51</v>
      </c>
      <c r="B1813" s="7">
        <v>40756</v>
      </c>
      <c r="C1813" s="1">
        <v>3</v>
      </c>
      <c r="D1813" s="1">
        <v>260</v>
      </c>
      <c r="E1813" s="1">
        <v>1</v>
      </c>
      <c r="F1813" s="1">
        <v>3</v>
      </c>
      <c r="T1813" s="1">
        <v>1</v>
      </c>
    </row>
    <row r="1814" spans="1:90" x14ac:dyDescent="0.3">
      <c r="A1814" s="1" t="s">
        <v>51</v>
      </c>
      <c r="B1814" s="7">
        <v>40756</v>
      </c>
      <c r="C1814" s="1">
        <v>3</v>
      </c>
      <c r="D1814" s="1">
        <v>260</v>
      </c>
      <c r="E1814" s="1">
        <v>1</v>
      </c>
      <c r="F1814" s="1">
        <v>4</v>
      </c>
      <c r="AB1814" s="1">
        <v>1</v>
      </c>
    </row>
    <row r="1815" spans="1:90" x14ac:dyDescent="0.3">
      <c r="A1815" s="1" t="s">
        <v>51</v>
      </c>
      <c r="B1815" s="7">
        <v>40756</v>
      </c>
      <c r="C1815" s="1">
        <v>3</v>
      </c>
      <c r="D1815" s="1">
        <v>260</v>
      </c>
      <c r="E1815" s="1">
        <v>1</v>
      </c>
      <c r="F1815" s="1">
        <v>5</v>
      </c>
    </row>
    <row r="1816" spans="1:90" x14ac:dyDescent="0.3">
      <c r="A1816" s="1" t="s">
        <v>51</v>
      </c>
      <c r="B1816" s="7">
        <v>40756</v>
      </c>
      <c r="C1816" s="1">
        <v>3</v>
      </c>
      <c r="D1816" s="1">
        <v>260</v>
      </c>
      <c r="E1816" s="1">
        <v>1</v>
      </c>
      <c r="F1816" s="1">
        <v>6</v>
      </c>
      <c r="BE1816" s="1">
        <v>1</v>
      </c>
    </row>
    <row r="1817" spans="1:90" x14ac:dyDescent="0.3">
      <c r="A1817" s="1" t="s">
        <v>51</v>
      </c>
      <c r="B1817" s="7">
        <v>40756</v>
      </c>
      <c r="C1817" s="1">
        <v>3</v>
      </c>
      <c r="D1817" s="1">
        <v>260</v>
      </c>
      <c r="E1817" s="1">
        <v>1</v>
      </c>
      <c r="F1817" s="1">
        <v>7</v>
      </c>
      <c r="R1817" s="1">
        <v>1</v>
      </c>
    </row>
    <row r="1818" spans="1:90" x14ac:dyDescent="0.3">
      <c r="A1818" s="1" t="s">
        <v>51</v>
      </c>
      <c r="B1818" s="7">
        <v>40756</v>
      </c>
      <c r="C1818" s="1">
        <v>3</v>
      </c>
      <c r="D1818" s="1">
        <v>260</v>
      </c>
      <c r="E1818" s="1">
        <v>1</v>
      </c>
      <c r="F1818" s="1">
        <v>8</v>
      </c>
      <c r="R1818" s="1">
        <v>1</v>
      </c>
      <c r="T1818" s="1">
        <v>1</v>
      </c>
    </row>
    <row r="1819" spans="1:90" x14ac:dyDescent="0.3">
      <c r="A1819" s="1" t="s">
        <v>51</v>
      </c>
      <c r="B1819" s="7">
        <v>40756</v>
      </c>
      <c r="C1819" s="1">
        <v>3</v>
      </c>
      <c r="D1819" s="1">
        <v>260</v>
      </c>
      <c r="E1819" s="1">
        <v>1</v>
      </c>
      <c r="F1819" s="1">
        <v>9</v>
      </c>
      <c r="R1819" s="1">
        <v>1</v>
      </c>
      <c r="V1819" s="1">
        <v>1</v>
      </c>
    </row>
    <row r="1820" spans="1:90" x14ac:dyDescent="0.3">
      <c r="A1820" s="1" t="s">
        <v>51</v>
      </c>
      <c r="B1820" s="7">
        <v>40756</v>
      </c>
      <c r="C1820" s="1">
        <v>3</v>
      </c>
      <c r="D1820" s="1">
        <v>260</v>
      </c>
      <c r="E1820" s="1">
        <v>1</v>
      </c>
      <c r="F1820" s="1">
        <v>10</v>
      </c>
      <c r="J1820" s="3">
        <v>0</v>
      </c>
      <c r="K1820" s="3">
        <v>1</v>
      </c>
    </row>
    <row r="1821" spans="1:90" x14ac:dyDescent="0.3">
      <c r="A1821" s="1" t="s">
        <v>51</v>
      </c>
      <c r="B1821" s="7">
        <v>40756</v>
      </c>
      <c r="C1821" s="1">
        <v>3</v>
      </c>
      <c r="D1821" s="1">
        <v>260</v>
      </c>
      <c r="E1821" s="1">
        <v>1</v>
      </c>
      <c r="F1821" s="1">
        <v>11</v>
      </c>
      <c r="T1821" s="3">
        <v>0</v>
      </c>
      <c r="U1821" s="3">
        <v>1</v>
      </c>
      <c r="BU1821" s="1">
        <v>1</v>
      </c>
    </row>
    <row r="1822" spans="1:90" x14ac:dyDescent="0.3">
      <c r="A1822" s="1" t="s">
        <v>51</v>
      </c>
      <c r="B1822" s="7">
        <v>40756</v>
      </c>
      <c r="C1822" s="1">
        <v>3</v>
      </c>
      <c r="D1822" s="1">
        <v>260</v>
      </c>
      <c r="E1822" s="1">
        <v>1</v>
      </c>
      <c r="F1822" s="1">
        <v>12</v>
      </c>
      <c r="BU1822" s="1">
        <v>1</v>
      </c>
    </row>
    <row r="1823" spans="1:90" x14ac:dyDescent="0.3">
      <c r="A1823" s="1" t="s">
        <v>51</v>
      </c>
      <c r="B1823" s="7">
        <v>40756</v>
      </c>
      <c r="C1823" s="1">
        <v>3</v>
      </c>
      <c r="D1823" s="1">
        <v>260</v>
      </c>
      <c r="E1823" s="1">
        <v>1</v>
      </c>
      <c r="F1823" s="1">
        <v>13</v>
      </c>
      <c r="L1823" s="1">
        <v>1</v>
      </c>
      <c r="AM1823" s="1">
        <v>1</v>
      </c>
    </row>
    <row r="1824" spans="1:90" x14ac:dyDescent="0.3">
      <c r="A1824" s="1" t="s">
        <v>51</v>
      </c>
      <c r="B1824" s="7">
        <v>40756</v>
      </c>
      <c r="C1824" s="1">
        <v>3</v>
      </c>
      <c r="D1824" s="1">
        <v>260</v>
      </c>
      <c r="E1824" s="1">
        <v>1</v>
      </c>
      <c r="F1824" s="1">
        <v>14</v>
      </c>
      <c r="J1824" s="3">
        <v>0</v>
      </c>
      <c r="K1824" s="3">
        <v>1</v>
      </c>
      <c r="BU1824" s="1">
        <v>1</v>
      </c>
    </row>
    <row r="1825" spans="1:74" x14ac:dyDescent="0.3">
      <c r="A1825" s="1" t="s">
        <v>51</v>
      </c>
      <c r="B1825" s="7">
        <v>40756</v>
      </c>
      <c r="C1825" s="1">
        <v>3</v>
      </c>
      <c r="D1825" s="1">
        <v>260</v>
      </c>
      <c r="E1825" s="1">
        <v>1</v>
      </c>
      <c r="F1825" s="1">
        <v>15</v>
      </c>
      <c r="J1825" s="3">
        <v>0</v>
      </c>
      <c r="K1825" s="3">
        <v>1</v>
      </c>
      <c r="L1825" s="1">
        <v>1</v>
      </c>
      <c r="BU1825" s="1">
        <v>1</v>
      </c>
    </row>
    <row r="1826" spans="1:74" x14ac:dyDescent="0.3">
      <c r="A1826" s="1" t="s">
        <v>51</v>
      </c>
      <c r="B1826" s="7">
        <v>40756</v>
      </c>
      <c r="C1826" s="1">
        <v>3</v>
      </c>
      <c r="D1826" s="1">
        <v>260</v>
      </c>
      <c r="E1826" s="1">
        <v>1</v>
      </c>
      <c r="F1826" s="1">
        <v>16</v>
      </c>
      <c r="BU1826" s="1">
        <v>1</v>
      </c>
    </row>
    <row r="1827" spans="1:74" x14ac:dyDescent="0.3">
      <c r="A1827" s="1" t="s">
        <v>51</v>
      </c>
      <c r="B1827" s="7">
        <v>40756</v>
      </c>
      <c r="C1827" s="1">
        <v>3</v>
      </c>
      <c r="D1827" s="1">
        <v>260</v>
      </c>
      <c r="E1827" s="1">
        <v>1</v>
      </c>
      <c r="F1827" s="1">
        <v>17</v>
      </c>
      <c r="BU1827" s="8">
        <v>1</v>
      </c>
      <c r="BV1827" s="8"/>
    </row>
    <row r="1828" spans="1:74" x14ac:dyDescent="0.3">
      <c r="A1828" s="1" t="s">
        <v>51</v>
      </c>
      <c r="B1828" s="7">
        <v>40756</v>
      </c>
      <c r="C1828" s="1">
        <v>3</v>
      </c>
      <c r="D1828" s="1">
        <v>260</v>
      </c>
      <c r="E1828" s="1">
        <v>1</v>
      </c>
      <c r="F1828" s="1">
        <v>18</v>
      </c>
      <c r="T1828" s="1">
        <v>1</v>
      </c>
      <c r="AB1828" s="1">
        <v>1</v>
      </c>
      <c r="BU1828" s="1">
        <v>1</v>
      </c>
    </row>
    <row r="1829" spans="1:74" x14ac:dyDescent="0.3">
      <c r="A1829" s="1" t="s">
        <v>51</v>
      </c>
      <c r="B1829" s="7">
        <v>40756</v>
      </c>
      <c r="C1829" s="1">
        <v>3</v>
      </c>
      <c r="D1829" s="1">
        <v>260</v>
      </c>
      <c r="E1829" s="1">
        <v>1</v>
      </c>
      <c r="F1829" s="1">
        <v>19</v>
      </c>
      <c r="L1829" s="1">
        <v>1</v>
      </c>
      <c r="X1829" s="1">
        <v>1</v>
      </c>
    </row>
    <row r="1830" spans="1:74" x14ac:dyDescent="0.3">
      <c r="A1830" s="1" t="s">
        <v>51</v>
      </c>
      <c r="B1830" s="7">
        <v>40756</v>
      </c>
      <c r="C1830" s="1">
        <v>3</v>
      </c>
      <c r="D1830" s="1">
        <v>260</v>
      </c>
      <c r="E1830" s="1">
        <v>1</v>
      </c>
      <c r="F1830" s="1">
        <v>20</v>
      </c>
      <c r="X1830" s="1">
        <v>1</v>
      </c>
    </row>
    <row r="1831" spans="1:74" x14ac:dyDescent="0.3">
      <c r="A1831" s="1" t="s">
        <v>51</v>
      </c>
      <c r="B1831" s="7">
        <v>40756</v>
      </c>
      <c r="C1831" s="1">
        <v>3</v>
      </c>
      <c r="D1831" s="1">
        <v>260</v>
      </c>
      <c r="E1831" s="1">
        <v>1</v>
      </c>
      <c r="F1831" s="1">
        <v>21</v>
      </c>
      <c r="BU1831" s="1">
        <v>1</v>
      </c>
    </row>
    <row r="1832" spans="1:74" x14ac:dyDescent="0.3">
      <c r="A1832" s="1" t="s">
        <v>51</v>
      </c>
      <c r="B1832" s="7">
        <v>40756</v>
      </c>
      <c r="C1832" s="1">
        <v>3</v>
      </c>
      <c r="D1832" s="1">
        <v>260</v>
      </c>
      <c r="E1832" s="1">
        <v>1</v>
      </c>
      <c r="F1832" s="1">
        <v>22</v>
      </c>
      <c r="L1832" s="1">
        <v>1</v>
      </c>
      <c r="BU1832" s="1">
        <v>1</v>
      </c>
    </row>
    <row r="1833" spans="1:74" x14ac:dyDescent="0.3">
      <c r="A1833" s="1" t="s">
        <v>51</v>
      </c>
      <c r="B1833" s="7">
        <v>40756</v>
      </c>
      <c r="C1833" s="1">
        <v>3</v>
      </c>
      <c r="D1833" s="1">
        <v>260</v>
      </c>
      <c r="E1833" s="1">
        <v>1</v>
      </c>
      <c r="F1833" s="1">
        <v>23</v>
      </c>
      <c r="BU1833" s="8">
        <v>1</v>
      </c>
      <c r="BV1833" s="8"/>
    </row>
    <row r="1834" spans="1:74" x14ac:dyDescent="0.3">
      <c r="A1834" s="1" t="s">
        <v>51</v>
      </c>
      <c r="B1834" s="7">
        <v>40756</v>
      </c>
      <c r="C1834" s="1">
        <v>3</v>
      </c>
      <c r="D1834" s="1">
        <v>260</v>
      </c>
      <c r="E1834" s="1">
        <v>1</v>
      </c>
      <c r="F1834" s="1">
        <v>24</v>
      </c>
      <c r="L1834" s="1">
        <v>1</v>
      </c>
      <c r="BU1834" s="1">
        <v>1</v>
      </c>
    </row>
    <row r="1835" spans="1:74" x14ac:dyDescent="0.3">
      <c r="A1835" s="1" t="s">
        <v>51</v>
      </c>
      <c r="B1835" s="7">
        <v>40756</v>
      </c>
      <c r="C1835" s="1">
        <v>3</v>
      </c>
      <c r="D1835" s="1">
        <v>260</v>
      </c>
      <c r="E1835" s="1">
        <v>1</v>
      </c>
      <c r="F1835" s="1">
        <v>25</v>
      </c>
      <c r="BU1835" s="8">
        <v>1</v>
      </c>
      <c r="BV1835" s="8"/>
    </row>
    <row r="1836" spans="1:74" x14ac:dyDescent="0.3">
      <c r="A1836" s="1" t="s">
        <v>51</v>
      </c>
      <c r="B1836" s="7">
        <v>40756</v>
      </c>
      <c r="C1836" s="1">
        <v>3</v>
      </c>
      <c r="D1836" s="1">
        <v>260</v>
      </c>
      <c r="E1836" s="1">
        <v>1</v>
      </c>
      <c r="F1836" s="1">
        <v>26</v>
      </c>
      <c r="BU1836" s="8">
        <v>1</v>
      </c>
      <c r="BV1836" s="8"/>
    </row>
    <row r="1837" spans="1:74" x14ac:dyDescent="0.3">
      <c r="A1837" s="1" t="s">
        <v>51</v>
      </c>
      <c r="B1837" s="7">
        <v>40756</v>
      </c>
      <c r="C1837" s="1">
        <v>3</v>
      </c>
      <c r="D1837" s="1">
        <v>260</v>
      </c>
      <c r="E1837" s="1">
        <v>1</v>
      </c>
      <c r="F1837" s="1">
        <v>27</v>
      </c>
      <c r="BU1837" s="8">
        <v>1</v>
      </c>
      <c r="BV1837" s="8"/>
    </row>
    <row r="1838" spans="1:74" x14ac:dyDescent="0.3">
      <c r="A1838" s="1" t="s">
        <v>51</v>
      </c>
      <c r="B1838" s="7">
        <v>40756</v>
      </c>
      <c r="C1838" s="1">
        <v>3</v>
      </c>
      <c r="D1838" s="1">
        <v>260</v>
      </c>
      <c r="E1838" s="1">
        <v>1</v>
      </c>
      <c r="F1838" s="1">
        <v>28</v>
      </c>
      <c r="BU1838" s="8">
        <v>1</v>
      </c>
      <c r="BV1838" s="8"/>
    </row>
    <row r="1839" spans="1:74" x14ac:dyDescent="0.3">
      <c r="A1839" s="1" t="s">
        <v>51</v>
      </c>
      <c r="B1839" s="7">
        <v>40756</v>
      </c>
      <c r="C1839" s="1">
        <v>3</v>
      </c>
      <c r="D1839" s="1">
        <v>260</v>
      </c>
      <c r="E1839" s="1">
        <v>1</v>
      </c>
      <c r="F1839" s="1">
        <v>29</v>
      </c>
      <c r="R1839" s="3">
        <v>0</v>
      </c>
      <c r="S1839" s="3">
        <v>1</v>
      </c>
      <c r="T1839" s="1">
        <v>1</v>
      </c>
      <c r="BE1839" s="1">
        <v>1</v>
      </c>
    </row>
    <row r="1840" spans="1:74" x14ac:dyDescent="0.3">
      <c r="A1840" s="1" t="s">
        <v>51</v>
      </c>
      <c r="B1840" s="7">
        <v>40756</v>
      </c>
      <c r="C1840" s="1">
        <v>3</v>
      </c>
      <c r="D1840" s="1">
        <v>260</v>
      </c>
      <c r="E1840" s="1">
        <v>1</v>
      </c>
      <c r="F1840" s="1">
        <v>30</v>
      </c>
      <c r="J1840" s="1">
        <v>1</v>
      </c>
      <c r="L1840" s="1">
        <v>1</v>
      </c>
      <c r="T1840" s="1">
        <v>1</v>
      </c>
    </row>
    <row r="1841" spans="1:73" x14ac:dyDescent="0.3">
      <c r="A1841" s="1" t="s">
        <v>51</v>
      </c>
      <c r="B1841" s="7">
        <v>40756</v>
      </c>
      <c r="C1841" s="1">
        <v>3</v>
      </c>
      <c r="D1841" s="1">
        <v>260</v>
      </c>
      <c r="E1841" s="1">
        <v>1</v>
      </c>
      <c r="F1841" s="1">
        <v>31</v>
      </c>
      <c r="J1841" s="1">
        <v>1</v>
      </c>
      <c r="BU1841" s="1">
        <v>1</v>
      </c>
    </row>
    <row r="1842" spans="1:73" x14ac:dyDescent="0.3">
      <c r="A1842" s="1" t="s">
        <v>51</v>
      </c>
      <c r="B1842" s="7">
        <v>40756</v>
      </c>
      <c r="C1842" s="1">
        <v>3</v>
      </c>
      <c r="D1842" s="1">
        <v>260</v>
      </c>
      <c r="E1842" s="1">
        <v>1</v>
      </c>
      <c r="F1842" s="1">
        <v>32</v>
      </c>
      <c r="BU1842" s="1">
        <v>1</v>
      </c>
    </row>
    <row r="1843" spans="1:73" x14ac:dyDescent="0.3">
      <c r="A1843" s="1" t="s">
        <v>51</v>
      </c>
      <c r="B1843" s="7">
        <v>40756</v>
      </c>
      <c r="C1843" s="1">
        <v>3</v>
      </c>
      <c r="D1843" s="1">
        <v>260</v>
      </c>
      <c r="E1843" s="1">
        <v>1</v>
      </c>
      <c r="F1843" s="1">
        <v>33</v>
      </c>
      <c r="L1843" s="1">
        <v>1</v>
      </c>
      <c r="AS1843" s="1">
        <v>1</v>
      </c>
      <c r="BU1843" s="1">
        <v>1</v>
      </c>
    </row>
    <row r="1844" spans="1:73" x14ac:dyDescent="0.3">
      <c r="A1844" s="1" t="s">
        <v>51</v>
      </c>
      <c r="B1844" s="7">
        <v>40756</v>
      </c>
      <c r="C1844" s="1">
        <v>3</v>
      </c>
      <c r="D1844" s="1">
        <v>260</v>
      </c>
      <c r="E1844" s="1">
        <v>1</v>
      </c>
      <c r="F1844" s="1">
        <v>34</v>
      </c>
      <c r="T1844" s="1">
        <v>1</v>
      </c>
      <c r="BU1844" s="1">
        <v>1</v>
      </c>
    </row>
    <row r="1845" spans="1:73" x14ac:dyDescent="0.3">
      <c r="A1845" s="1" t="s">
        <v>51</v>
      </c>
      <c r="B1845" s="7">
        <v>40756</v>
      </c>
      <c r="C1845" s="1">
        <v>3</v>
      </c>
      <c r="D1845" s="1">
        <v>260</v>
      </c>
      <c r="E1845" s="1">
        <v>1</v>
      </c>
      <c r="F1845" s="1">
        <v>35</v>
      </c>
      <c r="L1845" s="1">
        <v>1</v>
      </c>
      <c r="T1845" s="1">
        <v>1</v>
      </c>
      <c r="BE1845" s="1">
        <v>1</v>
      </c>
      <c r="BU1845" s="1">
        <v>1</v>
      </c>
    </row>
    <row r="1846" spans="1:73" x14ac:dyDescent="0.3">
      <c r="A1846" s="1" t="s">
        <v>51</v>
      </c>
      <c r="B1846" s="7">
        <v>40756</v>
      </c>
      <c r="C1846" s="1">
        <v>3</v>
      </c>
      <c r="D1846" s="1">
        <v>260</v>
      </c>
      <c r="E1846" s="1">
        <v>1</v>
      </c>
      <c r="F1846" s="1">
        <v>36</v>
      </c>
      <c r="J1846" s="3">
        <v>0</v>
      </c>
      <c r="K1846" s="3">
        <v>1</v>
      </c>
      <c r="BE1846" s="1">
        <v>1</v>
      </c>
    </row>
    <row r="1847" spans="1:73" x14ac:dyDescent="0.3">
      <c r="A1847" s="1" t="s">
        <v>51</v>
      </c>
      <c r="B1847" s="7">
        <v>40756</v>
      </c>
      <c r="C1847" s="1">
        <v>3</v>
      </c>
      <c r="D1847" s="1">
        <v>260</v>
      </c>
      <c r="E1847" s="1">
        <v>1</v>
      </c>
      <c r="F1847" s="1">
        <v>37</v>
      </c>
      <c r="BU1847" s="1">
        <v>1</v>
      </c>
    </row>
    <row r="1848" spans="1:73" x14ac:dyDescent="0.3">
      <c r="A1848" s="1" t="s">
        <v>51</v>
      </c>
      <c r="B1848" s="7">
        <v>40756</v>
      </c>
      <c r="C1848" s="1">
        <v>3</v>
      </c>
      <c r="D1848" s="1">
        <v>260</v>
      </c>
      <c r="E1848" s="1">
        <v>1</v>
      </c>
      <c r="F1848" s="1">
        <v>38</v>
      </c>
      <c r="L1848" s="1">
        <v>1</v>
      </c>
      <c r="BU1848" s="1">
        <v>1</v>
      </c>
    </row>
    <row r="1849" spans="1:73" x14ac:dyDescent="0.3">
      <c r="A1849" s="1" t="s">
        <v>51</v>
      </c>
      <c r="B1849" s="7">
        <v>40756</v>
      </c>
      <c r="C1849" s="1">
        <v>3</v>
      </c>
      <c r="D1849" s="1">
        <v>260</v>
      </c>
      <c r="E1849" s="1">
        <v>1</v>
      </c>
      <c r="F1849" s="1">
        <v>39</v>
      </c>
      <c r="L1849" s="1">
        <v>1</v>
      </c>
      <c r="AM1849" s="1">
        <v>1</v>
      </c>
      <c r="BE1849" s="1">
        <v>1</v>
      </c>
    </row>
    <row r="1850" spans="1:73" x14ac:dyDescent="0.3">
      <c r="A1850" s="1" t="s">
        <v>51</v>
      </c>
      <c r="B1850" s="7">
        <v>40756</v>
      </c>
      <c r="C1850" s="1">
        <v>3</v>
      </c>
      <c r="D1850" s="1">
        <v>260</v>
      </c>
      <c r="E1850" s="1">
        <v>1</v>
      </c>
      <c r="F1850" s="1">
        <v>40</v>
      </c>
      <c r="H1850" s="1">
        <v>1</v>
      </c>
    </row>
    <row r="1851" spans="1:73" x14ac:dyDescent="0.3">
      <c r="A1851" s="1" t="s">
        <v>51</v>
      </c>
      <c r="B1851" s="7">
        <v>40756</v>
      </c>
      <c r="C1851" s="1">
        <v>3</v>
      </c>
      <c r="D1851" s="1">
        <v>260</v>
      </c>
      <c r="E1851" s="1">
        <v>1</v>
      </c>
      <c r="F1851" s="1">
        <v>41</v>
      </c>
      <c r="J1851" s="1">
        <v>1</v>
      </c>
      <c r="T1851" s="1">
        <v>1</v>
      </c>
    </row>
    <row r="1852" spans="1:73" x14ac:dyDescent="0.3">
      <c r="A1852" s="1" t="s">
        <v>51</v>
      </c>
      <c r="B1852" s="7">
        <v>40756</v>
      </c>
      <c r="C1852" s="1">
        <v>3</v>
      </c>
      <c r="D1852" s="1">
        <v>260</v>
      </c>
      <c r="E1852" s="1">
        <v>1</v>
      </c>
      <c r="F1852" s="1">
        <v>42</v>
      </c>
      <c r="T1852" s="1">
        <v>1</v>
      </c>
      <c r="BU1852" s="1">
        <v>1</v>
      </c>
    </row>
    <row r="1853" spans="1:73" x14ac:dyDescent="0.3">
      <c r="A1853" s="1" t="s">
        <v>51</v>
      </c>
      <c r="B1853" s="7">
        <v>40756</v>
      </c>
      <c r="C1853" s="1">
        <v>3</v>
      </c>
      <c r="D1853" s="1">
        <v>260</v>
      </c>
      <c r="E1853" s="1">
        <v>1</v>
      </c>
      <c r="F1853" s="1">
        <v>43</v>
      </c>
      <c r="T1853" s="1">
        <v>1</v>
      </c>
      <c r="BU1853" s="1">
        <v>1</v>
      </c>
    </row>
    <row r="1854" spans="1:73" x14ac:dyDescent="0.3">
      <c r="A1854" s="1" t="s">
        <v>51</v>
      </c>
      <c r="B1854" s="7">
        <v>40756</v>
      </c>
      <c r="C1854" s="1">
        <v>3</v>
      </c>
      <c r="D1854" s="1">
        <v>260</v>
      </c>
      <c r="E1854" s="1">
        <v>1</v>
      </c>
      <c r="F1854" s="1">
        <v>44</v>
      </c>
      <c r="BU1854" s="1">
        <v>1</v>
      </c>
    </row>
    <row r="1855" spans="1:73" x14ac:dyDescent="0.3">
      <c r="A1855" s="1" t="s">
        <v>51</v>
      </c>
      <c r="B1855" s="7">
        <v>40756</v>
      </c>
      <c r="C1855" s="1">
        <v>3</v>
      </c>
      <c r="D1855" s="1">
        <v>260</v>
      </c>
      <c r="E1855" s="1">
        <v>1</v>
      </c>
      <c r="F1855" s="1">
        <v>45</v>
      </c>
      <c r="BE1855" s="1">
        <v>1</v>
      </c>
      <c r="BU1855" s="1">
        <v>1</v>
      </c>
    </row>
    <row r="1856" spans="1:73" x14ac:dyDescent="0.3">
      <c r="A1856" s="1" t="s">
        <v>51</v>
      </c>
      <c r="B1856" s="7">
        <v>40756</v>
      </c>
      <c r="C1856" s="1">
        <v>3</v>
      </c>
      <c r="D1856" s="1">
        <v>260</v>
      </c>
      <c r="E1856" s="1">
        <v>1</v>
      </c>
      <c r="F1856" s="1">
        <v>46</v>
      </c>
      <c r="L1856" s="8">
        <v>1</v>
      </c>
      <c r="M1856" s="8"/>
      <c r="BE1856" s="1">
        <v>1</v>
      </c>
    </row>
    <row r="1857" spans="1:73" x14ac:dyDescent="0.3">
      <c r="A1857" s="1" t="s">
        <v>51</v>
      </c>
      <c r="B1857" s="7">
        <v>40756</v>
      </c>
      <c r="C1857" s="1">
        <v>3</v>
      </c>
      <c r="D1857" s="1">
        <v>260</v>
      </c>
      <c r="E1857" s="1">
        <v>1</v>
      </c>
      <c r="F1857" s="1">
        <v>47</v>
      </c>
      <c r="G1857" s="1">
        <v>1</v>
      </c>
      <c r="BU1857" s="1">
        <v>1</v>
      </c>
    </row>
    <row r="1858" spans="1:73" x14ac:dyDescent="0.3">
      <c r="A1858" s="1" t="s">
        <v>51</v>
      </c>
      <c r="B1858" s="7">
        <v>40756</v>
      </c>
      <c r="C1858" s="1">
        <v>3</v>
      </c>
      <c r="D1858" s="1">
        <v>260</v>
      </c>
      <c r="E1858" s="1">
        <v>1</v>
      </c>
      <c r="F1858" s="1">
        <v>48</v>
      </c>
    </row>
    <row r="1859" spans="1:73" x14ac:dyDescent="0.3">
      <c r="A1859" s="1" t="s">
        <v>51</v>
      </c>
      <c r="B1859" s="7">
        <v>40756</v>
      </c>
      <c r="C1859" s="1">
        <v>3</v>
      </c>
      <c r="D1859" s="1">
        <v>260</v>
      </c>
      <c r="E1859" s="1">
        <v>1</v>
      </c>
      <c r="F1859" s="1">
        <v>49</v>
      </c>
      <c r="J1859" s="3">
        <v>0</v>
      </c>
      <c r="K1859" s="3">
        <v>1</v>
      </c>
      <c r="L1859" s="1">
        <v>1</v>
      </c>
    </row>
    <row r="1860" spans="1:73" x14ac:dyDescent="0.3">
      <c r="A1860" s="1" t="s">
        <v>51</v>
      </c>
      <c r="B1860" s="7">
        <v>40756</v>
      </c>
      <c r="C1860" s="1">
        <v>3</v>
      </c>
      <c r="D1860" s="1">
        <v>260</v>
      </c>
      <c r="E1860" s="1">
        <v>1</v>
      </c>
      <c r="F1860" s="1">
        <v>50</v>
      </c>
      <c r="J1860" s="1">
        <v>1</v>
      </c>
      <c r="L1860" s="1">
        <v>1</v>
      </c>
    </row>
    <row r="1861" spans="1:73" x14ac:dyDescent="0.3">
      <c r="A1861" s="1" t="s">
        <v>51</v>
      </c>
      <c r="B1861" s="7">
        <v>40756</v>
      </c>
      <c r="C1861" s="1">
        <v>3</v>
      </c>
      <c r="D1861" s="1">
        <v>260</v>
      </c>
      <c r="E1861" s="1">
        <v>1</v>
      </c>
      <c r="F1861" s="1">
        <v>51</v>
      </c>
      <c r="L1861" s="1">
        <v>1</v>
      </c>
      <c r="T1861" s="1">
        <v>1</v>
      </c>
      <c r="BA1861" s="1">
        <v>1</v>
      </c>
    </row>
    <row r="1862" spans="1:73" x14ac:dyDescent="0.3">
      <c r="A1862" s="1" t="s">
        <v>51</v>
      </c>
      <c r="B1862" s="7">
        <v>40756</v>
      </c>
      <c r="C1862" s="1">
        <v>3</v>
      </c>
      <c r="D1862" s="1">
        <v>260</v>
      </c>
      <c r="E1862" s="1">
        <v>1</v>
      </c>
      <c r="F1862" s="1">
        <v>52</v>
      </c>
      <c r="I1862" s="1">
        <v>1</v>
      </c>
    </row>
    <row r="1863" spans="1:73" x14ac:dyDescent="0.3">
      <c r="A1863" s="1" t="s">
        <v>51</v>
      </c>
      <c r="B1863" s="7">
        <v>40756</v>
      </c>
      <c r="C1863" s="1">
        <v>3</v>
      </c>
      <c r="D1863" s="1">
        <v>260</v>
      </c>
      <c r="E1863" s="1">
        <v>1</v>
      </c>
      <c r="F1863" s="1">
        <v>53</v>
      </c>
      <c r="R1863" s="3">
        <v>0</v>
      </c>
      <c r="S1863" s="3">
        <v>1</v>
      </c>
      <c r="W1863" s="1">
        <v>1</v>
      </c>
      <c r="BI1863" s="1">
        <v>1</v>
      </c>
    </row>
    <row r="1864" spans="1:73" x14ac:dyDescent="0.3">
      <c r="A1864" s="1" t="s">
        <v>51</v>
      </c>
      <c r="B1864" s="7">
        <v>40756</v>
      </c>
      <c r="C1864" s="1">
        <v>3</v>
      </c>
      <c r="D1864" s="1">
        <v>260</v>
      </c>
      <c r="E1864" s="1">
        <v>1</v>
      </c>
      <c r="F1864" s="1">
        <v>54</v>
      </c>
      <c r="T1864" s="1">
        <v>1</v>
      </c>
    </row>
    <row r="1865" spans="1:73" x14ac:dyDescent="0.3">
      <c r="A1865" s="1" t="s">
        <v>51</v>
      </c>
      <c r="B1865" s="7">
        <v>40756</v>
      </c>
      <c r="C1865" s="1">
        <v>3</v>
      </c>
      <c r="D1865" s="1">
        <v>260</v>
      </c>
      <c r="E1865" s="1">
        <v>1</v>
      </c>
      <c r="F1865" s="1">
        <v>55</v>
      </c>
      <c r="BU1865" s="1">
        <v>1</v>
      </c>
    </row>
    <row r="1866" spans="1:73" x14ac:dyDescent="0.3">
      <c r="A1866" s="1" t="s">
        <v>51</v>
      </c>
      <c r="B1866" s="7">
        <v>40756</v>
      </c>
      <c r="C1866" s="1">
        <v>3</v>
      </c>
      <c r="D1866" s="1">
        <v>260</v>
      </c>
      <c r="E1866" s="1">
        <v>1</v>
      </c>
      <c r="F1866" s="1">
        <v>56</v>
      </c>
      <c r="L1866" s="1">
        <v>1</v>
      </c>
      <c r="BE1866" s="1">
        <v>1</v>
      </c>
    </row>
    <row r="1867" spans="1:73" x14ac:dyDescent="0.3">
      <c r="A1867" s="1" t="s">
        <v>51</v>
      </c>
      <c r="B1867" s="7">
        <v>40756</v>
      </c>
      <c r="C1867" s="1">
        <v>3</v>
      </c>
      <c r="D1867" s="1">
        <v>260</v>
      </c>
      <c r="E1867" s="1">
        <v>1</v>
      </c>
      <c r="F1867" s="1">
        <v>57</v>
      </c>
      <c r="G1867" s="1">
        <v>1</v>
      </c>
    </row>
    <row r="1868" spans="1:73" x14ac:dyDescent="0.3">
      <c r="A1868" s="1" t="s">
        <v>51</v>
      </c>
      <c r="B1868" s="7">
        <v>40756</v>
      </c>
      <c r="C1868" s="1">
        <v>3</v>
      </c>
      <c r="D1868" s="1">
        <v>260</v>
      </c>
      <c r="E1868" s="1">
        <v>1</v>
      </c>
      <c r="F1868" s="1">
        <v>58</v>
      </c>
      <c r="G1868" s="1">
        <v>1</v>
      </c>
    </row>
    <row r="1869" spans="1:73" x14ac:dyDescent="0.3">
      <c r="A1869" s="1" t="s">
        <v>51</v>
      </c>
      <c r="B1869" s="7">
        <v>40756</v>
      </c>
      <c r="C1869" s="1">
        <v>3</v>
      </c>
      <c r="D1869" s="1">
        <v>260</v>
      </c>
      <c r="E1869" s="1">
        <v>1</v>
      </c>
      <c r="F1869" s="1">
        <v>59</v>
      </c>
      <c r="L1869" s="1">
        <v>1</v>
      </c>
      <c r="T1869" s="1">
        <v>1</v>
      </c>
      <c r="AM1869" s="1">
        <v>1</v>
      </c>
    </row>
    <row r="1870" spans="1:73" x14ac:dyDescent="0.3">
      <c r="A1870" s="1" t="s">
        <v>51</v>
      </c>
      <c r="B1870" s="7">
        <v>40756</v>
      </c>
      <c r="C1870" s="1">
        <v>3</v>
      </c>
      <c r="D1870" s="1">
        <v>260</v>
      </c>
      <c r="E1870" s="1">
        <v>1</v>
      </c>
      <c r="F1870" s="1">
        <v>60</v>
      </c>
      <c r="R1870" s="1">
        <v>1</v>
      </c>
      <c r="T1870" s="1">
        <v>1</v>
      </c>
      <c r="AM1870" s="3">
        <v>0</v>
      </c>
      <c r="AN1870" s="3">
        <v>1</v>
      </c>
      <c r="BI1870" s="1">
        <v>1</v>
      </c>
    </row>
    <row r="1871" spans="1:73" x14ac:dyDescent="0.3">
      <c r="A1871" s="1" t="s">
        <v>51</v>
      </c>
      <c r="B1871" s="7">
        <v>40756</v>
      </c>
      <c r="C1871" s="1">
        <v>3</v>
      </c>
      <c r="D1871" s="1">
        <v>260</v>
      </c>
      <c r="E1871" s="1">
        <v>1</v>
      </c>
      <c r="F1871" s="1">
        <v>61</v>
      </c>
      <c r="J1871" s="1">
        <v>1</v>
      </c>
      <c r="T1871" s="1">
        <v>1</v>
      </c>
    </row>
    <row r="1872" spans="1:73" x14ac:dyDescent="0.3">
      <c r="A1872" s="1" t="s">
        <v>51</v>
      </c>
      <c r="B1872" s="7">
        <v>40756</v>
      </c>
      <c r="C1872" s="1">
        <v>3</v>
      </c>
      <c r="D1872" s="1">
        <v>260</v>
      </c>
      <c r="E1872" s="1">
        <v>1</v>
      </c>
      <c r="F1872" s="1">
        <v>62</v>
      </c>
      <c r="BU1872" s="1">
        <v>1</v>
      </c>
    </row>
    <row r="1873" spans="1:74" x14ac:dyDescent="0.3">
      <c r="A1873" s="1" t="s">
        <v>51</v>
      </c>
      <c r="B1873" s="7">
        <v>40756</v>
      </c>
      <c r="C1873" s="1">
        <v>3</v>
      </c>
      <c r="D1873" s="1">
        <v>260</v>
      </c>
      <c r="E1873" s="1">
        <v>1</v>
      </c>
      <c r="F1873" s="1">
        <v>63</v>
      </c>
      <c r="BU1873" s="8">
        <v>1</v>
      </c>
      <c r="BV1873" s="8"/>
    </row>
    <row r="1874" spans="1:74" x14ac:dyDescent="0.3">
      <c r="A1874" s="1" t="s">
        <v>51</v>
      </c>
      <c r="B1874" s="7">
        <v>40756</v>
      </c>
      <c r="C1874" s="1">
        <v>3</v>
      </c>
      <c r="D1874" s="1">
        <v>260</v>
      </c>
      <c r="E1874" s="1">
        <v>1</v>
      </c>
      <c r="F1874" s="1">
        <v>64</v>
      </c>
      <c r="BU1874" s="1">
        <v>1</v>
      </c>
    </row>
    <row r="1875" spans="1:74" x14ac:dyDescent="0.3">
      <c r="A1875" s="1" t="s">
        <v>51</v>
      </c>
      <c r="B1875" s="7">
        <v>40756</v>
      </c>
      <c r="C1875" s="1">
        <v>3</v>
      </c>
      <c r="D1875" s="1">
        <v>260</v>
      </c>
      <c r="E1875" s="1">
        <v>1</v>
      </c>
      <c r="F1875" s="1">
        <v>65</v>
      </c>
      <c r="BU1875" s="1">
        <v>1</v>
      </c>
    </row>
    <row r="1876" spans="1:74" x14ac:dyDescent="0.3">
      <c r="A1876" s="1" t="s">
        <v>51</v>
      </c>
      <c r="B1876" s="7">
        <v>40756</v>
      </c>
      <c r="C1876" s="1">
        <v>3</v>
      </c>
      <c r="D1876" s="1">
        <v>260</v>
      </c>
      <c r="E1876" s="1">
        <v>1</v>
      </c>
      <c r="F1876" s="1">
        <v>66</v>
      </c>
      <c r="BU1876" s="1">
        <v>1</v>
      </c>
    </row>
    <row r="1877" spans="1:74" x14ac:dyDescent="0.3">
      <c r="A1877" s="1" t="s">
        <v>51</v>
      </c>
      <c r="B1877" s="7">
        <v>40756</v>
      </c>
      <c r="C1877" s="1">
        <v>3</v>
      </c>
      <c r="D1877" s="1">
        <v>260</v>
      </c>
      <c r="E1877" s="1">
        <v>1</v>
      </c>
      <c r="F1877" s="1">
        <v>67</v>
      </c>
    </row>
    <row r="1878" spans="1:74" x14ac:dyDescent="0.3">
      <c r="A1878" s="1" t="s">
        <v>51</v>
      </c>
      <c r="B1878" s="7">
        <v>40756</v>
      </c>
      <c r="C1878" s="1">
        <v>3</v>
      </c>
      <c r="D1878" s="1">
        <v>260</v>
      </c>
      <c r="E1878" s="1">
        <v>1</v>
      </c>
      <c r="F1878" s="1">
        <v>68</v>
      </c>
      <c r="G1878" s="1">
        <v>1</v>
      </c>
    </row>
    <row r="1879" spans="1:74" x14ac:dyDescent="0.3">
      <c r="A1879" s="1" t="s">
        <v>51</v>
      </c>
      <c r="B1879" s="7">
        <v>40756</v>
      </c>
      <c r="C1879" s="1">
        <v>3</v>
      </c>
      <c r="D1879" s="1">
        <v>260</v>
      </c>
      <c r="E1879" s="1">
        <v>1</v>
      </c>
      <c r="F1879" s="1">
        <v>69</v>
      </c>
      <c r="T1879" s="1">
        <v>1</v>
      </c>
    </row>
    <row r="1880" spans="1:74" x14ac:dyDescent="0.3">
      <c r="A1880" s="1" t="s">
        <v>51</v>
      </c>
      <c r="B1880" s="7">
        <v>40756</v>
      </c>
      <c r="C1880" s="1">
        <v>3</v>
      </c>
      <c r="D1880" s="1">
        <v>260</v>
      </c>
      <c r="E1880" s="1">
        <v>1</v>
      </c>
      <c r="F1880" s="1">
        <v>70</v>
      </c>
      <c r="R1880" s="1">
        <v>1</v>
      </c>
    </row>
    <row r="1881" spans="1:74" x14ac:dyDescent="0.3">
      <c r="A1881" s="1" t="s">
        <v>51</v>
      </c>
      <c r="B1881" s="7">
        <v>40756</v>
      </c>
      <c r="C1881" s="1">
        <v>3</v>
      </c>
      <c r="D1881" s="1">
        <v>260</v>
      </c>
      <c r="E1881" s="1">
        <v>1</v>
      </c>
      <c r="F1881" s="1">
        <v>71</v>
      </c>
    </row>
    <row r="1882" spans="1:74" x14ac:dyDescent="0.3">
      <c r="A1882" s="1" t="s">
        <v>51</v>
      </c>
      <c r="B1882" s="7">
        <v>40756</v>
      </c>
      <c r="C1882" s="1">
        <v>3</v>
      </c>
      <c r="D1882" s="1">
        <v>260</v>
      </c>
      <c r="E1882" s="1">
        <v>1</v>
      </c>
      <c r="F1882" s="1">
        <v>72</v>
      </c>
      <c r="R1882" s="1">
        <v>1</v>
      </c>
      <c r="BU1882" s="1">
        <v>1</v>
      </c>
    </row>
    <row r="1883" spans="1:74" x14ac:dyDescent="0.3">
      <c r="A1883" s="1" t="s">
        <v>51</v>
      </c>
      <c r="B1883" s="7">
        <v>40756</v>
      </c>
      <c r="C1883" s="1">
        <v>3</v>
      </c>
      <c r="D1883" s="1">
        <v>260</v>
      </c>
      <c r="E1883" s="1">
        <v>1</v>
      </c>
      <c r="F1883" s="1">
        <v>73</v>
      </c>
      <c r="BU1883" s="1">
        <v>1</v>
      </c>
    </row>
    <row r="1884" spans="1:74" x14ac:dyDescent="0.3">
      <c r="A1884" s="1" t="s">
        <v>51</v>
      </c>
      <c r="B1884" s="7">
        <v>40756</v>
      </c>
      <c r="C1884" s="1">
        <v>3</v>
      </c>
      <c r="D1884" s="1">
        <v>260</v>
      </c>
      <c r="E1884" s="1">
        <v>1</v>
      </c>
      <c r="F1884" s="1">
        <v>74</v>
      </c>
      <c r="BU1884" s="1">
        <v>1</v>
      </c>
    </row>
    <row r="1885" spans="1:74" x14ac:dyDescent="0.3">
      <c r="A1885" s="1" t="s">
        <v>51</v>
      </c>
      <c r="B1885" s="7">
        <v>40756</v>
      </c>
      <c r="C1885" s="1">
        <v>3</v>
      </c>
      <c r="D1885" s="1">
        <v>260</v>
      </c>
      <c r="E1885" s="1">
        <v>1</v>
      </c>
      <c r="F1885" s="1">
        <v>75</v>
      </c>
      <c r="BU1885" s="1">
        <v>1</v>
      </c>
    </row>
    <row r="1886" spans="1:74" x14ac:dyDescent="0.3">
      <c r="A1886" s="1" t="s">
        <v>51</v>
      </c>
      <c r="B1886" s="7">
        <v>40756</v>
      </c>
      <c r="C1886" s="1">
        <v>3</v>
      </c>
      <c r="D1886" s="1">
        <v>260</v>
      </c>
      <c r="E1886" s="1">
        <v>1</v>
      </c>
      <c r="F1886" s="1">
        <v>76</v>
      </c>
      <c r="L1886" s="1">
        <v>1</v>
      </c>
      <c r="R1886" s="3">
        <v>0</v>
      </c>
      <c r="S1886" s="3">
        <v>1</v>
      </c>
    </row>
    <row r="1887" spans="1:74" x14ac:dyDescent="0.3">
      <c r="A1887" s="1" t="s">
        <v>51</v>
      </c>
      <c r="B1887" s="7">
        <v>40756</v>
      </c>
      <c r="C1887" s="1">
        <v>3</v>
      </c>
      <c r="D1887" s="1">
        <v>260</v>
      </c>
      <c r="E1887" s="1">
        <v>1</v>
      </c>
      <c r="F1887" s="1">
        <v>77</v>
      </c>
      <c r="J1887" s="1">
        <v>1</v>
      </c>
    </row>
    <row r="1888" spans="1:74" x14ac:dyDescent="0.3">
      <c r="A1888" s="1" t="s">
        <v>51</v>
      </c>
      <c r="B1888" s="7">
        <v>40756</v>
      </c>
      <c r="C1888" s="1">
        <v>3</v>
      </c>
      <c r="D1888" s="1">
        <v>260</v>
      </c>
      <c r="E1888" s="1">
        <v>1</v>
      </c>
      <c r="F1888" s="1">
        <v>78</v>
      </c>
      <c r="J1888" s="1">
        <v>1</v>
      </c>
      <c r="L1888" s="1">
        <v>1</v>
      </c>
    </row>
    <row r="1889" spans="1:73" x14ac:dyDescent="0.3">
      <c r="A1889" s="1" t="s">
        <v>51</v>
      </c>
      <c r="B1889" s="7">
        <v>40756</v>
      </c>
      <c r="C1889" s="1">
        <v>3</v>
      </c>
      <c r="D1889" s="1">
        <v>260</v>
      </c>
      <c r="E1889" s="1">
        <v>1</v>
      </c>
      <c r="F1889" s="1">
        <v>79</v>
      </c>
      <c r="J1889" s="3">
        <v>0</v>
      </c>
      <c r="K1889" s="3">
        <v>1</v>
      </c>
    </row>
    <row r="1890" spans="1:73" x14ac:dyDescent="0.3">
      <c r="A1890" s="1" t="s">
        <v>51</v>
      </c>
      <c r="B1890" s="7">
        <v>40756</v>
      </c>
      <c r="C1890" s="1">
        <v>3</v>
      </c>
      <c r="D1890" s="1">
        <v>260</v>
      </c>
      <c r="E1890" s="1">
        <v>1</v>
      </c>
      <c r="F1890" s="1">
        <v>80</v>
      </c>
      <c r="R1890" s="1">
        <v>1</v>
      </c>
      <c r="AM1890" s="1">
        <v>1</v>
      </c>
    </row>
    <row r="1891" spans="1:73" x14ac:dyDescent="0.3">
      <c r="A1891" s="1" t="s">
        <v>51</v>
      </c>
      <c r="B1891" s="7">
        <v>40756</v>
      </c>
      <c r="C1891" s="1">
        <v>3</v>
      </c>
      <c r="D1891" s="1">
        <v>260</v>
      </c>
      <c r="E1891" s="1">
        <v>1</v>
      </c>
      <c r="F1891" s="1">
        <v>81</v>
      </c>
    </row>
    <row r="1892" spans="1:73" x14ac:dyDescent="0.3">
      <c r="A1892" s="1" t="s">
        <v>51</v>
      </c>
      <c r="B1892" s="7">
        <v>40756</v>
      </c>
      <c r="C1892" s="1">
        <v>3</v>
      </c>
      <c r="D1892" s="1">
        <v>260</v>
      </c>
      <c r="E1892" s="1">
        <v>1</v>
      </c>
      <c r="F1892" s="1">
        <v>82</v>
      </c>
      <c r="R1892" s="1">
        <v>1</v>
      </c>
    </row>
    <row r="1893" spans="1:73" x14ac:dyDescent="0.3">
      <c r="A1893" s="1" t="s">
        <v>51</v>
      </c>
      <c r="B1893" s="7">
        <v>40756</v>
      </c>
      <c r="C1893" s="1">
        <v>3</v>
      </c>
      <c r="D1893" s="1">
        <v>260</v>
      </c>
      <c r="E1893" s="1">
        <v>1</v>
      </c>
      <c r="F1893" s="1">
        <v>83</v>
      </c>
      <c r="J1893" s="1">
        <v>1</v>
      </c>
    </row>
    <row r="1894" spans="1:73" x14ac:dyDescent="0.3">
      <c r="A1894" s="1" t="s">
        <v>51</v>
      </c>
      <c r="B1894" s="7">
        <v>40756</v>
      </c>
      <c r="C1894" s="1">
        <v>3</v>
      </c>
      <c r="D1894" s="1">
        <v>260</v>
      </c>
      <c r="E1894" s="1">
        <v>1</v>
      </c>
      <c r="F1894" s="1">
        <v>84</v>
      </c>
      <c r="BU1894" s="1">
        <v>1</v>
      </c>
    </row>
    <row r="1895" spans="1:73" x14ac:dyDescent="0.3">
      <c r="A1895" s="1" t="s">
        <v>51</v>
      </c>
      <c r="B1895" s="7">
        <v>40756</v>
      </c>
      <c r="C1895" s="1">
        <v>3</v>
      </c>
      <c r="D1895" s="1">
        <v>260</v>
      </c>
      <c r="E1895" s="1">
        <v>1</v>
      </c>
      <c r="F1895" s="1">
        <v>85</v>
      </c>
      <c r="L1895" s="1">
        <v>1</v>
      </c>
      <c r="BU1895" s="1">
        <v>1</v>
      </c>
    </row>
    <row r="1896" spans="1:73" x14ac:dyDescent="0.3">
      <c r="A1896" s="1" t="s">
        <v>51</v>
      </c>
      <c r="B1896" s="7">
        <v>40756</v>
      </c>
      <c r="C1896" s="1">
        <v>3</v>
      </c>
      <c r="D1896" s="1">
        <v>260</v>
      </c>
      <c r="E1896" s="1">
        <v>1</v>
      </c>
      <c r="F1896" s="1">
        <v>86</v>
      </c>
      <c r="J1896" s="3">
        <v>0</v>
      </c>
      <c r="K1896" s="3">
        <v>1</v>
      </c>
      <c r="L1896" s="1">
        <v>1</v>
      </c>
    </row>
    <row r="1897" spans="1:73" x14ac:dyDescent="0.3">
      <c r="A1897" s="1" t="s">
        <v>51</v>
      </c>
      <c r="B1897" s="7">
        <v>40756</v>
      </c>
      <c r="C1897" s="1">
        <v>3</v>
      </c>
      <c r="D1897" s="1">
        <v>260</v>
      </c>
      <c r="E1897" s="1">
        <v>1</v>
      </c>
      <c r="F1897" s="1">
        <v>87</v>
      </c>
      <c r="J1897" s="1">
        <v>1</v>
      </c>
    </row>
    <row r="1898" spans="1:73" x14ac:dyDescent="0.3">
      <c r="A1898" s="1" t="s">
        <v>51</v>
      </c>
      <c r="B1898" s="7">
        <v>40756</v>
      </c>
      <c r="C1898" s="1">
        <v>3</v>
      </c>
      <c r="D1898" s="1">
        <v>260</v>
      </c>
      <c r="E1898" s="1">
        <v>1</v>
      </c>
      <c r="F1898" s="1">
        <v>88</v>
      </c>
      <c r="L1898" s="1">
        <v>1</v>
      </c>
      <c r="AM1898" s="1">
        <v>1</v>
      </c>
    </row>
    <row r="1899" spans="1:73" x14ac:dyDescent="0.3">
      <c r="A1899" s="1" t="s">
        <v>51</v>
      </c>
      <c r="B1899" s="7">
        <v>40756</v>
      </c>
      <c r="C1899" s="1">
        <v>3</v>
      </c>
      <c r="D1899" s="1">
        <v>260</v>
      </c>
      <c r="E1899" s="1">
        <v>1</v>
      </c>
      <c r="F1899" s="1">
        <v>89</v>
      </c>
      <c r="R1899" s="1">
        <v>1</v>
      </c>
      <c r="T1899" s="1">
        <v>1</v>
      </c>
    </row>
    <row r="1900" spans="1:73" x14ac:dyDescent="0.3">
      <c r="A1900" s="1" t="s">
        <v>51</v>
      </c>
      <c r="B1900" s="7">
        <v>40756</v>
      </c>
      <c r="C1900" s="1">
        <v>3</v>
      </c>
      <c r="D1900" s="1">
        <v>260</v>
      </c>
      <c r="E1900" s="1">
        <v>1</v>
      </c>
      <c r="F1900" s="1">
        <v>90</v>
      </c>
      <c r="J1900" s="1">
        <v>1</v>
      </c>
    </row>
    <row r="1901" spans="1:73" x14ac:dyDescent="0.3">
      <c r="A1901" s="1" t="s">
        <v>51</v>
      </c>
      <c r="B1901" s="7">
        <v>40756</v>
      </c>
      <c r="C1901" s="1">
        <v>3</v>
      </c>
      <c r="D1901" s="1">
        <v>260</v>
      </c>
      <c r="E1901" s="1">
        <v>1</v>
      </c>
      <c r="F1901" s="1">
        <v>91</v>
      </c>
      <c r="BI1901" s="1">
        <v>1</v>
      </c>
    </row>
    <row r="1902" spans="1:73" x14ac:dyDescent="0.3">
      <c r="A1902" s="1" t="s">
        <v>51</v>
      </c>
      <c r="B1902" s="7">
        <v>40756</v>
      </c>
      <c r="C1902" s="1">
        <v>3</v>
      </c>
      <c r="D1902" s="1">
        <v>260</v>
      </c>
      <c r="E1902" s="1">
        <v>1</v>
      </c>
      <c r="F1902" s="1">
        <v>92</v>
      </c>
      <c r="BE1902" s="1">
        <v>1</v>
      </c>
    </row>
    <row r="1903" spans="1:73" x14ac:dyDescent="0.3">
      <c r="A1903" s="1" t="s">
        <v>51</v>
      </c>
      <c r="B1903" s="7">
        <v>40756</v>
      </c>
      <c r="C1903" s="1">
        <v>3</v>
      </c>
      <c r="D1903" s="1">
        <v>260</v>
      </c>
      <c r="E1903" s="1">
        <v>1</v>
      </c>
      <c r="F1903" s="1">
        <v>93</v>
      </c>
      <c r="J1903" s="1">
        <v>1</v>
      </c>
      <c r="T1903" s="1">
        <v>1</v>
      </c>
    </row>
    <row r="1904" spans="1:73" x14ac:dyDescent="0.3">
      <c r="A1904" s="1" t="s">
        <v>51</v>
      </c>
      <c r="B1904" s="7">
        <v>40756</v>
      </c>
      <c r="C1904" s="1">
        <v>3</v>
      </c>
      <c r="D1904" s="1">
        <v>260</v>
      </c>
      <c r="E1904" s="1">
        <v>1</v>
      </c>
      <c r="F1904" s="1">
        <v>94</v>
      </c>
      <c r="J1904" s="1">
        <v>1</v>
      </c>
    </row>
    <row r="1905" spans="1:39" x14ac:dyDescent="0.3">
      <c r="A1905" s="1" t="s">
        <v>51</v>
      </c>
      <c r="B1905" s="7">
        <v>40756</v>
      </c>
      <c r="C1905" s="1">
        <v>3</v>
      </c>
      <c r="D1905" s="1">
        <v>260</v>
      </c>
      <c r="E1905" s="1">
        <v>1</v>
      </c>
      <c r="F1905" s="1">
        <v>95</v>
      </c>
      <c r="J1905" s="1">
        <v>1</v>
      </c>
      <c r="L1905" s="1">
        <v>1</v>
      </c>
    </row>
    <row r="1906" spans="1:39" x14ac:dyDescent="0.3">
      <c r="A1906" s="1" t="s">
        <v>51</v>
      </c>
      <c r="B1906" s="7">
        <v>40756</v>
      </c>
      <c r="C1906" s="1">
        <v>3</v>
      </c>
      <c r="D1906" s="1">
        <v>260</v>
      </c>
      <c r="E1906" s="1">
        <v>1</v>
      </c>
      <c r="F1906" s="1">
        <v>96</v>
      </c>
      <c r="J1906" s="3">
        <v>0</v>
      </c>
      <c r="K1906" s="3">
        <v>1</v>
      </c>
      <c r="T1906" s="1">
        <v>1</v>
      </c>
    </row>
    <row r="1907" spans="1:39" x14ac:dyDescent="0.3">
      <c r="A1907" s="1" t="s">
        <v>51</v>
      </c>
      <c r="B1907" s="7">
        <v>40756</v>
      </c>
      <c r="C1907" s="1">
        <v>3</v>
      </c>
      <c r="D1907" s="1">
        <v>260</v>
      </c>
      <c r="E1907" s="1">
        <v>1</v>
      </c>
      <c r="F1907" s="1">
        <v>97</v>
      </c>
      <c r="J1907" s="3">
        <v>0</v>
      </c>
      <c r="K1907" s="3">
        <v>1</v>
      </c>
    </row>
    <row r="1908" spans="1:39" x14ac:dyDescent="0.3">
      <c r="A1908" s="1" t="s">
        <v>51</v>
      </c>
      <c r="B1908" s="7">
        <v>40756</v>
      </c>
      <c r="C1908" s="1">
        <v>3</v>
      </c>
      <c r="D1908" s="1">
        <v>260</v>
      </c>
      <c r="E1908" s="1">
        <v>1</v>
      </c>
      <c r="F1908" s="1">
        <v>98</v>
      </c>
      <c r="J1908" s="3">
        <v>0</v>
      </c>
      <c r="K1908" s="3">
        <v>1</v>
      </c>
      <c r="T1908" s="1">
        <v>1</v>
      </c>
    </row>
    <row r="1909" spans="1:39" x14ac:dyDescent="0.3">
      <c r="A1909" s="1" t="s">
        <v>51</v>
      </c>
      <c r="B1909" s="7">
        <v>40756</v>
      </c>
      <c r="C1909" s="1">
        <v>3</v>
      </c>
      <c r="D1909" s="1">
        <v>260</v>
      </c>
      <c r="E1909" s="1">
        <v>1</v>
      </c>
      <c r="F1909" s="1">
        <v>99</v>
      </c>
      <c r="R1909" s="1">
        <v>1</v>
      </c>
      <c r="AM1909" s="1">
        <v>1</v>
      </c>
    </row>
    <row r="1910" spans="1:39" x14ac:dyDescent="0.3">
      <c r="A1910" s="1" t="s">
        <v>51</v>
      </c>
      <c r="B1910" s="7">
        <v>40756</v>
      </c>
      <c r="C1910" s="1">
        <v>3</v>
      </c>
      <c r="D1910" s="1">
        <v>260</v>
      </c>
      <c r="E1910" s="1">
        <v>1</v>
      </c>
      <c r="F1910" s="1">
        <v>100</v>
      </c>
      <c r="J1910" s="1">
        <v>1</v>
      </c>
      <c r="L1910" s="1">
        <v>1</v>
      </c>
    </row>
    <row r="1911" spans="1:39" x14ac:dyDescent="0.3">
      <c r="A1911" s="1" t="s">
        <v>119</v>
      </c>
      <c r="B1911" s="7">
        <v>40756</v>
      </c>
      <c r="C1911" s="1">
        <v>5.5</v>
      </c>
      <c r="D1911" s="1">
        <v>339</v>
      </c>
      <c r="E1911" s="1">
        <v>5</v>
      </c>
      <c r="F1911" s="1">
        <v>1</v>
      </c>
      <c r="J1911" s="1">
        <v>1</v>
      </c>
      <c r="T1911" s="1">
        <v>1</v>
      </c>
    </row>
    <row r="1912" spans="1:39" x14ac:dyDescent="0.3">
      <c r="A1912" s="1" t="s">
        <v>119</v>
      </c>
      <c r="B1912" s="7">
        <v>40756</v>
      </c>
      <c r="C1912" s="1">
        <v>5.5</v>
      </c>
      <c r="D1912" s="1">
        <v>339</v>
      </c>
      <c r="E1912" s="1">
        <v>5</v>
      </c>
      <c r="F1912" s="1">
        <v>2</v>
      </c>
      <c r="J1912" s="1">
        <v>1</v>
      </c>
    </row>
    <row r="1913" spans="1:39" x14ac:dyDescent="0.3">
      <c r="A1913" s="1" t="s">
        <v>119</v>
      </c>
      <c r="B1913" s="7">
        <v>40756</v>
      </c>
      <c r="C1913" s="1">
        <v>5.5</v>
      </c>
      <c r="D1913" s="1">
        <v>339</v>
      </c>
      <c r="E1913" s="1">
        <v>5</v>
      </c>
      <c r="F1913" s="1">
        <v>3</v>
      </c>
      <c r="J1913" s="1">
        <v>1</v>
      </c>
    </row>
    <row r="1914" spans="1:39" x14ac:dyDescent="0.3">
      <c r="A1914" s="1" t="s">
        <v>119</v>
      </c>
      <c r="B1914" s="7">
        <v>40756</v>
      </c>
      <c r="C1914" s="1">
        <v>5.5</v>
      </c>
      <c r="D1914" s="1">
        <v>339</v>
      </c>
      <c r="E1914" s="1">
        <v>5</v>
      </c>
      <c r="F1914" s="1">
        <v>4</v>
      </c>
      <c r="J1914" s="1">
        <v>1</v>
      </c>
    </row>
    <row r="1915" spans="1:39" x14ac:dyDescent="0.3">
      <c r="A1915" s="1" t="s">
        <v>119</v>
      </c>
      <c r="B1915" s="7">
        <v>40756</v>
      </c>
      <c r="C1915" s="1">
        <v>5.5</v>
      </c>
      <c r="D1915" s="1">
        <v>339</v>
      </c>
      <c r="E1915" s="1">
        <v>5</v>
      </c>
      <c r="F1915" s="1">
        <v>5</v>
      </c>
      <c r="J1915" s="1">
        <v>1</v>
      </c>
    </row>
    <row r="1916" spans="1:39" x14ac:dyDescent="0.3">
      <c r="A1916" s="1" t="s">
        <v>119</v>
      </c>
      <c r="B1916" s="7">
        <v>40756</v>
      </c>
      <c r="C1916" s="1">
        <v>5.5</v>
      </c>
      <c r="D1916" s="1">
        <v>339</v>
      </c>
      <c r="E1916" s="1">
        <v>5</v>
      </c>
      <c r="F1916" s="1">
        <v>6</v>
      </c>
      <c r="I1916" s="1">
        <v>1</v>
      </c>
      <c r="J1916" s="1">
        <v>1</v>
      </c>
    </row>
    <row r="1917" spans="1:39" x14ac:dyDescent="0.3">
      <c r="A1917" s="1" t="s">
        <v>119</v>
      </c>
      <c r="B1917" s="7">
        <v>40756</v>
      </c>
      <c r="C1917" s="1">
        <v>5.5</v>
      </c>
      <c r="D1917" s="1">
        <v>339</v>
      </c>
      <c r="E1917" s="1">
        <v>5</v>
      </c>
      <c r="F1917" s="1">
        <v>7</v>
      </c>
      <c r="J1917" s="1">
        <v>1</v>
      </c>
    </row>
    <row r="1918" spans="1:39" x14ac:dyDescent="0.3">
      <c r="A1918" s="1" t="s">
        <v>119</v>
      </c>
      <c r="B1918" s="7">
        <v>40756</v>
      </c>
      <c r="C1918" s="1">
        <v>5.5</v>
      </c>
      <c r="D1918" s="1">
        <v>339</v>
      </c>
      <c r="E1918" s="1">
        <v>5</v>
      </c>
      <c r="F1918" s="1">
        <v>8</v>
      </c>
      <c r="J1918" s="1">
        <v>1</v>
      </c>
      <c r="L1918" s="1">
        <v>1</v>
      </c>
    </row>
    <row r="1919" spans="1:39" x14ac:dyDescent="0.3">
      <c r="A1919" s="1" t="s">
        <v>119</v>
      </c>
      <c r="B1919" s="7">
        <v>40756</v>
      </c>
      <c r="C1919" s="1">
        <v>5.5</v>
      </c>
      <c r="D1919" s="1">
        <v>339</v>
      </c>
      <c r="E1919" s="1">
        <v>5</v>
      </c>
      <c r="F1919" s="1">
        <v>9</v>
      </c>
      <c r="J1919" s="1">
        <v>1</v>
      </c>
    </row>
    <row r="1920" spans="1:39" x14ac:dyDescent="0.3">
      <c r="A1920" s="1" t="s">
        <v>119</v>
      </c>
      <c r="B1920" s="7">
        <v>40756</v>
      </c>
      <c r="C1920" s="1">
        <v>5.5</v>
      </c>
      <c r="D1920" s="1">
        <v>339</v>
      </c>
      <c r="E1920" s="1">
        <v>5</v>
      </c>
      <c r="F1920" s="1">
        <v>10</v>
      </c>
      <c r="J1920" s="1">
        <v>1</v>
      </c>
    </row>
    <row r="1921" spans="1:68" x14ac:dyDescent="0.3">
      <c r="A1921" s="1" t="s">
        <v>119</v>
      </c>
      <c r="B1921" s="7">
        <v>40756</v>
      </c>
      <c r="C1921" s="1">
        <v>5.5</v>
      </c>
      <c r="D1921" s="1">
        <v>339</v>
      </c>
      <c r="E1921" s="1">
        <v>5</v>
      </c>
      <c r="F1921" s="1">
        <v>11</v>
      </c>
      <c r="J1921" s="1">
        <v>1</v>
      </c>
    </row>
    <row r="1922" spans="1:68" x14ac:dyDescent="0.3">
      <c r="A1922" s="1" t="s">
        <v>119</v>
      </c>
      <c r="B1922" s="7">
        <v>40756</v>
      </c>
      <c r="C1922" s="1">
        <v>5.5</v>
      </c>
      <c r="D1922" s="1">
        <v>339</v>
      </c>
      <c r="E1922" s="1">
        <v>5</v>
      </c>
      <c r="F1922" s="1">
        <v>12</v>
      </c>
      <c r="I1922" s="1">
        <v>1</v>
      </c>
    </row>
    <row r="1923" spans="1:68" x14ac:dyDescent="0.3">
      <c r="A1923" s="1" t="s">
        <v>119</v>
      </c>
      <c r="B1923" s="7">
        <v>40756</v>
      </c>
      <c r="C1923" s="1">
        <v>5.5</v>
      </c>
      <c r="D1923" s="1">
        <v>339</v>
      </c>
      <c r="E1923" s="1">
        <v>5</v>
      </c>
      <c r="F1923" s="1">
        <v>13</v>
      </c>
      <c r="I1923" s="1">
        <v>1</v>
      </c>
      <c r="J1923" s="1">
        <v>1</v>
      </c>
    </row>
    <row r="1924" spans="1:68" x14ac:dyDescent="0.3">
      <c r="A1924" s="1" t="s">
        <v>119</v>
      </c>
      <c r="B1924" s="7">
        <v>40756</v>
      </c>
      <c r="C1924" s="1">
        <v>5.5</v>
      </c>
      <c r="D1924" s="1">
        <v>339</v>
      </c>
      <c r="E1924" s="1">
        <v>5</v>
      </c>
      <c r="F1924" s="1">
        <v>14</v>
      </c>
      <c r="J1924" s="3">
        <v>0</v>
      </c>
      <c r="K1924" s="3">
        <v>1</v>
      </c>
      <c r="T1924" s="1">
        <v>1</v>
      </c>
      <c r="AI1924" s="3">
        <v>0</v>
      </c>
      <c r="AJ1924" s="3">
        <v>1</v>
      </c>
    </row>
    <row r="1925" spans="1:68" x14ac:dyDescent="0.3">
      <c r="A1925" s="1" t="s">
        <v>119</v>
      </c>
      <c r="B1925" s="7">
        <v>40756</v>
      </c>
      <c r="C1925" s="1">
        <v>5.5</v>
      </c>
      <c r="D1925" s="1">
        <v>339</v>
      </c>
      <c r="E1925" s="1">
        <v>5</v>
      </c>
      <c r="F1925" s="1">
        <v>15</v>
      </c>
      <c r="I1925" s="1">
        <v>1</v>
      </c>
      <c r="J1925" s="1">
        <v>1</v>
      </c>
      <c r="T1925" s="1">
        <v>1</v>
      </c>
    </row>
    <row r="1926" spans="1:68" x14ac:dyDescent="0.3">
      <c r="A1926" s="1" t="s">
        <v>119</v>
      </c>
      <c r="B1926" s="7">
        <v>40756</v>
      </c>
      <c r="C1926" s="1">
        <v>5.5</v>
      </c>
      <c r="D1926" s="1">
        <v>339</v>
      </c>
      <c r="E1926" s="1">
        <v>5</v>
      </c>
      <c r="F1926" s="1">
        <v>16</v>
      </c>
      <c r="I1926" s="1">
        <v>1</v>
      </c>
      <c r="J1926" s="1">
        <v>1</v>
      </c>
    </row>
    <row r="1927" spans="1:68" x14ac:dyDescent="0.3">
      <c r="A1927" s="1" t="s">
        <v>119</v>
      </c>
      <c r="B1927" s="7">
        <v>40756</v>
      </c>
      <c r="C1927" s="1">
        <v>5.5</v>
      </c>
      <c r="D1927" s="1">
        <v>339</v>
      </c>
      <c r="E1927" s="1">
        <v>5</v>
      </c>
      <c r="F1927" s="1">
        <v>17</v>
      </c>
      <c r="J1927" s="1">
        <v>1</v>
      </c>
    </row>
    <row r="1928" spans="1:68" x14ac:dyDescent="0.3">
      <c r="A1928" s="1" t="s">
        <v>119</v>
      </c>
      <c r="B1928" s="7">
        <v>40756</v>
      </c>
      <c r="C1928" s="1">
        <v>5.5</v>
      </c>
      <c r="D1928" s="1">
        <v>339</v>
      </c>
      <c r="E1928" s="1">
        <v>5</v>
      </c>
      <c r="F1928" s="1">
        <v>18</v>
      </c>
      <c r="I1928" s="1">
        <v>1</v>
      </c>
    </row>
    <row r="1929" spans="1:68" x14ac:dyDescent="0.3">
      <c r="A1929" s="1" t="s">
        <v>119</v>
      </c>
      <c r="B1929" s="7">
        <v>40756</v>
      </c>
      <c r="C1929" s="1">
        <v>5.5</v>
      </c>
      <c r="D1929" s="1">
        <v>339</v>
      </c>
      <c r="E1929" s="1">
        <v>5</v>
      </c>
      <c r="F1929" s="1">
        <v>19</v>
      </c>
      <c r="J1929" s="1">
        <v>1</v>
      </c>
    </row>
    <row r="1930" spans="1:68" x14ac:dyDescent="0.3">
      <c r="A1930" s="1" t="s">
        <v>119</v>
      </c>
      <c r="B1930" s="7">
        <v>40756</v>
      </c>
      <c r="C1930" s="1">
        <v>5.5</v>
      </c>
      <c r="D1930" s="1">
        <v>339</v>
      </c>
      <c r="E1930" s="1">
        <v>5</v>
      </c>
      <c r="F1930" s="1">
        <v>20</v>
      </c>
      <c r="J1930" s="1">
        <v>1</v>
      </c>
    </row>
    <row r="1931" spans="1:68" x14ac:dyDescent="0.3">
      <c r="A1931" s="1" t="s">
        <v>119</v>
      </c>
      <c r="B1931" s="7">
        <v>40756</v>
      </c>
      <c r="C1931" s="1">
        <v>5.5</v>
      </c>
      <c r="D1931" s="1">
        <v>339</v>
      </c>
      <c r="E1931" s="1">
        <v>5</v>
      </c>
      <c r="F1931" s="1">
        <v>21</v>
      </c>
      <c r="J1931" s="1">
        <v>1</v>
      </c>
    </row>
    <row r="1932" spans="1:68" x14ac:dyDescent="0.3">
      <c r="A1932" s="1" t="s">
        <v>119</v>
      </c>
      <c r="B1932" s="7">
        <v>40756</v>
      </c>
      <c r="C1932" s="1">
        <v>5.5</v>
      </c>
      <c r="D1932" s="1">
        <v>339</v>
      </c>
      <c r="E1932" s="1">
        <v>5</v>
      </c>
      <c r="F1932" s="1">
        <v>22</v>
      </c>
      <c r="J1932" s="1">
        <v>1</v>
      </c>
    </row>
    <row r="1933" spans="1:68" x14ac:dyDescent="0.3">
      <c r="A1933" s="1" t="s">
        <v>119</v>
      </c>
      <c r="B1933" s="7">
        <v>40756</v>
      </c>
      <c r="C1933" s="1">
        <v>5.5</v>
      </c>
      <c r="D1933" s="1">
        <v>339</v>
      </c>
      <c r="E1933" s="1">
        <v>5</v>
      </c>
      <c r="F1933" s="1">
        <v>23</v>
      </c>
      <c r="J1933" s="1">
        <v>1</v>
      </c>
      <c r="BP1933" s="1">
        <v>1</v>
      </c>
    </row>
    <row r="1934" spans="1:68" x14ac:dyDescent="0.3">
      <c r="A1934" s="1" t="s">
        <v>119</v>
      </c>
      <c r="B1934" s="7">
        <v>40756</v>
      </c>
      <c r="C1934" s="1">
        <v>5.5</v>
      </c>
      <c r="D1934" s="1">
        <v>339</v>
      </c>
      <c r="E1934" s="1">
        <v>5</v>
      </c>
      <c r="F1934" s="1">
        <v>24</v>
      </c>
      <c r="I1934" s="1">
        <v>1</v>
      </c>
      <c r="J1934" s="1">
        <v>1</v>
      </c>
    </row>
    <row r="1935" spans="1:68" x14ac:dyDescent="0.3">
      <c r="A1935" s="1" t="s">
        <v>119</v>
      </c>
      <c r="B1935" s="7">
        <v>40756</v>
      </c>
      <c r="C1935" s="1">
        <v>5.5</v>
      </c>
      <c r="D1935" s="1">
        <v>339</v>
      </c>
      <c r="E1935" s="1">
        <v>5</v>
      </c>
      <c r="F1935" s="1">
        <v>25</v>
      </c>
      <c r="J1935" s="1">
        <v>1</v>
      </c>
      <c r="T1935" s="1">
        <v>1</v>
      </c>
    </row>
    <row r="1936" spans="1:68" x14ac:dyDescent="0.3">
      <c r="A1936" s="1" t="s">
        <v>119</v>
      </c>
      <c r="B1936" s="7">
        <v>40756</v>
      </c>
      <c r="C1936" s="1">
        <v>5.5</v>
      </c>
      <c r="D1936" s="1">
        <v>339</v>
      </c>
      <c r="E1936" s="1">
        <v>5</v>
      </c>
      <c r="F1936" s="1">
        <v>26</v>
      </c>
      <c r="J1936" s="1">
        <v>1</v>
      </c>
    </row>
    <row r="1937" spans="1:20" x14ac:dyDescent="0.3">
      <c r="A1937" s="1" t="s">
        <v>119</v>
      </c>
      <c r="B1937" s="7">
        <v>40756</v>
      </c>
      <c r="C1937" s="1">
        <v>5.5</v>
      </c>
      <c r="D1937" s="1">
        <v>339</v>
      </c>
      <c r="E1937" s="1">
        <v>5</v>
      </c>
      <c r="F1937" s="1">
        <v>27</v>
      </c>
      <c r="I1937" s="1">
        <v>1</v>
      </c>
      <c r="J1937" s="1">
        <v>1</v>
      </c>
    </row>
    <row r="1938" spans="1:20" x14ac:dyDescent="0.3">
      <c r="A1938" s="1" t="s">
        <v>119</v>
      </c>
      <c r="B1938" s="7">
        <v>40756</v>
      </c>
      <c r="C1938" s="1">
        <v>5.5</v>
      </c>
      <c r="D1938" s="1">
        <v>339</v>
      </c>
      <c r="E1938" s="1">
        <v>5</v>
      </c>
      <c r="F1938" s="1">
        <v>28</v>
      </c>
      <c r="J1938" s="3">
        <v>0</v>
      </c>
      <c r="K1938" s="3">
        <v>1</v>
      </c>
    </row>
    <row r="1939" spans="1:20" x14ac:dyDescent="0.3">
      <c r="A1939" s="1" t="s">
        <v>119</v>
      </c>
      <c r="B1939" s="7">
        <v>40756</v>
      </c>
      <c r="C1939" s="1">
        <v>5.5</v>
      </c>
      <c r="D1939" s="1">
        <v>339</v>
      </c>
      <c r="E1939" s="1">
        <v>5</v>
      </c>
      <c r="F1939" s="1">
        <v>29</v>
      </c>
      <c r="J1939" s="1">
        <v>1</v>
      </c>
    </row>
    <row r="1940" spans="1:20" x14ac:dyDescent="0.3">
      <c r="A1940" s="1" t="s">
        <v>119</v>
      </c>
      <c r="B1940" s="7">
        <v>40756</v>
      </c>
      <c r="C1940" s="1">
        <v>5.5</v>
      </c>
      <c r="D1940" s="1">
        <v>339</v>
      </c>
      <c r="E1940" s="1">
        <v>5</v>
      </c>
      <c r="F1940" s="1">
        <v>30</v>
      </c>
      <c r="I1940" s="1">
        <v>1</v>
      </c>
      <c r="J1940" s="1">
        <v>1</v>
      </c>
    </row>
    <row r="1941" spans="1:20" x14ac:dyDescent="0.3">
      <c r="A1941" s="1" t="s">
        <v>119</v>
      </c>
      <c r="B1941" s="7">
        <v>40756</v>
      </c>
      <c r="C1941" s="1">
        <v>5.5</v>
      </c>
      <c r="D1941" s="1">
        <v>339</v>
      </c>
      <c r="E1941" s="1">
        <v>5</v>
      </c>
      <c r="F1941" s="1">
        <v>31</v>
      </c>
      <c r="J1941" s="1">
        <v>1</v>
      </c>
    </row>
    <row r="1942" spans="1:20" x14ac:dyDescent="0.3">
      <c r="A1942" s="1" t="s">
        <v>119</v>
      </c>
      <c r="B1942" s="7">
        <v>40756</v>
      </c>
      <c r="C1942" s="1">
        <v>5.5</v>
      </c>
      <c r="D1942" s="1">
        <v>339</v>
      </c>
      <c r="E1942" s="1">
        <v>5</v>
      </c>
      <c r="F1942" s="1">
        <v>32</v>
      </c>
      <c r="J1942" s="1">
        <v>1</v>
      </c>
    </row>
    <row r="1943" spans="1:20" x14ac:dyDescent="0.3">
      <c r="A1943" s="1" t="s">
        <v>119</v>
      </c>
      <c r="B1943" s="7">
        <v>40756</v>
      </c>
      <c r="C1943" s="1">
        <v>5.5</v>
      </c>
      <c r="D1943" s="1">
        <v>339</v>
      </c>
      <c r="E1943" s="1">
        <v>5</v>
      </c>
      <c r="F1943" s="1">
        <v>33</v>
      </c>
      <c r="J1943" s="1">
        <v>1</v>
      </c>
    </row>
    <row r="1944" spans="1:20" x14ac:dyDescent="0.3">
      <c r="A1944" s="1" t="s">
        <v>119</v>
      </c>
      <c r="B1944" s="7">
        <v>40756</v>
      </c>
      <c r="C1944" s="1">
        <v>5.5</v>
      </c>
      <c r="D1944" s="1">
        <v>339</v>
      </c>
      <c r="E1944" s="1">
        <v>5</v>
      </c>
      <c r="F1944" s="1">
        <v>34</v>
      </c>
      <c r="I1944" s="1">
        <v>1</v>
      </c>
      <c r="J1944" s="1">
        <v>1</v>
      </c>
    </row>
    <row r="1945" spans="1:20" x14ac:dyDescent="0.3">
      <c r="A1945" s="1" t="s">
        <v>119</v>
      </c>
      <c r="B1945" s="7">
        <v>40756</v>
      </c>
      <c r="C1945" s="1">
        <v>5.5</v>
      </c>
      <c r="D1945" s="1">
        <v>339</v>
      </c>
      <c r="E1945" s="1">
        <v>5</v>
      </c>
      <c r="F1945" s="1">
        <v>35</v>
      </c>
      <c r="I1945" s="1">
        <v>1</v>
      </c>
      <c r="L1945" s="1">
        <v>1</v>
      </c>
    </row>
    <row r="1946" spans="1:20" x14ac:dyDescent="0.3">
      <c r="A1946" s="1" t="s">
        <v>119</v>
      </c>
      <c r="B1946" s="7">
        <v>40756</v>
      </c>
      <c r="C1946" s="1">
        <v>5.5</v>
      </c>
      <c r="D1946" s="1">
        <v>339</v>
      </c>
      <c r="E1946" s="1">
        <v>5</v>
      </c>
      <c r="F1946" s="1">
        <v>36</v>
      </c>
      <c r="I1946" s="1">
        <v>1</v>
      </c>
      <c r="L1946" s="1">
        <v>1</v>
      </c>
    </row>
    <row r="1947" spans="1:20" x14ac:dyDescent="0.3">
      <c r="A1947" s="1" t="s">
        <v>119</v>
      </c>
      <c r="B1947" s="7">
        <v>40756</v>
      </c>
      <c r="C1947" s="1">
        <v>5.5</v>
      </c>
      <c r="D1947" s="1">
        <v>339</v>
      </c>
      <c r="E1947" s="1">
        <v>5</v>
      </c>
      <c r="F1947" s="1">
        <v>37</v>
      </c>
      <c r="I1947" s="1">
        <v>1</v>
      </c>
      <c r="J1947" s="1">
        <v>1</v>
      </c>
    </row>
    <row r="1948" spans="1:20" x14ac:dyDescent="0.3">
      <c r="A1948" s="1" t="s">
        <v>119</v>
      </c>
      <c r="B1948" s="7">
        <v>40756</v>
      </c>
      <c r="C1948" s="1">
        <v>5.5</v>
      </c>
      <c r="D1948" s="1">
        <v>339</v>
      </c>
      <c r="E1948" s="1">
        <v>5</v>
      </c>
      <c r="F1948" s="1">
        <v>38</v>
      </c>
      <c r="I1948" s="1">
        <v>1</v>
      </c>
      <c r="J1948" s="3">
        <v>0</v>
      </c>
      <c r="K1948" s="3">
        <v>1</v>
      </c>
    </row>
    <row r="1949" spans="1:20" x14ac:dyDescent="0.3">
      <c r="A1949" s="1" t="s">
        <v>119</v>
      </c>
      <c r="B1949" s="7">
        <v>40756</v>
      </c>
      <c r="C1949" s="1">
        <v>5.5</v>
      </c>
      <c r="D1949" s="1">
        <v>339</v>
      </c>
      <c r="E1949" s="1">
        <v>5</v>
      </c>
      <c r="F1949" s="1">
        <v>39</v>
      </c>
      <c r="J1949" s="3">
        <v>0</v>
      </c>
      <c r="K1949" s="3">
        <v>1</v>
      </c>
    </row>
    <row r="1950" spans="1:20" x14ac:dyDescent="0.3">
      <c r="A1950" s="1" t="s">
        <v>119</v>
      </c>
      <c r="B1950" s="7">
        <v>40756</v>
      </c>
      <c r="C1950" s="1">
        <v>5.5</v>
      </c>
      <c r="D1950" s="1">
        <v>339</v>
      </c>
      <c r="E1950" s="1">
        <v>5</v>
      </c>
      <c r="F1950" s="1">
        <v>40</v>
      </c>
      <c r="J1950" s="1">
        <v>1</v>
      </c>
    </row>
    <row r="1951" spans="1:20" x14ac:dyDescent="0.3">
      <c r="A1951" s="1" t="s">
        <v>119</v>
      </c>
      <c r="B1951" s="7">
        <v>40756</v>
      </c>
      <c r="C1951" s="1">
        <v>5.5</v>
      </c>
      <c r="D1951" s="1">
        <v>339</v>
      </c>
      <c r="E1951" s="1">
        <v>5</v>
      </c>
      <c r="F1951" s="1">
        <v>41</v>
      </c>
      <c r="G1951" s="1">
        <v>1</v>
      </c>
    </row>
    <row r="1952" spans="1:20" x14ac:dyDescent="0.3">
      <c r="A1952" s="1" t="s">
        <v>119</v>
      </c>
      <c r="B1952" s="7">
        <v>40756</v>
      </c>
      <c r="C1952" s="1">
        <v>5.5</v>
      </c>
      <c r="D1952" s="1">
        <v>339</v>
      </c>
      <c r="E1952" s="1">
        <v>5</v>
      </c>
      <c r="F1952" s="1">
        <v>42</v>
      </c>
      <c r="T1952" s="1">
        <v>1</v>
      </c>
    </row>
    <row r="1953" spans="1:20" x14ac:dyDescent="0.3">
      <c r="A1953" s="1" t="s">
        <v>119</v>
      </c>
      <c r="B1953" s="7">
        <v>40756</v>
      </c>
      <c r="C1953" s="1">
        <v>5.5</v>
      </c>
      <c r="D1953" s="1">
        <v>339</v>
      </c>
      <c r="E1953" s="1">
        <v>5</v>
      </c>
      <c r="F1953" s="1">
        <v>43</v>
      </c>
      <c r="J1953" s="1">
        <v>1</v>
      </c>
    </row>
    <row r="1954" spans="1:20" x14ac:dyDescent="0.3">
      <c r="A1954" s="1" t="s">
        <v>119</v>
      </c>
      <c r="B1954" s="7">
        <v>40756</v>
      </c>
      <c r="C1954" s="1">
        <v>5.5</v>
      </c>
      <c r="D1954" s="1">
        <v>339</v>
      </c>
      <c r="E1954" s="1">
        <v>5</v>
      </c>
      <c r="F1954" s="1">
        <v>44</v>
      </c>
      <c r="J1954" s="1">
        <v>1</v>
      </c>
    </row>
    <row r="1955" spans="1:20" x14ac:dyDescent="0.3">
      <c r="A1955" s="1" t="s">
        <v>119</v>
      </c>
      <c r="B1955" s="7">
        <v>40756</v>
      </c>
      <c r="C1955" s="1">
        <v>5.5</v>
      </c>
      <c r="D1955" s="1">
        <v>339</v>
      </c>
      <c r="E1955" s="1">
        <v>5</v>
      </c>
      <c r="F1955" s="1">
        <v>45</v>
      </c>
      <c r="I1955" s="1">
        <v>1</v>
      </c>
    </row>
    <row r="1956" spans="1:20" x14ac:dyDescent="0.3">
      <c r="A1956" s="1" t="s">
        <v>119</v>
      </c>
      <c r="B1956" s="7">
        <v>40756</v>
      </c>
      <c r="C1956" s="1">
        <v>5.5</v>
      </c>
      <c r="D1956" s="1">
        <v>339</v>
      </c>
      <c r="E1956" s="1">
        <v>5</v>
      </c>
      <c r="F1956" s="1">
        <v>46</v>
      </c>
      <c r="J1956" s="1">
        <v>1</v>
      </c>
    </row>
    <row r="1957" spans="1:20" x14ac:dyDescent="0.3">
      <c r="A1957" s="1" t="s">
        <v>119</v>
      </c>
      <c r="B1957" s="7">
        <v>40756</v>
      </c>
      <c r="C1957" s="1">
        <v>5.5</v>
      </c>
      <c r="D1957" s="1">
        <v>339</v>
      </c>
      <c r="E1957" s="1">
        <v>5</v>
      </c>
      <c r="F1957" s="1">
        <v>47</v>
      </c>
      <c r="J1957" s="1">
        <v>1</v>
      </c>
    </row>
    <row r="1958" spans="1:20" x14ac:dyDescent="0.3">
      <c r="A1958" s="1" t="s">
        <v>119</v>
      </c>
      <c r="B1958" s="7">
        <v>40756</v>
      </c>
      <c r="C1958" s="1">
        <v>5.5</v>
      </c>
      <c r="D1958" s="1">
        <v>339</v>
      </c>
      <c r="E1958" s="1">
        <v>5</v>
      </c>
      <c r="F1958" s="1">
        <v>48</v>
      </c>
      <c r="I1958" s="1">
        <v>1</v>
      </c>
      <c r="T1958" s="1">
        <v>1</v>
      </c>
    </row>
    <row r="1959" spans="1:20" x14ac:dyDescent="0.3">
      <c r="A1959" s="1" t="s">
        <v>119</v>
      </c>
      <c r="B1959" s="7">
        <v>40756</v>
      </c>
      <c r="C1959" s="1">
        <v>5.5</v>
      </c>
      <c r="D1959" s="1">
        <v>339</v>
      </c>
      <c r="E1959" s="1">
        <v>5</v>
      </c>
      <c r="F1959" s="1">
        <v>49</v>
      </c>
      <c r="I1959" s="1">
        <v>1</v>
      </c>
      <c r="J1959" s="1">
        <v>1</v>
      </c>
    </row>
    <row r="1960" spans="1:20" x14ac:dyDescent="0.3">
      <c r="A1960" s="1" t="s">
        <v>119</v>
      </c>
      <c r="B1960" s="7">
        <v>40756</v>
      </c>
      <c r="C1960" s="1">
        <v>5.5</v>
      </c>
      <c r="D1960" s="1">
        <v>339</v>
      </c>
      <c r="E1960" s="1">
        <v>5</v>
      </c>
      <c r="F1960" s="1">
        <v>50</v>
      </c>
      <c r="J1960" s="1">
        <v>1</v>
      </c>
    </row>
    <row r="1961" spans="1:20" x14ac:dyDescent="0.3">
      <c r="A1961" s="1" t="s">
        <v>119</v>
      </c>
      <c r="B1961" s="7">
        <v>40756</v>
      </c>
      <c r="C1961" s="1">
        <v>5.5</v>
      </c>
      <c r="D1961" s="1">
        <v>339</v>
      </c>
      <c r="E1961" s="1">
        <v>5</v>
      </c>
      <c r="F1961" s="1">
        <v>51</v>
      </c>
      <c r="G1961" s="1">
        <v>1</v>
      </c>
    </row>
    <row r="1962" spans="1:20" x14ac:dyDescent="0.3">
      <c r="A1962" s="1" t="s">
        <v>119</v>
      </c>
      <c r="B1962" s="7">
        <v>40756</v>
      </c>
      <c r="C1962" s="1">
        <v>5.5</v>
      </c>
      <c r="D1962" s="1">
        <v>339</v>
      </c>
      <c r="E1962" s="1">
        <v>5</v>
      </c>
      <c r="F1962" s="1">
        <v>52</v>
      </c>
      <c r="J1962" s="1">
        <v>1</v>
      </c>
    </row>
    <row r="1963" spans="1:20" x14ac:dyDescent="0.3">
      <c r="A1963" s="1" t="s">
        <v>119</v>
      </c>
      <c r="B1963" s="7">
        <v>40756</v>
      </c>
      <c r="C1963" s="1">
        <v>5.5</v>
      </c>
      <c r="D1963" s="1">
        <v>339</v>
      </c>
      <c r="E1963" s="1">
        <v>5</v>
      </c>
      <c r="F1963" s="1">
        <v>53</v>
      </c>
      <c r="J1963" s="1">
        <v>1</v>
      </c>
    </row>
    <row r="1964" spans="1:20" x14ac:dyDescent="0.3">
      <c r="A1964" s="1" t="s">
        <v>119</v>
      </c>
      <c r="B1964" s="7">
        <v>40756</v>
      </c>
      <c r="C1964" s="1">
        <v>5.5</v>
      </c>
      <c r="D1964" s="1">
        <v>339</v>
      </c>
      <c r="E1964" s="1">
        <v>5</v>
      </c>
      <c r="F1964" s="1">
        <v>54</v>
      </c>
      <c r="I1964" s="1">
        <v>1</v>
      </c>
      <c r="J1964" s="1">
        <v>1</v>
      </c>
    </row>
    <row r="1965" spans="1:20" x14ac:dyDescent="0.3">
      <c r="A1965" s="1" t="s">
        <v>119</v>
      </c>
      <c r="B1965" s="7">
        <v>40756</v>
      </c>
      <c r="C1965" s="1">
        <v>5.5</v>
      </c>
      <c r="D1965" s="1">
        <v>339</v>
      </c>
      <c r="E1965" s="1">
        <v>5</v>
      </c>
      <c r="F1965" s="1">
        <v>55</v>
      </c>
      <c r="J1965" s="1">
        <v>1</v>
      </c>
    </row>
    <row r="1966" spans="1:20" x14ac:dyDescent="0.3">
      <c r="A1966" s="1" t="s">
        <v>119</v>
      </c>
      <c r="B1966" s="7">
        <v>40756</v>
      </c>
      <c r="C1966" s="1">
        <v>5.5</v>
      </c>
      <c r="D1966" s="1">
        <v>339</v>
      </c>
      <c r="E1966" s="1">
        <v>5</v>
      </c>
      <c r="F1966" s="1">
        <v>56</v>
      </c>
    </row>
    <row r="1967" spans="1:20" x14ac:dyDescent="0.3">
      <c r="A1967" s="1" t="s">
        <v>119</v>
      </c>
      <c r="B1967" s="7">
        <v>40756</v>
      </c>
      <c r="C1967" s="1">
        <v>5.5</v>
      </c>
      <c r="D1967" s="1">
        <v>339</v>
      </c>
      <c r="E1967" s="1">
        <v>5</v>
      </c>
      <c r="F1967" s="1">
        <v>57</v>
      </c>
      <c r="T1967" s="1">
        <v>1</v>
      </c>
    </row>
    <row r="1968" spans="1:20" x14ac:dyDescent="0.3">
      <c r="A1968" s="1" t="s">
        <v>119</v>
      </c>
      <c r="B1968" s="7">
        <v>40756</v>
      </c>
      <c r="C1968" s="1">
        <v>5.5</v>
      </c>
      <c r="D1968" s="1">
        <v>339</v>
      </c>
      <c r="E1968" s="1">
        <v>5</v>
      </c>
      <c r="F1968" s="1">
        <v>58</v>
      </c>
      <c r="L1968" s="1">
        <v>1</v>
      </c>
    </row>
    <row r="1969" spans="1:20" x14ac:dyDescent="0.3">
      <c r="A1969" s="1" t="s">
        <v>119</v>
      </c>
      <c r="B1969" s="7">
        <v>40756</v>
      </c>
      <c r="C1969" s="1">
        <v>5.5</v>
      </c>
      <c r="D1969" s="1">
        <v>339</v>
      </c>
      <c r="E1969" s="1">
        <v>5</v>
      </c>
      <c r="F1969" s="1">
        <v>59</v>
      </c>
      <c r="J1969" s="1">
        <v>1</v>
      </c>
    </row>
    <row r="1970" spans="1:20" x14ac:dyDescent="0.3">
      <c r="A1970" s="1" t="s">
        <v>119</v>
      </c>
      <c r="B1970" s="7">
        <v>40756</v>
      </c>
      <c r="C1970" s="1">
        <v>5.5</v>
      </c>
      <c r="D1970" s="1">
        <v>339</v>
      </c>
      <c r="E1970" s="1">
        <v>5</v>
      </c>
      <c r="F1970" s="1">
        <v>60</v>
      </c>
      <c r="J1970" s="1">
        <v>1</v>
      </c>
    </row>
    <row r="1971" spans="1:20" x14ac:dyDescent="0.3">
      <c r="A1971" s="1" t="s">
        <v>119</v>
      </c>
      <c r="B1971" s="7">
        <v>40756</v>
      </c>
      <c r="C1971" s="1">
        <v>5.5</v>
      </c>
      <c r="D1971" s="1">
        <v>339</v>
      </c>
      <c r="E1971" s="1">
        <v>5</v>
      </c>
      <c r="F1971" s="1">
        <v>61</v>
      </c>
      <c r="J1971" s="1">
        <v>1</v>
      </c>
    </row>
    <row r="1972" spans="1:20" x14ac:dyDescent="0.3">
      <c r="A1972" s="1" t="s">
        <v>119</v>
      </c>
      <c r="B1972" s="7">
        <v>40756</v>
      </c>
      <c r="C1972" s="1">
        <v>5.5</v>
      </c>
      <c r="D1972" s="1">
        <v>339</v>
      </c>
      <c r="E1972" s="1">
        <v>5</v>
      </c>
      <c r="F1972" s="1">
        <v>62</v>
      </c>
      <c r="I1972" s="1">
        <v>1</v>
      </c>
      <c r="T1972" s="1">
        <v>1</v>
      </c>
    </row>
    <row r="1973" spans="1:20" x14ac:dyDescent="0.3">
      <c r="A1973" s="1" t="s">
        <v>119</v>
      </c>
      <c r="B1973" s="7">
        <v>40756</v>
      </c>
      <c r="C1973" s="1">
        <v>5.5</v>
      </c>
      <c r="D1973" s="1">
        <v>339</v>
      </c>
      <c r="E1973" s="1">
        <v>5</v>
      </c>
      <c r="F1973" s="1">
        <v>63</v>
      </c>
      <c r="I1973" s="1">
        <v>1</v>
      </c>
      <c r="J1973" s="1">
        <v>1</v>
      </c>
    </row>
    <row r="1974" spans="1:20" x14ac:dyDescent="0.3">
      <c r="A1974" s="1" t="s">
        <v>119</v>
      </c>
      <c r="B1974" s="7">
        <v>40756</v>
      </c>
      <c r="C1974" s="1">
        <v>5.5</v>
      </c>
      <c r="D1974" s="1">
        <v>339</v>
      </c>
      <c r="E1974" s="1">
        <v>5</v>
      </c>
      <c r="F1974" s="1">
        <v>64</v>
      </c>
      <c r="J1974" s="1">
        <v>1</v>
      </c>
      <c r="T1974" s="1">
        <v>1</v>
      </c>
    </row>
    <row r="1975" spans="1:20" x14ac:dyDescent="0.3">
      <c r="A1975" s="1" t="s">
        <v>119</v>
      </c>
      <c r="B1975" s="7">
        <v>40756</v>
      </c>
      <c r="C1975" s="1">
        <v>5.5</v>
      </c>
      <c r="D1975" s="1">
        <v>339</v>
      </c>
      <c r="E1975" s="1">
        <v>5</v>
      </c>
      <c r="F1975" s="1">
        <v>65</v>
      </c>
      <c r="J1975" s="1">
        <v>1</v>
      </c>
    </row>
    <row r="1976" spans="1:20" x14ac:dyDescent="0.3">
      <c r="A1976" s="1" t="s">
        <v>119</v>
      </c>
      <c r="B1976" s="7">
        <v>40756</v>
      </c>
      <c r="C1976" s="1">
        <v>5.5</v>
      </c>
      <c r="D1976" s="1">
        <v>339</v>
      </c>
      <c r="E1976" s="1">
        <v>5</v>
      </c>
      <c r="F1976" s="1">
        <v>66</v>
      </c>
      <c r="J1976" s="3">
        <v>0</v>
      </c>
      <c r="K1976" s="3">
        <v>1</v>
      </c>
    </row>
    <row r="1977" spans="1:20" x14ac:dyDescent="0.3">
      <c r="A1977" s="1" t="s">
        <v>119</v>
      </c>
      <c r="B1977" s="7">
        <v>40756</v>
      </c>
      <c r="C1977" s="1">
        <v>5.5</v>
      </c>
      <c r="D1977" s="1">
        <v>339</v>
      </c>
      <c r="E1977" s="1">
        <v>5</v>
      </c>
      <c r="F1977" s="1">
        <v>67</v>
      </c>
      <c r="J1977" s="1">
        <v>1</v>
      </c>
    </row>
    <row r="1978" spans="1:20" x14ac:dyDescent="0.3">
      <c r="A1978" s="1" t="s">
        <v>119</v>
      </c>
      <c r="B1978" s="7">
        <v>40756</v>
      </c>
      <c r="C1978" s="1">
        <v>5.5</v>
      </c>
      <c r="D1978" s="1">
        <v>339</v>
      </c>
      <c r="E1978" s="1">
        <v>5</v>
      </c>
      <c r="F1978" s="1">
        <v>68</v>
      </c>
      <c r="J1978" s="1">
        <v>1</v>
      </c>
      <c r="L1978" s="1">
        <v>1</v>
      </c>
    </row>
    <row r="1979" spans="1:20" x14ac:dyDescent="0.3">
      <c r="A1979" s="1" t="s">
        <v>119</v>
      </c>
      <c r="B1979" s="7">
        <v>40756</v>
      </c>
      <c r="C1979" s="1">
        <v>5.5</v>
      </c>
      <c r="D1979" s="1">
        <v>339</v>
      </c>
      <c r="E1979" s="1">
        <v>5</v>
      </c>
      <c r="F1979" s="1">
        <v>69</v>
      </c>
      <c r="J1979" s="1">
        <v>1</v>
      </c>
    </row>
    <row r="1980" spans="1:20" x14ac:dyDescent="0.3">
      <c r="A1980" s="1" t="s">
        <v>119</v>
      </c>
      <c r="B1980" s="7">
        <v>40756</v>
      </c>
      <c r="C1980" s="1">
        <v>5.5</v>
      </c>
      <c r="D1980" s="1">
        <v>339</v>
      </c>
      <c r="E1980" s="1">
        <v>5</v>
      </c>
      <c r="F1980" s="1">
        <v>70</v>
      </c>
      <c r="J1980" s="3">
        <v>0</v>
      </c>
      <c r="K1980" s="3">
        <v>1</v>
      </c>
    </row>
    <row r="1981" spans="1:20" x14ac:dyDescent="0.3">
      <c r="A1981" s="1" t="s">
        <v>119</v>
      </c>
      <c r="B1981" s="7">
        <v>40756</v>
      </c>
      <c r="C1981" s="1">
        <v>5.5</v>
      </c>
      <c r="D1981" s="1">
        <v>339</v>
      </c>
      <c r="E1981" s="1">
        <v>5</v>
      </c>
      <c r="F1981" s="1">
        <v>71</v>
      </c>
      <c r="J1981" s="1">
        <v>1</v>
      </c>
    </row>
    <row r="1982" spans="1:20" x14ac:dyDescent="0.3">
      <c r="A1982" s="1" t="s">
        <v>119</v>
      </c>
      <c r="B1982" s="7">
        <v>40756</v>
      </c>
      <c r="C1982" s="1">
        <v>5.5</v>
      </c>
      <c r="D1982" s="1">
        <v>339</v>
      </c>
      <c r="E1982" s="1">
        <v>5</v>
      </c>
      <c r="F1982" s="1">
        <v>72</v>
      </c>
    </row>
    <row r="1983" spans="1:20" x14ac:dyDescent="0.3">
      <c r="A1983" s="1" t="s">
        <v>119</v>
      </c>
      <c r="B1983" s="7">
        <v>40756</v>
      </c>
      <c r="C1983" s="1">
        <v>5.5</v>
      </c>
      <c r="D1983" s="1">
        <v>339</v>
      </c>
      <c r="E1983" s="1">
        <v>5</v>
      </c>
      <c r="F1983" s="1">
        <v>73</v>
      </c>
      <c r="I1983" s="1">
        <v>1</v>
      </c>
    </row>
    <row r="1984" spans="1:20" x14ac:dyDescent="0.3">
      <c r="A1984" s="1" t="s">
        <v>119</v>
      </c>
      <c r="B1984" s="7">
        <v>40756</v>
      </c>
      <c r="C1984" s="1">
        <v>5.5</v>
      </c>
      <c r="D1984" s="1">
        <v>339</v>
      </c>
      <c r="E1984" s="1">
        <v>5</v>
      </c>
      <c r="F1984" s="1">
        <v>74</v>
      </c>
      <c r="J1984" s="1">
        <v>1</v>
      </c>
    </row>
    <row r="1985" spans="1:20" x14ac:dyDescent="0.3">
      <c r="A1985" s="1" t="s">
        <v>119</v>
      </c>
      <c r="B1985" s="7">
        <v>40756</v>
      </c>
      <c r="C1985" s="1">
        <v>5.5</v>
      </c>
      <c r="D1985" s="1">
        <v>339</v>
      </c>
      <c r="E1985" s="1">
        <v>5</v>
      </c>
      <c r="F1985" s="1">
        <v>75</v>
      </c>
      <c r="I1985" s="1">
        <v>1</v>
      </c>
    </row>
    <row r="1986" spans="1:20" x14ac:dyDescent="0.3">
      <c r="A1986" s="1" t="s">
        <v>119</v>
      </c>
      <c r="B1986" s="7">
        <v>40756</v>
      </c>
      <c r="C1986" s="1">
        <v>5.5</v>
      </c>
      <c r="D1986" s="1">
        <v>339</v>
      </c>
      <c r="E1986" s="1">
        <v>5</v>
      </c>
      <c r="F1986" s="1">
        <v>76</v>
      </c>
      <c r="I1986" s="1">
        <v>1</v>
      </c>
      <c r="J1986" s="1">
        <v>1</v>
      </c>
    </row>
    <row r="1987" spans="1:20" x14ac:dyDescent="0.3">
      <c r="A1987" s="1" t="s">
        <v>119</v>
      </c>
      <c r="B1987" s="7">
        <v>40756</v>
      </c>
      <c r="C1987" s="1">
        <v>5.5</v>
      </c>
      <c r="D1987" s="1">
        <v>339</v>
      </c>
      <c r="E1987" s="1">
        <v>5</v>
      </c>
      <c r="F1987" s="1">
        <v>77</v>
      </c>
      <c r="J1987" s="1">
        <v>1</v>
      </c>
      <c r="T1987" s="1">
        <v>1</v>
      </c>
    </row>
    <row r="1988" spans="1:20" x14ac:dyDescent="0.3">
      <c r="A1988" s="1" t="s">
        <v>119</v>
      </c>
      <c r="B1988" s="7">
        <v>40756</v>
      </c>
      <c r="C1988" s="1">
        <v>5.5</v>
      </c>
      <c r="D1988" s="1">
        <v>339</v>
      </c>
      <c r="E1988" s="1">
        <v>5</v>
      </c>
      <c r="F1988" s="1">
        <v>78</v>
      </c>
      <c r="J1988" s="1">
        <v>1</v>
      </c>
      <c r="T1988" s="1">
        <v>1</v>
      </c>
    </row>
    <row r="1989" spans="1:20" x14ac:dyDescent="0.3">
      <c r="A1989" s="1" t="s">
        <v>119</v>
      </c>
      <c r="B1989" s="7">
        <v>40756</v>
      </c>
      <c r="C1989" s="1">
        <v>5.5</v>
      </c>
      <c r="D1989" s="1">
        <v>339</v>
      </c>
      <c r="E1989" s="1">
        <v>5</v>
      </c>
      <c r="F1989" s="1">
        <v>79</v>
      </c>
      <c r="J1989" s="1">
        <v>1</v>
      </c>
    </row>
    <row r="1990" spans="1:20" x14ac:dyDescent="0.3">
      <c r="A1990" s="1" t="s">
        <v>119</v>
      </c>
      <c r="B1990" s="7">
        <v>40756</v>
      </c>
      <c r="C1990" s="1">
        <v>5.5</v>
      </c>
      <c r="D1990" s="1">
        <v>339</v>
      </c>
      <c r="E1990" s="1">
        <v>5</v>
      </c>
      <c r="F1990" s="1">
        <v>80</v>
      </c>
      <c r="J1990" s="1">
        <v>1</v>
      </c>
      <c r="L1990" s="1">
        <v>1</v>
      </c>
    </row>
    <row r="1991" spans="1:20" x14ac:dyDescent="0.3">
      <c r="A1991" s="1" t="s">
        <v>119</v>
      </c>
      <c r="B1991" s="7">
        <v>40756</v>
      </c>
      <c r="C1991" s="1">
        <v>5.5</v>
      </c>
      <c r="D1991" s="1">
        <v>339</v>
      </c>
      <c r="E1991" s="1">
        <v>5</v>
      </c>
      <c r="F1991" s="1">
        <v>81</v>
      </c>
      <c r="I1991" s="1">
        <v>1</v>
      </c>
      <c r="J1991" s="1">
        <v>1</v>
      </c>
    </row>
    <row r="1992" spans="1:20" x14ac:dyDescent="0.3">
      <c r="A1992" s="1" t="s">
        <v>119</v>
      </c>
      <c r="B1992" s="7">
        <v>40756</v>
      </c>
      <c r="C1992" s="1">
        <v>5.5</v>
      </c>
      <c r="D1992" s="1">
        <v>339</v>
      </c>
      <c r="E1992" s="1">
        <v>5</v>
      </c>
      <c r="F1992" s="1">
        <v>82</v>
      </c>
      <c r="J1992" s="1">
        <v>1</v>
      </c>
    </row>
    <row r="1993" spans="1:20" x14ac:dyDescent="0.3">
      <c r="A1993" s="1" t="s">
        <v>119</v>
      </c>
      <c r="B1993" s="7">
        <v>40756</v>
      </c>
      <c r="C1993" s="1">
        <v>5.5</v>
      </c>
      <c r="D1993" s="1">
        <v>339</v>
      </c>
      <c r="E1993" s="1">
        <v>5</v>
      </c>
      <c r="F1993" s="1">
        <v>83</v>
      </c>
      <c r="I1993" s="1">
        <v>1</v>
      </c>
    </row>
    <row r="1994" spans="1:20" x14ac:dyDescent="0.3">
      <c r="A1994" s="1" t="s">
        <v>119</v>
      </c>
      <c r="B1994" s="7">
        <v>40756</v>
      </c>
      <c r="C1994" s="1">
        <v>5.5</v>
      </c>
      <c r="D1994" s="1">
        <v>339</v>
      </c>
      <c r="E1994" s="1">
        <v>5</v>
      </c>
      <c r="F1994" s="1">
        <v>84</v>
      </c>
      <c r="T1994" s="1">
        <v>1</v>
      </c>
    </row>
    <row r="1995" spans="1:20" x14ac:dyDescent="0.3">
      <c r="A1995" s="1" t="s">
        <v>119</v>
      </c>
      <c r="B1995" s="7">
        <v>40756</v>
      </c>
      <c r="C1995" s="1">
        <v>5.5</v>
      </c>
      <c r="D1995" s="1">
        <v>339</v>
      </c>
      <c r="E1995" s="1">
        <v>5</v>
      </c>
      <c r="F1995" s="1">
        <v>85</v>
      </c>
      <c r="I1995" s="1">
        <v>1</v>
      </c>
      <c r="L1995" s="1">
        <v>1</v>
      </c>
    </row>
    <row r="1996" spans="1:20" x14ac:dyDescent="0.3">
      <c r="A1996" s="1" t="s">
        <v>119</v>
      </c>
      <c r="B1996" s="7">
        <v>40756</v>
      </c>
      <c r="C1996" s="1">
        <v>5.5</v>
      </c>
      <c r="D1996" s="1">
        <v>339</v>
      </c>
      <c r="E1996" s="1">
        <v>5</v>
      </c>
      <c r="F1996" s="1">
        <v>86</v>
      </c>
      <c r="I1996" s="1">
        <v>1</v>
      </c>
      <c r="T1996" s="1">
        <v>1</v>
      </c>
    </row>
    <row r="1997" spans="1:20" x14ac:dyDescent="0.3">
      <c r="A1997" s="1" t="s">
        <v>119</v>
      </c>
      <c r="B1997" s="7">
        <v>40756</v>
      </c>
      <c r="C1997" s="1">
        <v>5.5</v>
      </c>
      <c r="D1997" s="1">
        <v>339</v>
      </c>
      <c r="E1997" s="1">
        <v>5</v>
      </c>
      <c r="F1997" s="1">
        <v>87</v>
      </c>
      <c r="J1997" s="1">
        <v>1</v>
      </c>
      <c r="T1997" s="1">
        <v>1</v>
      </c>
    </row>
    <row r="1998" spans="1:20" x14ac:dyDescent="0.3">
      <c r="A1998" s="1" t="s">
        <v>119</v>
      </c>
      <c r="B1998" s="7">
        <v>40756</v>
      </c>
      <c r="C1998" s="1">
        <v>5.5</v>
      </c>
      <c r="D1998" s="1">
        <v>339</v>
      </c>
      <c r="E1998" s="1">
        <v>5</v>
      </c>
      <c r="F1998" s="1">
        <v>88</v>
      </c>
      <c r="I1998" s="1">
        <v>1</v>
      </c>
      <c r="T1998" s="1">
        <v>1</v>
      </c>
    </row>
    <row r="1999" spans="1:20" x14ac:dyDescent="0.3">
      <c r="A1999" s="1" t="s">
        <v>119</v>
      </c>
      <c r="B1999" s="7">
        <v>40756</v>
      </c>
      <c r="C1999" s="1">
        <v>5.5</v>
      </c>
      <c r="D1999" s="1">
        <v>339</v>
      </c>
      <c r="E1999" s="1">
        <v>5</v>
      </c>
      <c r="F1999" s="1">
        <v>89</v>
      </c>
      <c r="J1999" s="1">
        <v>1</v>
      </c>
      <c r="T1999" s="1">
        <v>1</v>
      </c>
    </row>
    <row r="2000" spans="1:20" x14ac:dyDescent="0.3">
      <c r="A2000" s="1" t="s">
        <v>119</v>
      </c>
      <c r="B2000" s="7">
        <v>40756</v>
      </c>
      <c r="C2000" s="1">
        <v>5.5</v>
      </c>
      <c r="D2000" s="1">
        <v>339</v>
      </c>
      <c r="E2000" s="1">
        <v>5</v>
      </c>
      <c r="F2000" s="1">
        <v>90</v>
      </c>
      <c r="J2000" s="1">
        <v>1</v>
      </c>
    </row>
    <row r="2001" spans="1:90" x14ac:dyDescent="0.3">
      <c r="A2001" s="1" t="s">
        <v>119</v>
      </c>
      <c r="B2001" s="7">
        <v>40756</v>
      </c>
      <c r="C2001" s="1">
        <v>5.5</v>
      </c>
      <c r="D2001" s="1">
        <v>339</v>
      </c>
      <c r="E2001" s="1">
        <v>5</v>
      </c>
      <c r="F2001" s="1">
        <v>91</v>
      </c>
      <c r="I2001" s="1">
        <v>1</v>
      </c>
      <c r="T2001" s="1">
        <v>1</v>
      </c>
    </row>
    <row r="2002" spans="1:90" x14ac:dyDescent="0.3">
      <c r="A2002" s="1" t="s">
        <v>119</v>
      </c>
      <c r="B2002" s="7">
        <v>40756</v>
      </c>
      <c r="C2002" s="1">
        <v>5.5</v>
      </c>
      <c r="D2002" s="1">
        <v>339</v>
      </c>
      <c r="E2002" s="1">
        <v>5</v>
      </c>
      <c r="F2002" s="1">
        <v>92</v>
      </c>
      <c r="I2002" s="1">
        <v>1</v>
      </c>
      <c r="T2002" s="1">
        <v>1</v>
      </c>
    </row>
    <row r="2003" spans="1:90" x14ac:dyDescent="0.3">
      <c r="A2003" s="1" t="s">
        <v>119</v>
      </c>
      <c r="B2003" s="7">
        <v>40756</v>
      </c>
      <c r="C2003" s="1">
        <v>5.5</v>
      </c>
      <c r="D2003" s="1">
        <v>339</v>
      </c>
      <c r="E2003" s="1">
        <v>5</v>
      </c>
      <c r="F2003" s="1">
        <v>93</v>
      </c>
      <c r="I2003" s="1">
        <v>1</v>
      </c>
    </row>
    <row r="2004" spans="1:90" x14ac:dyDescent="0.3">
      <c r="A2004" s="1" t="s">
        <v>119</v>
      </c>
      <c r="B2004" s="7">
        <v>40756</v>
      </c>
      <c r="C2004" s="1">
        <v>5.5</v>
      </c>
      <c r="D2004" s="1">
        <v>339</v>
      </c>
      <c r="E2004" s="1">
        <v>5</v>
      </c>
      <c r="F2004" s="1">
        <v>94</v>
      </c>
      <c r="I2004" s="1">
        <v>1</v>
      </c>
      <c r="T2004" s="1">
        <v>1</v>
      </c>
    </row>
    <row r="2005" spans="1:90" x14ac:dyDescent="0.3">
      <c r="A2005" s="1" t="s">
        <v>119</v>
      </c>
      <c r="B2005" s="7">
        <v>40756</v>
      </c>
      <c r="C2005" s="1">
        <v>5.5</v>
      </c>
      <c r="D2005" s="1">
        <v>339</v>
      </c>
      <c r="E2005" s="1">
        <v>5</v>
      </c>
      <c r="F2005" s="1">
        <v>95</v>
      </c>
      <c r="I2005" s="1">
        <v>1</v>
      </c>
    </row>
    <row r="2006" spans="1:90" x14ac:dyDescent="0.3">
      <c r="A2006" s="1" t="s">
        <v>119</v>
      </c>
      <c r="B2006" s="7">
        <v>40756</v>
      </c>
      <c r="C2006" s="1">
        <v>5.5</v>
      </c>
      <c r="D2006" s="1">
        <v>339</v>
      </c>
      <c r="E2006" s="1">
        <v>5</v>
      </c>
      <c r="F2006" s="1">
        <v>96</v>
      </c>
      <c r="J2006" s="1">
        <v>1</v>
      </c>
    </row>
    <row r="2007" spans="1:90" x14ac:dyDescent="0.3">
      <c r="A2007" s="1" t="s">
        <v>119</v>
      </c>
      <c r="B2007" s="7">
        <v>40756</v>
      </c>
      <c r="C2007" s="1">
        <v>5.5</v>
      </c>
      <c r="D2007" s="1">
        <v>339</v>
      </c>
      <c r="E2007" s="1">
        <v>5</v>
      </c>
      <c r="F2007" s="1">
        <v>97</v>
      </c>
      <c r="J2007" s="1">
        <v>1</v>
      </c>
    </row>
    <row r="2008" spans="1:90" x14ac:dyDescent="0.3">
      <c r="A2008" s="1" t="s">
        <v>119</v>
      </c>
      <c r="B2008" s="7">
        <v>40756</v>
      </c>
      <c r="C2008" s="1">
        <v>5.5</v>
      </c>
      <c r="D2008" s="1">
        <v>339</v>
      </c>
      <c r="E2008" s="1">
        <v>5</v>
      </c>
      <c r="F2008" s="1">
        <v>98</v>
      </c>
      <c r="J2008" s="1">
        <v>1</v>
      </c>
    </row>
    <row r="2009" spans="1:90" x14ac:dyDescent="0.3">
      <c r="A2009" s="1" t="s">
        <v>119</v>
      </c>
      <c r="B2009" s="7">
        <v>40756</v>
      </c>
      <c r="C2009" s="1">
        <v>5.5</v>
      </c>
      <c r="D2009" s="1">
        <v>339</v>
      </c>
      <c r="E2009" s="1">
        <v>5</v>
      </c>
      <c r="F2009" s="1">
        <v>99</v>
      </c>
      <c r="J2009" s="1">
        <v>1</v>
      </c>
    </row>
    <row r="2010" spans="1:90" x14ac:dyDescent="0.3">
      <c r="A2010" s="1" t="s">
        <v>119</v>
      </c>
      <c r="B2010" s="7">
        <v>40756</v>
      </c>
      <c r="C2010" s="1">
        <v>5.5</v>
      </c>
      <c r="D2010" s="1">
        <v>339</v>
      </c>
      <c r="E2010" s="1">
        <v>5</v>
      </c>
      <c r="F2010" s="1">
        <v>100</v>
      </c>
      <c r="J2010" s="1">
        <v>1</v>
      </c>
      <c r="T2010" s="1">
        <v>1</v>
      </c>
    </row>
    <row r="2011" spans="1:90" s="12" customFormat="1" x14ac:dyDescent="0.3">
      <c r="A2011" s="14" t="s">
        <v>119</v>
      </c>
      <c r="B2011" s="13"/>
      <c r="G2011" s="12">
        <f>SUM(G1811:G2010)</f>
        <v>7</v>
      </c>
      <c r="H2011" s="12">
        <f t="shared" ref="H2011" si="691">SUM(H1811:H2010)</f>
        <v>1</v>
      </c>
      <c r="I2011" s="12">
        <f t="shared" ref="I2011" si="692">SUM(I1811:I2010)</f>
        <v>34</v>
      </c>
      <c r="J2011" s="12">
        <f t="shared" ref="J2011" si="693">SUM(J1811:J2010)</f>
        <v>82</v>
      </c>
      <c r="K2011" s="12">
        <f t="shared" ref="K2011" si="694">SUM(K1811:K2010)</f>
        <v>16</v>
      </c>
      <c r="L2011" s="12">
        <f t="shared" ref="L2011" si="695">SUM(L1811:L2010)</f>
        <v>31</v>
      </c>
      <c r="M2011" s="12">
        <f t="shared" ref="M2011" si="696">SUM(M1811:M2010)</f>
        <v>0</v>
      </c>
      <c r="N2011" s="12">
        <f t="shared" ref="N2011" si="697">SUM(N1811:N2010)</f>
        <v>0</v>
      </c>
      <c r="O2011" s="12">
        <f t="shared" ref="O2011" si="698">SUM(O1811:O2010)</f>
        <v>0</v>
      </c>
      <c r="P2011" s="12">
        <f t="shared" ref="P2011" si="699">SUM(P1811:P2010)</f>
        <v>0</v>
      </c>
      <c r="Q2011" s="12">
        <f t="shared" ref="Q2011" si="700">SUM(Q1811:Q2010)</f>
        <v>0</v>
      </c>
      <c r="R2011" s="12">
        <f t="shared" ref="R2011" si="701">SUM(R1811:R2010)</f>
        <v>10</v>
      </c>
      <c r="S2011" s="12">
        <f t="shared" ref="S2011" si="702">SUM(S1811:S2010)</f>
        <v>3</v>
      </c>
      <c r="T2011" s="12">
        <f t="shared" ref="T2011" si="703">SUM(T1811:T2010)</f>
        <v>41</v>
      </c>
      <c r="U2011" s="12">
        <f t="shared" ref="U2011" si="704">SUM(U1811:U2010)</f>
        <v>1</v>
      </c>
      <c r="V2011" s="12">
        <f t="shared" ref="V2011" si="705">SUM(V1811:V2010)</f>
        <v>1</v>
      </c>
      <c r="W2011" s="12">
        <f t="shared" ref="W2011" si="706">SUM(W1811:W2010)</f>
        <v>1</v>
      </c>
      <c r="X2011" s="12">
        <f t="shared" ref="X2011" si="707">SUM(X1811:X2010)</f>
        <v>2</v>
      </c>
      <c r="Y2011" s="12">
        <f t="shared" ref="Y2011" si="708">SUM(Y1811:Y2010)</f>
        <v>0</v>
      </c>
      <c r="Z2011" s="12">
        <f t="shared" ref="Z2011" si="709">SUM(Z1811:Z2010)</f>
        <v>0</v>
      </c>
      <c r="AA2011" s="12">
        <f t="shared" ref="AA2011" si="710">SUM(AA1811:AA2010)</f>
        <v>0</v>
      </c>
      <c r="AB2011" s="12">
        <f t="shared" ref="AB2011" si="711">SUM(AB1811:AB2010)</f>
        <v>2</v>
      </c>
      <c r="AC2011" s="12">
        <f t="shared" ref="AC2011" si="712">SUM(AC1811:AC2010)</f>
        <v>0</v>
      </c>
      <c r="AD2011" s="12">
        <f t="shared" ref="AD2011" si="713">SUM(AD1811:AD2010)</f>
        <v>0</v>
      </c>
      <c r="AE2011" s="12">
        <f t="shared" ref="AE2011" si="714">SUM(AE1811:AE2010)</f>
        <v>0</v>
      </c>
      <c r="AF2011" s="12">
        <f t="shared" ref="AF2011" si="715">SUM(AF1811:AF2010)</f>
        <v>0</v>
      </c>
      <c r="AG2011" s="12">
        <f t="shared" ref="AG2011" si="716">SUM(AG1811:AG2010)</f>
        <v>0</v>
      </c>
      <c r="AH2011" s="12">
        <f t="shared" ref="AH2011" si="717">SUM(AH1811:AH2010)</f>
        <v>0</v>
      </c>
      <c r="AI2011" s="12">
        <f t="shared" ref="AI2011" si="718">SUM(AI1811:AI2010)</f>
        <v>0</v>
      </c>
      <c r="AJ2011" s="12">
        <f t="shared" ref="AJ2011" si="719">SUM(AJ1811:AJ2010)</f>
        <v>1</v>
      </c>
      <c r="AK2011" s="12">
        <f t="shared" ref="AK2011" si="720">SUM(AK1811:AK2010)</f>
        <v>0</v>
      </c>
      <c r="AL2011" s="12">
        <f t="shared" ref="AL2011" si="721">SUM(AL1811:AL2010)</f>
        <v>0</v>
      </c>
      <c r="AM2011" s="12">
        <f t="shared" ref="AM2011" si="722">SUM(AM1811:AM2010)</f>
        <v>6</v>
      </c>
      <c r="AN2011" s="12">
        <f t="shared" ref="AN2011" si="723">SUM(AN1811:AN2010)</f>
        <v>1</v>
      </c>
      <c r="AO2011" s="12">
        <f t="shared" ref="AO2011" si="724">SUM(AO1811:AO2010)</f>
        <v>0</v>
      </c>
      <c r="AP2011" s="12">
        <f t="shared" ref="AP2011" si="725">SUM(AP1811:AP2010)</f>
        <v>0</v>
      </c>
      <c r="AQ2011" s="12">
        <f t="shared" ref="AQ2011" si="726">SUM(AQ1811:AQ2010)</f>
        <v>0</v>
      </c>
      <c r="AR2011" s="12">
        <f t="shared" ref="AR2011" si="727">SUM(AR1811:AR2010)</f>
        <v>0</v>
      </c>
      <c r="AS2011" s="12">
        <f t="shared" ref="AS2011" si="728">SUM(AS1811:AS2010)</f>
        <v>1</v>
      </c>
      <c r="AT2011" s="12">
        <f t="shared" ref="AT2011" si="729">SUM(AT1811:AT2010)</f>
        <v>0</v>
      </c>
      <c r="AU2011" s="12">
        <f t="shared" ref="AU2011" si="730">SUM(AU1811:AU2010)</f>
        <v>0</v>
      </c>
      <c r="AV2011" s="12">
        <f t="shared" ref="AV2011" si="731">SUM(AV1811:AV2010)</f>
        <v>0</v>
      </c>
      <c r="AW2011" s="12">
        <f t="shared" ref="AW2011" si="732">SUM(AW1811:AW2010)</f>
        <v>0</v>
      </c>
      <c r="AX2011" s="12">
        <f t="shared" ref="AX2011" si="733">SUM(AX1811:AX2010)</f>
        <v>0</v>
      </c>
      <c r="AY2011" s="12">
        <f t="shared" ref="AY2011" si="734">SUM(AY1811:AY2010)</f>
        <v>0</v>
      </c>
      <c r="AZ2011" s="12">
        <f t="shared" ref="AZ2011" si="735">SUM(AZ1811:AZ2010)</f>
        <v>0</v>
      </c>
      <c r="BA2011" s="12">
        <f t="shared" ref="BA2011" si="736">SUM(BA1811:BA2010)</f>
        <v>1</v>
      </c>
      <c r="BB2011" s="12">
        <f t="shared" ref="BB2011" si="737">SUM(BB1811:BB2010)</f>
        <v>0</v>
      </c>
      <c r="BC2011" s="12">
        <f t="shared" ref="BC2011" si="738">SUM(BC1811:BC2010)</f>
        <v>0</v>
      </c>
      <c r="BD2011" s="12">
        <f t="shared" ref="BD2011" si="739">SUM(BD1811:BD2010)</f>
        <v>0</v>
      </c>
      <c r="BE2011" s="12">
        <f t="shared" ref="BE2011" si="740">SUM(BE1811:BE2010)</f>
        <v>9</v>
      </c>
      <c r="BF2011" s="12">
        <f t="shared" ref="BF2011" si="741">SUM(BF1811:BF2010)</f>
        <v>0</v>
      </c>
      <c r="BG2011" s="12">
        <f t="shared" ref="BG2011" si="742">SUM(BG1811:BG2010)</f>
        <v>0</v>
      </c>
      <c r="BH2011" s="12">
        <f t="shared" ref="BH2011" si="743">SUM(BH1811:BH2010)</f>
        <v>0</v>
      </c>
      <c r="BI2011" s="12">
        <f t="shared" ref="BI2011" si="744">SUM(BI1811:BI2010)</f>
        <v>3</v>
      </c>
      <c r="BJ2011" s="12">
        <f t="shared" ref="BJ2011" si="745">SUM(BJ1811:BJ2010)</f>
        <v>0</v>
      </c>
      <c r="BK2011" s="12">
        <f t="shared" ref="BK2011" si="746">SUM(BK1811:BK2010)</f>
        <v>0</v>
      </c>
      <c r="BL2011" s="12">
        <f t="shared" ref="BL2011" si="747">SUM(BL1811:BL2010)</f>
        <v>0</v>
      </c>
      <c r="BM2011" s="12">
        <f t="shared" ref="BM2011" si="748">SUM(BM1811:BM2010)</f>
        <v>0</v>
      </c>
      <c r="BN2011" s="12">
        <f t="shared" ref="BN2011" si="749">SUM(BN1811:BN2010)</f>
        <v>0</v>
      </c>
      <c r="BO2011" s="12">
        <f t="shared" ref="BO2011" si="750">SUM(BO1811:BO2010)</f>
        <v>0</v>
      </c>
      <c r="BP2011" s="12">
        <f t="shared" ref="BP2011" si="751">SUM(BP1811:BP2010)</f>
        <v>1</v>
      </c>
      <c r="BQ2011" s="12">
        <f t="shared" ref="BQ2011" si="752">SUM(BQ1811:BQ2010)</f>
        <v>0</v>
      </c>
      <c r="BR2011" s="12">
        <f t="shared" ref="BR2011" si="753">SUM(BR1811:BR2010)</f>
        <v>0</v>
      </c>
      <c r="BS2011" s="12">
        <f t="shared" ref="BS2011" si="754">SUM(BS1811:BS2010)</f>
        <v>0</v>
      </c>
      <c r="BT2011" s="12">
        <f t="shared" ref="BT2011" si="755">SUM(BT1811:BT2010)</f>
        <v>0</v>
      </c>
      <c r="BU2011" s="12">
        <f t="shared" ref="BU2011" si="756">SUM(BU1811:BU2010)</f>
        <v>39</v>
      </c>
      <c r="BV2011" s="12">
        <f t="shared" ref="BV2011" si="757">SUM(BV1811:BV2010)</f>
        <v>0</v>
      </c>
      <c r="BW2011" s="12">
        <f t="shared" ref="BW2011" si="758">SUM(BW1811:BW2010)</f>
        <v>0</v>
      </c>
      <c r="BX2011" s="12">
        <f t="shared" ref="BX2011" si="759">SUM(BX1811:BX2010)</f>
        <v>0</v>
      </c>
      <c r="BY2011" s="12">
        <f t="shared" ref="BY2011" si="760">SUM(BY1811:BY2010)</f>
        <v>0</v>
      </c>
      <c r="BZ2011" s="12">
        <f t="shared" ref="BZ2011" si="761">SUM(BZ1811:BZ2010)</f>
        <v>0</v>
      </c>
      <c r="CA2011" s="12">
        <f t="shared" ref="CA2011" si="762">SUM(CA1811:CA2010)</f>
        <v>0</v>
      </c>
      <c r="CB2011" s="12">
        <f t="shared" ref="CB2011" si="763">SUM(CB1811:CB2010)</f>
        <v>0</v>
      </c>
      <c r="CC2011" s="12">
        <f t="shared" ref="CC2011" si="764">SUM(CC1811:CC2010)</f>
        <v>0</v>
      </c>
      <c r="CD2011" s="12">
        <f t="shared" ref="CD2011" si="765">SUM(CD1811:CD2010)</f>
        <v>0</v>
      </c>
      <c r="CE2011" s="12">
        <f t="shared" ref="CE2011" si="766">SUM(CE1811:CE2010)</f>
        <v>0</v>
      </c>
      <c r="CF2011" s="12">
        <f t="shared" ref="CF2011" si="767">SUM(CF1811:CF2010)</f>
        <v>0</v>
      </c>
      <c r="CG2011" s="12">
        <f t="shared" ref="CG2011" si="768">SUM(CG1811:CG2010)</f>
        <v>0</v>
      </c>
      <c r="CH2011" s="12">
        <f t="shared" ref="CH2011" si="769">SUM(CH1811:CH2010)</f>
        <v>0</v>
      </c>
      <c r="CI2011" s="12">
        <f t="shared" ref="CI2011" si="770">SUM(CI1811:CI2010)</f>
        <v>0</v>
      </c>
      <c r="CJ2011" s="12">
        <f t="shared" ref="CJ2011" si="771">SUM(CJ1811:CJ2010)</f>
        <v>0</v>
      </c>
      <c r="CK2011" s="12">
        <f t="shared" ref="CK2011" si="772">SUM(CK1811:CK2010)</f>
        <v>0</v>
      </c>
      <c r="CL2011" s="12">
        <f t="shared" ref="CL2011" si="773">SUM(CL1811:CL2010)</f>
        <v>0</v>
      </c>
    </row>
    <row r="2012" spans="1:90" x14ac:dyDescent="0.3">
      <c r="A2012" s="1" t="s">
        <v>43</v>
      </c>
      <c r="B2012" s="7">
        <v>40750</v>
      </c>
      <c r="C2012" s="1">
        <v>4.3</v>
      </c>
      <c r="D2012" s="1">
        <v>84</v>
      </c>
      <c r="F2012" s="1">
        <v>1</v>
      </c>
      <c r="G2012" s="1">
        <v>1</v>
      </c>
    </row>
    <row r="2013" spans="1:90" x14ac:dyDescent="0.3">
      <c r="A2013" s="1" t="s">
        <v>43</v>
      </c>
      <c r="B2013" s="7">
        <v>40750</v>
      </c>
      <c r="C2013" s="1">
        <v>4.3</v>
      </c>
      <c r="D2013" s="1">
        <v>84</v>
      </c>
      <c r="F2013" s="1">
        <v>2</v>
      </c>
      <c r="G2013" s="1">
        <v>1</v>
      </c>
    </row>
    <row r="2014" spans="1:90" x14ac:dyDescent="0.3">
      <c r="A2014" s="1" t="s">
        <v>43</v>
      </c>
      <c r="B2014" s="7">
        <v>40750</v>
      </c>
      <c r="C2014" s="1">
        <v>4.3</v>
      </c>
      <c r="D2014" s="1">
        <v>84</v>
      </c>
      <c r="F2014" s="1">
        <v>3</v>
      </c>
      <c r="G2014" s="1">
        <v>1</v>
      </c>
    </row>
    <row r="2015" spans="1:90" x14ac:dyDescent="0.3">
      <c r="A2015" s="1" t="s">
        <v>43</v>
      </c>
      <c r="B2015" s="7">
        <v>40750</v>
      </c>
      <c r="C2015" s="1">
        <v>4.3</v>
      </c>
      <c r="D2015" s="1">
        <v>84</v>
      </c>
      <c r="F2015" s="1">
        <v>4</v>
      </c>
      <c r="G2015" s="1">
        <v>1</v>
      </c>
    </row>
    <row r="2016" spans="1:90" x14ac:dyDescent="0.3">
      <c r="A2016" s="1" t="s">
        <v>43</v>
      </c>
      <c r="B2016" s="7">
        <v>40750</v>
      </c>
      <c r="C2016" s="1">
        <v>4.3</v>
      </c>
      <c r="D2016" s="1">
        <v>84</v>
      </c>
      <c r="F2016" s="1">
        <v>5</v>
      </c>
      <c r="G2016" s="1">
        <v>1</v>
      </c>
      <c r="H2016" s="1">
        <v>1</v>
      </c>
    </row>
    <row r="2017" spans="1:63" x14ac:dyDescent="0.3">
      <c r="A2017" s="1" t="s">
        <v>43</v>
      </c>
      <c r="B2017" s="7">
        <v>40750</v>
      </c>
      <c r="C2017" s="1">
        <v>4.3</v>
      </c>
      <c r="D2017" s="1">
        <v>84</v>
      </c>
      <c r="F2017" s="1">
        <v>6</v>
      </c>
      <c r="I2017" s="1">
        <v>1</v>
      </c>
      <c r="J2017" s="1">
        <v>1</v>
      </c>
    </row>
    <row r="2018" spans="1:63" x14ac:dyDescent="0.3">
      <c r="A2018" s="1" t="s">
        <v>43</v>
      </c>
      <c r="B2018" s="7">
        <v>40750</v>
      </c>
      <c r="C2018" s="1">
        <v>4.3</v>
      </c>
      <c r="D2018" s="1">
        <v>84</v>
      </c>
      <c r="F2018" s="1">
        <v>7</v>
      </c>
      <c r="I2018" s="1">
        <v>1</v>
      </c>
      <c r="J2018" s="1">
        <v>1</v>
      </c>
    </row>
    <row r="2019" spans="1:63" x14ac:dyDescent="0.3">
      <c r="A2019" s="1" t="s">
        <v>43</v>
      </c>
      <c r="B2019" s="7">
        <v>40750</v>
      </c>
      <c r="C2019" s="1">
        <v>4.3</v>
      </c>
      <c r="D2019" s="1">
        <v>84</v>
      </c>
      <c r="F2019" s="1">
        <v>8</v>
      </c>
      <c r="G2019" s="1">
        <v>1</v>
      </c>
    </row>
    <row r="2020" spans="1:63" x14ac:dyDescent="0.3">
      <c r="A2020" s="1" t="s">
        <v>43</v>
      </c>
      <c r="B2020" s="7">
        <v>40750</v>
      </c>
      <c r="C2020" s="1">
        <v>4.3</v>
      </c>
      <c r="D2020" s="1">
        <v>84</v>
      </c>
      <c r="F2020" s="1">
        <v>9</v>
      </c>
      <c r="G2020" s="1">
        <v>1</v>
      </c>
    </row>
    <row r="2021" spans="1:63" x14ac:dyDescent="0.3">
      <c r="A2021" s="1" t="s">
        <v>43</v>
      </c>
      <c r="B2021" s="7">
        <v>40750</v>
      </c>
      <c r="C2021" s="1">
        <v>4.3</v>
      </c>
      <c r="D2021" s="1">
        <v>84</v>
      </c>
      <c r="F2021" s="1">
        <v>10</v>
      </c>
      <c r="G2021" s="1">
        <v>1</v>
      </c>
    </row>
    <row r="2022" spans="1:63" x14ac:dyDescent="0.3">
      <c r="A2022" s="1" t="s">
        <v>43</v>
      </c>
      <c r="B2022" s="7">
        <v>40750</v>
      </c>
      <c r="C2022" s="1">
        <v>4.3</v>
      </c>
      <c r="D2022" s="1">
        <v>84</v>
      </c>
      <c r="F2022" s="1">
        <v>11</v>
      </c>
      <c r="G2022" s="1">
        <v>1</v>
      </c>
    </row>
    <row r="2023" spans="1:63" x14ac:dyDescent="0.3">
      <c r="A2023" s="1" t="s">
        <v>43</v>
      </c>
      <c r="B2023" s="7">
        <v>40750</v>
      </c>
      <c r="C2023" s="1">
        <v>4.3</v>
      </c>
      <c r="D2023" s="1">
        <v>84</v>
      </c>
      <c r="F2023" s="1">
        <v>12</v>
      </c>
      <c r="G2023" s="1">
        <v>1</v>
      </c>
    </row>
    <row r="2024" spans="1:63" x14ac:dyDescent="0.3">
      <c r="A2024" s="1" t="s">
        <v>43</v>
      </c>
      <c r="B2024" s="7">
        <v>40750</v>
      </c>
      <c r="C2024" s="1">
        <v>4.3</v>
      </c>
      <c r="D2024" s="1">
        <v>84</v>
      </c>
      <c r="F2024" s="1">
        <v>13</v>
      </c>
      <c r="G2024" s="1">
        <v>1</v>
      </c>
    </row>
    <row r="2025" spans="1:63" x14ac:dyDescent="0.3">
      <c r="A2025" s="1" t="s">
        <v>43</v>
      </c>
      <c r="B2025" s="7">
        <v>40750</v>
      </c>
      <c r="C2025" s="1">
        <v>4.3</v>
      </c>
      <c r="D2025" s="1">
        <v>84</v>
      </c>
      <c r="F2025" s="1">
        <v>14</v>
      </c>
      <c r="G2025" s="1">
        <v>1</v>
      </c>
    </row>
    <row r="2026" spans="1:63" x14ac:dyDescent="0.3">
      <c r="A2026" s="1" t="s">
        <v>43</v>
      </c>
      <c r="B2026" s="7">
        <v>40750</v>
      </c>
      <c r="C2026" s="1">
        <v>4.3</v>
      </c>
      <c r="D2026" s="1">
        <v>84</v>
      </c>
      <c r="F2026" s="1">
        <v>15</v>
      </c>
      <c r="H2026" s="1">
        <v>1</v>
      </c>
      <c r="I2026" s="1">
        <v>1</v>
      </c>
      <c r="AQ2026" s="1">
        <v>1</v>
      </c>
    </row>
    <row r="2027" spans="1:63" x14ac:dyDescent="0.3">
      <c r="A2027" s="1" t="s">
        <v>43</v>
      </c>
      <c r="B2027" s="7">
        <v>40750</v>
      </c>
      <c r="C2027" s="1">
        <v>4.3</v>
      </c>
      <c r="D2027" s="1">
        <v>84</v>
      </c>
      <c r="F2027" s="1">
        <v>16</v>
      </c>
      <c r="H2027" s="1">
        <v>1</v>
      </c>
      <c r="I2027" s="1">
        <v>1</v>
      </c>
      <c r="J2027" s="3">
        <v>0</v>
      </c>
      <c r="K2027" s="3">
        <v>1</v>
      </c>
    </row>
    <row r="2028" spans="1:63" x14ac:dyDescent="0.3">
      <c r="A2028" s="1" t="s">
        <v>43</v>
      </c>
      <c r="B2028" s="7">
        <v>40750</v>
      </c>
      <c r="C2028" s="1">
        <v>4.3</v>
      </c>
      <c r="D2028" s="1">
        <v>84</v>
      </c>
      <c r="F2028" s="1">
        <v>17</v>
      </c>
      <c r="J2028" s="3">
        <v>0</v>
      </c>
      <c r="K2028" s="3">
        <v>1</v>
      </c>
      <c r="BK2028" s="1">
        <v>1</v>
      </c>
    </row>
    <row r="2029" spans="1:63" x14ac:dyDescent="0.3">
      <c r="A2029" s="1" t="s">
        <v>43</v>
      </c>
      <c r="B2029" s="7">
        <v>40750</v>
      </c>
      <c r="C2029" s="1">
        <v>4.3</v>
      </c>
      <c r="D2029" s="1">
        <v>84</v>
      </c>
      <c r="F2029" s="1">
        <v>18</v>
      </c>
      <c r="J2029" s="3">
        <v>0</v>
      </c>
      <c r="K2029" s="3">
        <v>1</v>
      </c>
    </row>
    <row r="2030" spans="1:63" x14ac:dyDescent="0.3">
      <c r="A2030" s="1" t="s">
        <v>43</v>
      </c>
      <c r="B2030" s="7">
        <v>40750</v>
      </c>
      <c r="C2030" s="1">
        <v>4.3</v>
      </c>
      <c r="D2030" s="1">
        <v>84</v>
      </c>
      <c r="F2030" s="1">
        <v>19</v>
      </c>
      <c r="G2030" s="1">
        <v>1</v>
      </c>
      <c r="J2030" s="3">
        <v>0</v>
      </c>
      <c r="K2030" s="3">
        <v>1</v>
      </c>
    </row>
    <row r="2031" spans="1:63" x14ac:dyDescent="0.3">
      <c r="A2031" s="1" t="s">
        <v>43</v>
      </c>
      <c r="B2031" s="7">
        <v>40750</v>
      </c>
      <c r="C2031" s="1">
        <v>4.3</v>
      </c>
      <c r="D2031" s="1">
        <v>84</v>
      </c>
      <c r="F2031" s="1">
        <v>20</v>
      </c>
      <c r="G2031" s="1">
        <v>1</v>
      </c>
    </row>
    <row r="2032" spans="1:63" x14ac:dyDescent="0.3">
      <c r="A2032" s="1" t="s">
        <v>43</v>
      </c>
      <c r="B2032" s="7">
        <v>40750</v>
      </c>
      <c r="C2032" s="1">
        <v>4.3</v>
      </c>
      <c r="D2032" s="1">
        <v>84</v>
      </c>
      <c r="F2032" s="1">
        <v>21</v>
      </c>
      <c r="I2032" s="1">
        <v>1</v>
      </c>
      <c r="L2032" s="1">
        <v>1</v>
      </c>
      <c r="AQ2032" s="1">
        <v>1</v>
      </c>
    </row>
    <row r="2033" spans="1:63" x14ac:dyDescent="0.3">
      <c r="A2033" s="1" t="s">
        <v>43</v>
      </c>
      <c r="B2033" s="7">
        <v>40750</v>
      </c>
      <c r="C2033" s="1">
        <v>4.3</v>
      </c>
      <c r="D2033" s="1">
        <v>84</v>
      </c>
      <c r="F2033" s="1">
        <v>22</v>
      </c>
      <c r="G2033" s="1">
        <v>1</v>
      </c>
    </row>
    <row r="2034" spans="1:63" x14ac:dyDescent="0.3">
      <c r="A2034" s="1" t="s">
        <v>43</v>
      </c>
      <c r="B2034" s="7">
        <v>40750</v>
      </c>
      <c r="C2034" s="1">
        <v>4.3</v>
      </c>
      <c r="D2034" s="1">
        <v>84</v>
      </c>
      <c r="F2034" s="1">
        <v>23</v>
      </c>
      <c r="G2034" s="1">
        <v>1</v>
      </c>
    </row>
    <row r="2035" spans="1:63" x14ac:dyDescent="0.3">
      <c r="A2035" s="1" t="s">
        <v>43</v>
      </c>
      <c r="B2035" s="7">
        <v>40750</v>
      </c>
      <c r="C2035" s="1">
        <v>4.3</v>
      </c>
      <c r="D2035" s="1">
        <v>84</v>
      </c>
      <c r="F2035" s="1">
        <v>24</v>
      </c>
      <c r="G2035" s="1">
        <v>1</v>
      </c>
    </row>
    <row r="2036" spans="1:63" x14ac:dyDescent="0.3">
      <c r="A2036" s="1" t="s">
        <v>43</v>
      </c>
      <c r="B2036" s="7">
        <v>40750</v>
      </c>
      <c r="C2036" s="1">
        <v>4.3</v>
      </c>
      <c r="D2036" s="1">
        <v>84</v>
      </c>
      <c r="F2036" s="1">
        <v>25</v>
      </c>
      <c r="H2036" s="1">
        <v>1</v>
      </c>
      <c r="I2036" s="1">
        <v>1</v>
      </c>
      <c r="AQ2036" s="1">
        <v>1</v>
      </c>
    </row>
    <row r="2037" spans="1:63" x14ac:dyDescent="0.3">
      <c r="A2037" s="1" t="s">
        <v>43</v>
      </c>
      <c r="B2037" s="7">
        <v>40750</v>
      </c>
      <c r="C2037" s="1">
        <v>4.3</v>
      </c>
      <c r="D2037" s="1">
        <v>84</v>
      </c>
      <c r="F2037" s="1">
        <v>26</v>
      </c>
      <c r="H2037" s="1">
        <v>1</v>
      </c>
      <c r="I2037" s="1">
        <v>1</v>
      </c>
      <c r="J2037" s="1">
        <v>1</v>
      </c>
      <c r="AQ2037" s="1">
        <v>1</v>
      </c>
    </row>
    <row r="2038" spans="1:63" x14ac:dyDescent="0.3">
      <c r="A2038" s="1" t="s">
        <v>43</v>
      </c>
      <c r="B2038" s="7">
        <v>40750</v>
      </c>
      <c r="C2038" s="1">
        <v>4.3</v>
      </c>
      <c r="D2038" s="1">
        <v>84</v>
      </c>
      <c r="F2038" s="1">
        <v>27</v>
      </c>
      <c r="BK2038" s="1">
        <v>1</v>
      </c>
    </row>
    <row r="2039" spans="1:63" x14ac:dyDescent="0.3">
      <c r="A2039" s="1" t="s">
        <v>43</v>
      </c>
      <c r="B2039" s="7">
        <v>40750</v>
      </c>
      <c r="C2039" s="1">
        <v>4.3</v>
      </c>
      <c r="D2039" s="1">
        <v>84</v>
      </c>
      <c r="F2039" s="1">
        <v>28</v>
      </c>
      <c r="J2039" s="3">
        <v>0</v>
      </c>
      <c r="K2039" s="3">
        <v>1</v>
      </c>
    </row>
    <row r="2040" spans="1:63" x14ac:dyDescent="0.3">
      <c r="A2040" s="1" t="s">
        <v>43</v>
      </c>
      <c r="B2040" s="7">
        <v>40750</v>
      </c>
      <c r="C2040" s="1">
        <v>4.3</v>
      </c>
      <c r="D2040" s="1">
        <v>84</v>
      </c>
      <c r="F2040" s="1">
        <v>29</v>
      </c>
      <c r="J2040" s="3">
        <v>0</v>
      </c>
      <c r="K2040" s="3">
        <v>1</v>
      </c>
    </row>
    <row r="2041" spans="1:63" x14ac:dyDescent="0.3">
      <c r="A2041" s="1" t="s">
        <v>43</v>
      </c>
      <c r="B2041" s="7">
        <v>40750</v>
      </c>
      <c r="C2041" s="1">
        <v>4.3</v>
      </c>
      <c r="D2041" s="1">
        <v>84</v>
      </c>
      <c r="F2041" s="1">
        <v>30</v>
      </c>
      <c r="J2041" s="1">
        <v>1</v>
      </c>
      <c r="L2041" s="1">
        <v>1</v>
      </c>
    </row>
    <row r="2042" spans="1:63" x14ac:dyDescent="0.3">
      <c r="A2042" s="1" t="s">
        <v>43</v>
      </c>
      <c r="B2042" s="7">
        <v>40750</v>
      </c>
      <c r="C2042" s="1">
        <v>4.3</v>
      </c>
      <c r="D2042" s="1">
        <v>84</v>
      </c>
      <c r="F2042" s="1">
        <v>31</v>
      </c>
      <c r="N2042" s="1">
        <v>1</v>
      </c>
      <c r="AQ2042" s="3">
        <v>0</v>
      </c>
      <c r="AR2042" s="3">
        <v>1</v>
      </c>
    </row>
    <row r="2043" spans="1:63" x14ac:dyDescent="0.3">
      <c r="A2043" s="1" t="s">
        <v>43</v>
      </c>
      <c r="B2043" s="7">
        <v>40750</v>
      </c>
      <c r="C2043" s="1">
        <v>4.3</v>
      </c>
      <c r="D2043" s="1">
        <v>84</v>
      </c>
      <c r="F2043" s="1">
        <v>32</v>
      </c>
      <c r="I2043" s="1">
        <v>1</v>
      </c>
      <c r="AQ2043" s="1">
        <v>1</v>
      </c>
    </row>
    <row r="2044" spans="1:63" x14ac:dyDescent="0.3">
      <c r="A2044" s="1" t="s">
        <v>43</v>
      </c>
      <c r="B2044" s="7">
        <v>40750</v>
      </c>
      <c r="C2044" s="1">
        <v>4.3</v>
      </c>
      <c r="D2044" s="1">
        <v>84</v>
      </c>
      <c r="F2044" s="1">
        <v>33</v>
      </c>
      <c r="G2044" s="1">
        <v>1</v>
      </c>
      <c r="AQ2044" s="3">
        <v>0</v>
      </c>
      <c r="AR2044" s="3">
        <v>1</v>
      </c>
    </row>
    <row r="2045" spans="1:63" x14ac:dyDescent="0.3">
      <c r="A2045" s="1" t="s">
        <v>43</v>
      </c>
      <c r="B2045" s="7">
        <v>40750</v>
      </c>
      <c r="C2045" s="1">
        <v>4.3</v>
      </c>
      <c r="D2045" s="1">
        <v>84</v>
      </c>
      <c r="F2045" s="1">
        <v>34</v>
      </c>
      <c r="H2045" s="1">
        <v>1</v>
      </c>
      <c r="I2045" s="1">
        <v>1</v>
      </c>
      <c r="AQ2045" s="1">
        <v>1</v>
      </c>
    </row>
    <row r="2046" spans="1:63" x14ac:dyDescent="0.3">
      <c r="A2046" s="1" t="s">
        <v>43</v>
      </c>
      <c r="B2046" s="7">
        <v>40750</v>
      </c>
      <c r="C2046" s="1">
        <v>4.3</v>
      </c>
      <c r="D2046" s="1">
        <v>84</v>
      </c>
      <c r="F2046" s="1">
        <v>35</v>
      </c>
      <c r="AQ2046" s="1">
        <v>1</v>
      </c>
    </row>
    <row r="2047" spans="1:63" x14ac:dyDescent="0.3">
      <c r="A2047" s="1" t="s">
        <v>43</v>
      </c>
      <c r="B2047" s="7">
        <v>40750</v>
      </c>
      <c r="C2047" s="1">
        <v>4.3</v>
      </c>
      <c r="D2047" s="1">
        <v>84</v>
      </c>
      <c r="F2047" s="1">
        <v>36</v>
      </c>
      <c r="H2047" s="1">
        <v>1</v>
      </c>
      <c r="I2047" s="1">
        <v>1</v>
      </c>
      <c r="AQ2047" s="1">
        <v>1</v>
      </c>
    </row>
    <row r="2048" spans="1:63" x14ac:dyDescent="0.3">
      <c r="A2048" s="1" t="s">
        <v>43</v>
      </c>
      <c r="B2048" s="7">
        <v>40750</v>
      </c>
      <c r="C2048" s="1">
        <v>4.3</v>
      </c>
      <c r="D2048" s="1">
        <v>84</v>
      </c>
      <c r="F2048" s="1">
        <v>37</v>
      </c>
      <c r="J2048" s="3">
        <v>0</v>
      </c>
      <c r="K2048" s="3">
        <v>1</v>
      </c>
    </row>
    <row r="2049" spans="1:43" x14ac:dyDescent="0.3">
      <c r="A2049" s="1" t="s">
        <v>43</v>
      </c>
      <c r="B2049" s="7">
        <v>40750</v>
      </c>
      <c r="C2049" s="1">
        <v>4.3</v>
      </c>
      <c r="D2049" s="1">
        <v>84</v>
      </c>
      <c r="F2049" s="1">
        <v>38</v>
      </c>
      <c r="I2049" s="1">
        <v>1</v>
      </c>
      <c r="J2049" s="3">
        <v>0</v>
      </c>
      <c r="K2049" s="3">
        <v>1</v>
      </c>
    </row>
    <row r="2050" spans="1:43" x14ac:dyDescent="0.3">
      <c r="A2050" s="1" t="s">
        <v>43</v>
      </c>
      <c r="B2050" s="7">
        <v>40750</v>
      </c>
      <c r="C2050" s="1">
        <v>4.3</v>
      </c>
      <c r="D2050" s="1">
        <v>84</v>
      </c>
      <c r="F2050" s="1">
        <v>39</v>
      </c>
      <c r="J2050" s="1">
        <v>1</v>
      </c>
    </row>
    <row r="2051" spans="1:43" x14ac:dyDescent="0.3">
      <c r="A2051" s="1" t="s">
        <v>43</v>
      </c>
      <c r="B2051" s="7">
        <v>40750</v>
      </c>
      <c r="C2051" s="1">
        <v>4.3</v>
      </c>
      <c r="D2051" s="1">
        <v>84</v>
      </c>
      <c r="F2051" s="1">
        <v>40</v>
      </c>
      <c r="H2051" s="1">
        <v>1</v>
      </c>
    </row>
    <row r="2052" spans="1:43" x14ac:dyDescent="0.3">
      <c r="A2052" s="1" t="s">
        <v>43</v>
      </c>
      <c r="B2052" s="7">
        <v>40750</v>
      </c>
      <c r="C2052" s="1">
        <v>4.3</v>
      </c>
      <c r="D2052" s="1">
        <v>84</v>
      </c>
      <c r="F2052" s="1">
        <v>41</v>
      </c>
      <c r="N2052" s="1">
        <v>1</v>
      </c>
    </row>
    <row r="2053" spans="1:43" x14ac:dyDescent="0.3">
      <c r="A2053" s="1" t="s">
        <v>43</v>
      </c>
      <c r="B2053" s="7">
        <v>40750</v>
      </c>
      <c r="C2053" s="1">
        <v>4.3</v>
      </c>
      <c r="D2053" s="1">
        <v>84</v>
      </c>
      <c r="F2053" s="1">
        <v>42</v>
      </c>
      <c r="AQ2053" s="1">
        <v>1</v>
      </c>
    </row>
    <row r="2054" spans="1:43" x14ac:dyDescent="0.3">
      <c r="A2054" s="1" t="s">
        <v>43</v>
      </c>
      <c r="B2054" s="7">
        <v>40750</v>
      </c>
      <c r="C2054" s="1">
        <v>4.3</v>
      </c>
      <c r="D2054" s="1">
        <v>84</v>
      </c>
      <c r="F2054" s="1">
        <v>43</v>
      </c>
      <c r="I2054" s="1">
        <v>1</v>
      </c>
      <c r="J2054" s="3">
        <v>0</v>
      </c>
      <c r="K2054" s="3">
        <v>1</v>
      </c>
    </row>
    <row r="2055" spans="1:43" x14ac:dyDescent="0.3">
      <c r="A2055" s="1" t="s">
        <v>43</v>
      </c>
      <c r="B2055" s="7">
        <v>40750</v>
      </c>
      <c r="C2055" s="1">
        <v>4.3</v>
      </c>
      <c r="D2055" s="1">
        <v>84</v>
      </c>
      <c r="F2055" s="1">
        <v>44</v>
      </c>
      <c r="H2055" s="1">
        <v>1</v>
      </c>
      <c r="AQ2055" s="1">
        <v>1</v>
      </c>
    </row>
    <row r="2056" spans="1:43" x14ac:dyDescent="0.3">
      <c r="A2056" s="1" t="s">
        <v>43</v>
      </c>
      <c r="B2056" s="7">
        <v>40750</v>
      </c>
      <c r="C2056" s="1">
        <v>4.3</v>
      </c>
      <c r="D2056" s="1">
        <v>84</v>
      </c>
      <c r="F2056" s="1">
        <v>45</v>
      </c>
      <c r="AQ2056" s="1">
        <v>1</v>
      </c>
    </row>
    <row r="2057" spans="1:43" x14ac:dyDescent="0.3">
      <c r="A2057" s="1" t="s">
        <v>43</v>
      </c>
      <c r="B2057" s="7">
        <v>40750</v>
      </c>
      <c r="C2057" s="1">
        <v>4.3</v>
      </c>
      <c r="D2057" s="1">
        <v>84</v>
      </c>
      <c r="F2057" s="1">
        <v>46</v>
      </c>
      <c r="I2057" s="1">
        <v>1</v>
      </c>
      <c r="J2057" s="1">
        <v>1</v>
      </c>
      <c r="AQ2057" s="1">
        <v>1</v>
      </c>
    </row>
    <row r="2058" spans="1:43" x14ac:dyDescent="0.3">
      <c r="A2058" s="1" t="s">
        <v>43</v>
      </c>
      <c r="B2058" s="7">
        <v>40750</v>
      </c>
      <c r="C2058" s="1">
        <v>4.3</v>
      </c>
      <c r="D2058" s="1">
        <v>84</v>
      </c>
      <c r="F2058" s="1">
        <v>47</v>
      </c>
      <c r="I2058" s="1">
        <v>1</v>
      </c>
      <c r="AQ2058" s="1">
        <v>1</v>
      </c>
    </row>
    <row r="2059" spans="1:43" x14ac:dyDescent="0.3">
      <c r="A2059" s="1" t="s">
        <v>43</v>
      </c>
      <c r="B2059" s="7">
        <v>40750</v>
      </c>
      <c r="C2059" s="1">
        <v>4.3</v>
      </c>
      <c r="D2059" s="1">
        <v>84</v>
      </c>
      <c r="F2059" s="1">
        <v>48</v>
      </c>
      <c r="I2059" s="1">
        <v>1</v>
      </c>
      <c r="V2059" s="1">
        <v>1</v>
      </c>
    </row>
    <row r="2060" spans="1:43" x14ac:dyDescent="0.3">
      <c r="A2060" s="1" t="s">
        <v>43</v>
      </c>
      <c r="B2060" s="7">
        <v>40750</v>
      </c>
      <c r="C2060" s="1">
        <v>4.3</v>
      </c>
      <c r="D2060" s="1">
        <v>84</v>
      </c>
      <c r="F2060" s="1">
        <v>49</v>
      </c>
      <c r="J2060" s="3">
        <v>0</v>
      </c>
      <c r="K2060" s="3">
        <v>1</v>
      </c>
    </row>
    <row r="2061" spans="1:43" x14ac:dyDescent="0.3">
      <c r="A2061" s="1" t="s">
        <v>43</v>
      </c>
      <c r="B2061" s="7">
        <v>40750</v>
      </c>
      <c r="C2061" s="1">
        <v>4.3</v>
      </c>
      <c r="D2061" s="1">
        <v>84</v>
      </c>
      <c r="F2061" s="1">
        <v>50</v>
      </c>
      <c r="J2061" s="3">
        <v>0</v>
      </c>
      <c r="K2061" s="3">
        <v>1</v>
      </c>
    </row>
    <row r="2062" spans="1:43" x14ac:dyDescent="0.3">
      <c r="A2062" s="1" t="s">
        <v>43</v>
      </c>
      <c r="B2062" s="7">
        <v>40750</v>
      </c>
      <c r="C2062" s="1">
        <v>4.3</v>
      </c>
      <c r="D2062" s="1">
        <v>84</v>
      </c>
      <c r="F2062" s="1">
        <v>51</v>
      </c>
      <c r="N2062" s="1">
        <v>1</v>
      </c>
      <c r="AQ2062" s="1">
        <v>1</v>
      </c>
    </row>
    <row r="2063" spans="1:43" x14ac:dyDescent="0.3">
      <c r="A2063" s="1" t="s">
        <v>43</v>
      </c>
      <c r="B2063" s="7">
        <v>40750</v>
      </c>
      <c r="C2063" s="1">
        <v>4.3</v>
      </c>
      <c r="D2063" s="1">
        <v>84</v>
      </c>
      <c r="F2063" s="1">
        <v>52</v>
      </c>
      <c r="I2063" s="1">
        <v>1</v>
      </c>
      <c r="AQ2063" s="1">
        <v>1</v>
      </c>
    </row>
    <row r="2064" spans="1:43" x14ac:dyDescent="0.3">
      <c r="A2064" s="1" t="s">
        <v>43</v>
      </c>
      <c r="B2064" s="7">
        <v>40750</v>
      </c>
      <c r="C2064" s="1">
        <v>4.3</v>
      </c>
      <c r="D2064" s="1">
        <v>84</v>
      </c>
      <c r="F2064" s="1">
        <v>53</v>
      </c>
      <c r="I2064" s="1">
        <v>1</v>
      </c>
      <c r="AQ2064" s="1">
        <v>1</v>
      </c>
    </row>
    <row r="2065" spans="1:63" x14ac:dyDescent="0.3">
      <c r="A2065" s="1" t="s">
        <v>43</v>
      </c>
      <c r="B2065" s="7">
        <v>40750</v>
      </c>
      <c r="C2065" s="1">
        <v>4.3</v>
      </c>
      <c r="D2065" s="1">
        <v>84</v>
      </c>
      <c r="F2065" s="1">
        <v>54</v>
      </c>
      <c r="I2065" s="1">
        <v>1</v>
      </c>
      <c r="AQ2065" s="1">
        <v>1</v>
      </c>
    </row>
    <row r="2066" spans="1:63" x14ac:dyDescent="0.3">
      <c r="A2066" s="1" t="s">
        <v>43</v>
      </c>
      <c r="B2066" s="7">
        <v>40750</v>
      </c>
      <c r="C2066" s="1">
        <v>4.3</v>
      </c>
      <c r="D2066" s="1">
        <v>84</v>
      </c>
      <c r="F2066" s="1">
        <v>55</v>
      </c>
      <c r="BK2066" s="1">
        <v>1</v>
      </c>
    </row>
    <row r="2067" spans="1:63" x14ac:dyDescent="0.3">
      <c r="A2067" s="1" t="s">
        <v>43</v>
      </c>
      <c r="B2067" s="7">
        <v>40750</v>
      </c>
      <c r="C2067" s="1">
        <v>4.3</v>
      </c>
      <c r="D2067" s="1">
        <v>84</v>
      </c>
      <c r="F2067" s="1">
        <v>56</v>
      </c>
      <c r="J2067" s="3">
        <v>0</v>
      </c>
      <c r="K2067" s="3">
        <v>1</v>
      </c>
    </row>
    <row r="2068" spans="1:63" x14ac:dyDescent="0.3">
      <c r="A2068" s="1" t="s">
        <v>43</v>
      </c>
      <c r="B2068" s="7">
        <v>40750</v>
      </c>
      <c r="C2068" s="1">
        <v>4.3</v>
      </c>
      <c r="D2068" s="1">
        <v>84</v>
      </c>
      <c r="F2068" s="1">
        <v>57</v>
      </c>
      <c r="J2068" s="1">
        <v>1</v>
      </c>
    </row>
    <row r="2069" spans="1:63" x14ac:dyDescent="0.3">
      <c r="A2069" s="1" t="s">
        <v>43</v>
      </c>
      <c r="B2069" s="7">
        <v>40750</v>
      </c>
      <c r="C2069" s="1">
        <v>4.3</v>
      </c>
      <c r="D2069" s="1">
        <v>84</v>
      </c>
      <c r="F2069" s="1">
        <v>58</v>
      </c>
      <c r="I2069" s="1">
        <v>1</v>
      </c>
      <c r="V2069" s="1">
        <v>1</v>
      </c>
      <c r="AQ2069" s="1">
        <v>1</v>
      </c>
    </row>
    <row r="2070" spans="1:63" x14ac:dyDescent="0.3">
      <c r="A2070" s="1" t="s">
        <v>43</v>
      </c>
      <c r="B2070" s="7">
        <v>40750</v>
      </c>
      <c r="C2070" s="1">
        <v>4.3</v>
      </c>
      <c r="D2070" s="1">
        <v>84</v>
      </c>
      <c r="F2070" s="1">
        <v>59</v>
      </c>
      <c r="J2070" s="3">
        <v>0</v>
      </c>
      <c r="K2070" s="3">
        <v>1</v>
      </c>
    </row>
    <row r="2071" spans="1:63" x14ac:dyDescent="0.3">
      <c r="A2071" s="1" t="s">
        <v>43</v>
      </c>
      <c r="B2071" s="7">
        <v>40750</v>
      </c>
      <c r="C2071" s="1">
        <v>4.3</v>
      </c>
      <c r="D2071" s="1">
        <v>84</v>
      </c>
      <c r="F2071" s="1">
        <v>60</v>
      </c>
      <c r="J2071" s="1">
        <v>1</v>
      </c>
    </row>
    <row r="2072" spans="1:63" x14ac:dyDescent="0.3">
      <c r="A2072" s="1" t="s">
        <v>43</v>
      </c>
      <c r="B2072" s="7">
        <v>40750</v>
      </c>
      <c r="C2072" s="1">
        <v>4.3</v>
      </c>
      <c r="D2072" s="1">
        <v>84</v>
      </c>
      <c r="F2072" s="1">
        <v>61</v>
      </c>
      <c r="AQ2072" s="1">
        <v>1</v>
      </c>
    </row>
    <row r="2073" spans="1:63" x14ac:dyDescent="0.3">
      <c r="A2073" s="1" t="s">
        <v>43</v>
      </c>
      <c r="B2073" s="7">
        <v>40750</v>
      </c>
      <c r="C2073" s="1">
        <v>4.3</v>
      </c>
      <c r="D2073" s="1">
        <v>84</v>
      </c>
      <c r="F2073" s="1">
        <v>62</v>
      </c>
      <c r="I2073" s="1">
        <v>1</v>
      </c>
      <c r="AQ2073" s="3">
        <v>0</v>
      </c>
      <c r="AR2073" s="3">
        <v>1</v>
      </c>
    </row>
    <row r="2074" spans="1:63" x14ac:dyDescent="0.3">
      <c r="A2074" s="1" t="s">
        <v>43</v>
      </c>
      <c r="B2074" s="7">
        <v>40750</v>
      </c>
      <c r="C2074" s="1">
        <v>4.3</v>
      </c>
      <c r="D2074" s="1">
        <v>84</v>
      </c>
      <c r="F2074" s="1">
        <v>63</v>
      </c>
      <c r="J2074" s="1">
        <v>1</v>
      </c>
      <c r="AQ2074" s="1">
        <v>1</v>
      </c>
    </row>
    <row r="2075" spans="1:63" x14ac:dyDescent="0.3">
      <c r="A2075" s="1" t="s">
        <v>43</v>
      </c>
      <c r="B2075" s="7">
        <v>40750</v>
      </c>
      <c r="C2075" s="1">
        <v>4.3</v>
      </c>
      <c r="D2075" s="1">
        <v>84</v>
      </c>
      <c r="F2075" s="1">
        <v>64</v>
      </c>
      <c r="I2075" s="1">
        <v>1</v>
      </c>
      <c r="AQ2075" s="1">
        <v>1</v>
      </c>
      <c r="BI2075" s="1">
        <v>1</v>
      </c>
    </row>
    <row r="2076" spans="1:63" x14ac:dyDescent="0.3">
      <c r="A2076" s="1" t="s">
        <v>43</v>
      </c>
      <c r="B2076" s="7">
        <v>40750</v>
      </c>
      <c r="C2076" s="1">
        <v>4.3</v>
      </c>
      <c r="D2076" s="1">
        <v>84</v>
      </c>
      <c r="F2076" s="1">
        <v>65</v>
      </c>
      <c r="I2076" s="1">
        <v>1</v>
      </c>
      <c r="AQ2076" s="1">
        <v>1</v>
      </c>
    </row>
    <row r="2077" spans="1:63" x14ac:dyDescent="0.3">
      <c r="A2077" s="1" t="s">
        <v>43</v>
      </c>
      <c r="B2077" s="7">
        <v>40750</v>
      </c>
      <c r="C2077" s="1">
        <v>4.3</v>
      </c>
      <c r="D2077" s="1">
        <v>84</v>
      </c>
      <c r="F2077" s="1">
        <v>66</v>
      </c>
      <c r="H2077" s="1">
        <v>1</v>
      </c>
      <c r="AQ2077" s="1">
        <v>1</v>
      </c>
    </row>
    <row r="2078" spans="1:63" x14ac:dyDescent="0.3">
      <c r="A2078" s="1" t="s">
        <v>43</v>
      </c>
      <c r="B2078" s="7">
        <v>40750</v>
      </c>
      <c r="C2078" s="1">
        <v>4.3</v>
      </c>
      <c r="D2078" s="1">
        <v>84</v>
      </c>
      <c r="F2078" s="1">
        <v>67</v>
      </c>
      <c r="I2078" s="1">
        <v>1</v>
      </c>
      <c r="AQ2078" s="1">
        <v>1</v>
      </c>
    </row>
    <row r="2079" spans="1:63" x14ac:dyDescent="0.3">
      <c r="A2079" s="1" t="s">
        <v>43</v>
      </c>
      <c r="B2079" s="7">
        <v>40750</v>
      </c>
      <c r="C2079" s="1">
        <v>4.3</v>
      </c>
      <c r="D2079" s="1">
        <v>84</v>
      </c>
      <c r="F2079" s="1">
        <v>68</v>
      </c>
      <c r="I2079" s="1">
        <v>1</v>
      </c>
      <c r="V2079" s="1">
        <v>1</v>
      </c>
    </row>
    <row r="2080" spans="1:63" x14ac:dyDescent="0.3">
      <c r="A2080" s="1" t="s">
        <v>43</v>
      </c>
      <c r="B2080" s="7">
        <v>40750</v>
      </c>
      <c r="C2080" s="1">
        <v>4.3</v>
      </c>
      <c r="D2080" s="1">
        <v>84</v>
      </c>
      <c r="F2080" s="1">
        <v>69</v>
      </c>
      <c r="I2080" s="1">
        <v>1</v>
      </c>
      <c r="J2080" s="3">
        <v>0</v>
      </c>
      <c r="K2080" s="3">
        <v>1</v>
      </c>
    </row>
    <row r="2081" spans="1:63" x14ac:dyDescent="0.3">
      <c r="A2081" s="1" t="s">
        <v>43</v>
      </c>
      <c r="B2081" s="7">
        <v>40750</v>
      </c>
      <c r="C2081" s="1">
        <v>4.3</v>
      </c>
      <c r="D2081" s="1">
        <v>84</v>
      </c>
      <c r="F2081" s="1">
        <v>70</v>
      </c>
      <c r="I2081" s="1">
        <v>1</v>
      </c>
      <c r="BK2081" s="1">
        <v>1</v>
      </c>
    </row>
    <row r="2082" spans="1:63" x14ac:dyDescent="0.3">
      <c r="A2082" s="1" t="s">
        <v>43</v>
      </c>
      <c r="B2082" s="7">
        <v>40750</v>
      </c>
      <c r="C2082" s="1">
        <v>4.3</v>
      </c>
      <c r="D2082" s="1">
        <v>84</v>
      </c>
      <c r="F2082" s="1">
        <v>71</v>
      </c>
      <c r="I2082" s="1">
        <v>1</v>
      </c>
      <c r="AQ2082" s="1">
        <v>1</v>
      </c>
    </row>
    <row r="2083" spans="1:63" x14ac:dyDescent="0.3">
      <c r="A2083" s="1" t="s">
        <v>43</v>
      </c>
      <c r="B2083" s="7">
        <v>40750</v>
      </c>
      <c r="C2083" s="1">
        <v>4.3</v>
      </c>
      <c r="D2083" s="1">
        <v>84</v>
      </c>
      <c r="F2083" s="1">
        <v>72</v>
      </c>
      <c r="AQ2083" s="1">
        <v>1</v>
      </c>
    </row>
    <row r="2084" spans="1:63" x14ac:dyDescent="0.3">
      <c r="A2084" s="1" t="s">
        <v>43</v>
      </c>
      <c r="B2084" s="7">
        <v>40750</v>
      </c>
      <c r="C2084" s="1">
        <v>4.3</v>
      </c>
      <c r="D2084" s="1">
        <v>84</v>
      </c>
      <c r="F2084" s="1">
        <v>73</v>
      </c>
      <c r="AQ2084" s="1">
        <v>1</v>
      </c>
    </row>
    <row r="2085" spans="1:63" x14ac:dyDescent="0.3">
      <c r="A2085" s="1" t="s">
        <v>43</v>
      </c>
      <c r="B2085" s="7">
        <v>40750</v>
      </c>
      <c r="C2085" s="1">
        <v>4.3</v>
      </c>
      <c r="D2085" s="1">
        <v>84</v>
      </c>
      <c r="F2085" s="1">
        <v>74</v>
      </c>
      <c r="I2085" s="1">
        <v>1</v>
      </c>
      <c r="AQ2085" s="3">
        <v>0</v>
      </c>
      <c r="AR2085" s="3">
        <v>1</v>
      </c>
    </row>
    <row r="2086" spans="1:63" x14ac:dyDescent="0.3">
      <c r="A2086" s="1" t="s">
        <v>43</v>
      </c>
      <c r="B2086" s="7">
        <v>40750</v>
      </c>
      <c r="C2086" s="1">
        <v>4.3</v>
      </c>
      <c r="D2086" s="1">
        <v>84</v>
      </c>
      <c r="F2086" s="1">
        <v>75</v>
      </c>
      <c r="BK2086" s="1">
        <v>1</v>
      </c>
    </row>
    <row r="2087" spans="1:63" x14ac:dyDescent="0.3">
      <c r="A2087" s="1" t="s">
        <v>43</v>
      </c>
      <c r="B2087" s="7">
        <v>40750</v>
      </c>
      <c r="C2087" s="1">
        <v>4.3</v>
      </c>
      <c r="D2087" s="1">
        <v>84</v>
      </c>
      <c r="F2087" s="1">
        <v>76</v>
      </c>
      <c r="I2087" s="1">
        <v>1</v>
      </c>
      <c r="AQ2087" s="1">
        <v>1</v>
      </c>
    </row>
    <row r="2088" spans="1:63" x14ac:dyDescent="0.3">
      <c r="A2088" s="1" t="s">
        <v>43</v>
      </c>
      <c r="B2088" s="7">
        <v>40750</v>
      </c>
      <c r="C2088" s="1">
        <v>4.3</v>
      </c>
      <c r="D2088" s="1">
        <v>84</v>
      </c>
      <c r="F2088" s="1">
        <v>77</v>
      </c>
      <c r="AQ2088" s="1">
        <v>1</v>
      </c>
    </row>
    <row r="2089" spans="1:63" x14ac:dyDescent="0.3">
      <c r="A2089" s="1" t="s">
        <v>43</v>
      </c>
      <c r="B2089" s="7">
        <v>40750</v>
      </c>
      <c r="C2089" s="1">
        <v>4.3</v>
      </c>
      <c r="D2089" s="1">
        <v>84</v>
      </c>
      <c r="F2089" s="1">
        <v>78</v>
      </c>
      <c r="I2089" s="1">
        <v>1</v>
      </c>
      <c r="AQ2089" s="1">
        <v>1</v>
      </c>
    </row>
    <row r="2090" spans="1:63" x14ac:dyDescent="0.3">
      <c r="A2090" s="1" t="s">
        <v>43</v>
      </c>
      <c r="B2090" s="7">
        <v>40750</v>
      </c>
      <c r="C2090" s="1">
        <v>4.3</v>
      </c>
      <c r="D2090" s="1">
        <v>84</v>
      </c>
      <c r="F2090" s="1">
        <v>79</v>
      </c>
      <c r="P2090" s="1">
        <v>1</v>
      </c>
      <c r="BI2090" s="1">
        <v>1</v>
      </c>
    </row>
    <row r="2091" spans="1:63" x14ac:dyDescent="0.3">
      <c r="A2091" s="1" t="s">
        <v>43</v>
      </c>
      <c r="B2091" s="7">
        <v>40750</v>
      </c>
      <c r="C2091" s="1">
        <v>4.3</v>
      </c>
      <c r="D2091" s="1">
        <v>84</v>
      </c>
      <c r="F2091" s="1">
        <v>80</v>
      </c>
      <c r="I2091" s="1">
        <v>1</v>
      </c>
      <c r="BK2091" s="1">
        <v>1</v>
      </c>
    </row>
    <row r="2092" spans="1:63" x14ac:dyDescent="0.3">
      <c r="A2092" s="1" t="s">
        <v>43</v>
      </c>
      <c r="B2092" s="7">
        <v>40750</v>
      </c>
      <c r="C2092" s="1">
        <v>4.3</v>
      </c>
      <c r="D2092" s="1">
        <v>84</v>
      </c>
      <c r="F2092" s="1">
        <v>81</v>
      </c>
      <c r="I2092" s="1">
        <v>1</v>
      </c>
      <c r="AQ2092" s="1">
        <v>1</v>
      </c>
    </row>
    <row r="2093" spans="1:63" x14ac:dyDescent="0.3">
      <c r="A2093" s="1" t="s">
        <v>43</v>
      </c>
      <c r="B2093" s="7">
        <v>40750</v>
      </c>
      <c r="C2093" s="1">
        <v>4.3</v>
      </c>
      <c r="D2093" s="1">
        <v>84</v>
      </c>
      <c r="F2093" s="1">
        <v>82</v>
      </c>
      <c r="AQ2093" s="1">
        <v>1</v>
      </c>
    </row>
    <row r="2094" spans="1:63" x14ac:dyDescent="0.3">
      <c r="A2094" s="1" t="s">
        <v>43</v>
      </c>
      <c r="B2094" s="7">
        <v>40750</v>
      </c>
      <c r="C2094" s="1">
        <v>4.3</v>
      </c>
      <c r="D2094" s="1">
        <v>84</v>
      </c>
      <c r="F2094" s="1">
        <v>83</v>
      </c>
      <c r="I2094" s="1">
        <v>1</v>
      </c>
      <c r="L2094" s="1">
        <v>1</v>
      </c>
      <c r="AQ2094" s="1">
        <v>1</v>
      </c>
    </row>
    <row r="2095" spans="1:63" x14ac:dyDescent="0.3">
      <c r="A2095" s="1" t="s">
        <v>43</v>
      </c>
      <c r="B2095" s="7">
        <v>40750</v>
      </c>
      <c r="C2095" s="1">
        <v>4.3</v>
      </c>
      <c r="D2095" s="1">
        <v>84</v>
      </c>
      <c r="F2095" s="1">
        <v>84</v>
      </c>
      <c r="AQ2095" s="1">
        <v>1</v>
      </c>
    </row>
    <row r="2096" spans="1:63" x14ac:dyDescent="0.3">
      <c r="A2096" s="1" t="s">
        <v>43</v>
      </c>
      <c r="B2096" s="7">
        <v>40750</v>
      </c>
      <c r="C2096" s="1">
        <v>4.3</v>
      </c>
      <c r="D2096" s="1">
        <v>84</v>
      </c>
      <c r="F2096" s="1">
        <v>85</v>
      </c>
      <c r="AQ2096" s="1">
        <v>1</v>
      </c>
      <c r="BK2096" s="1">
        <v>1</v>
      </c>
    </row>
    <row r="2097" spans="1:90" x14ac:dyDescent="0.3">
      <c r="A2097" s="1" t="s">
        <v>43</v>
      </c>
      <c r="B2097" s="7">
        <v>40750</v>
      </c>
      <c r="C2097" s="1">
        <v>4.3</v>
      </c>
      <c r="D2097" s="1">
        <v>84</v>
      </c>
      <c r="F2097" s="1">
        <v>86</v>
      </c>
      <c r="AQ2097" s="1">
        <v>1</v>
      </c>
    </row>
    <row r="2098" spans="1:90" x14ac:dyDescent="0.3">
      <c r="A2098" s="1" t="s">
        <v>43</v>
      </c>
      <c r="B2098" s="7">
        <v>40750</v>
      </c>
      <c r="C2098" s="1">
        <v>4.3</v>
      </c>
      <c r="D2098" s="1">
        <v>84</v>
      </c>
      <c r="F2098" s="1">
        <v>87</v>
      </c>
      <c r="I2098" s="1">
        <v>1</v>
      </c>
    </row>
    <row r="2099" spans="1:90" x14ac:dyDescent="0.3">
      <c r="A2099" s="1" t="s">
        <v>43</v>
      </c>
      <c r="B2099" s="7">
        <v>40750</v>
      </c>
      <c r="C2099" s="1">
        <v>4.3</v>
      </c>
      <c r="D2099" s="1">
        <v>84</v>
      </c>
      <c r="F2099" s="1">
        <v>88</v>
      </c>
      <c r="J2099" s="1">
        <v>1</v>
      </c>
      <c r="AQ2099" s="1">
        <v>1</v>
      </c>
    </row>
    <row r="2100" spans="1:90" x14ac:dyDescent="0.3">
      <c r="A2100" s="1" t="s">
        <v>43</v>
      </c>
      <c r="B2100" s="7">
        <v>40750</v>
      </c>
      <c r="C2100" s="1">
        <v>4.3</v>
      </c>
      <c r="D2100" s="1">
        <v>84</v>
      </c>
      <c r="F2100" s="1">
        <v>89</v>
      </c>
    </row>
    <row r="2101" spans="1:90" x14ac:dyDescent="0.3">
      <c r="A2101" s="1" t="s">
        <v>43</v>
      </c>
      <c r="B2101" s="7">
        <v>40750</v>
      </c>
      <c r="C2101" s="1">
        <v>4.3</v>
      </c>
      <c r="D2101" s="1">
        <v>84</v>
      </c>
      <c r="F2101" s="1">
        <v>90</v>
      </c>
    </row>
    <row r="2102" spans="1:90" x14ac:dyDescent="0.3">
      <c r="A2102" s="1" t="s">
        <v>43</v>
      </c>
      <c r="B2102" s="7">
        <v>40750</v>
      </c>
      <c r="C2102" s="1">
        <v>4.3</v>
      </c>
      <c r="D2102" s="1">
        <v>84</v>
      </c>
      <c r="F2102" s="1">
        <v>91</v>
      </c>
      <c r="I2102" s="1">
        <v>1</v>
      </c>
      <c r="AQ2102" s="1">
        <v>1</v>
      </c>
    </row>
    <row r="2103" spans="1:90" x14ac:dyDescent="0.3">
      <c r="A2103" s="1" t="s">
        <v>43</v>
      </c>
      <c r="B2103" s="7">
        <v>40750</v>
      </c>
      <c r="C2103" s="1">
        <v>4.3</v>
      </c>
      <c r="D2103" s="1">
        <v>84</v>
      </c>
      <c r="F2103" s="1">
        <v>92</v>
      </c>
      <c r="I2103" s="1">
        <v>1</v>
      </c>
    </row>
    <row r="2104" spans="1:90" x14ac:dyDescent="0.3">
      <c r="A2104" s="1" t="s">
        <v>43</v>
      </c>
      <c r="B2104" s="7">
        <v>40750</v>
      </c>
      <c r="C2104" s="1">
        <v>4.3</v>
      </c>
      <c r="D2104" s="1">
        <v>84</v>
      </c>
      <c r="F2104" s="1">
        <v>93</v>
      </c>
      <c r="I2104" s="1">
        <v>1</v>
      </c>
    </row>
    <row r="2105" spans="1:90" x14ac:dyDescent="0.3">
      <c r="A2105" s="1" t="s">
        <v>43</v>
      </c>
      <c r="B2105" s="7">
        <v>40750</v>
      </c>
      <c r="C2105" s="1">
        <v>4.3</v>
      </c>
      <c r="D2105" s="1">
        <v>84</v>
      </c>
      <c r="F2105" s="1">
        <v>94</v>
      </c>
      <c r="N2105" s="1">
        <v>1</v>
      </c>
      <c r="AQ2105" s="1">
        <v>1</v>
      </c>
    </row>
    <row r="2106" spans="1:90" x14ac:dyDescent="0.3">
      <c r="A2106" s="1" t="s">
        <v>43</v>
      </c>
      <c r="B2106" s="7">
        <v>40750</v>
      </c>
      <c r="C2106" s="1">
        <v>4.3</v>
      </c>
      <c r="D2106" s="1">
        <v>84</v>
      </c>
      <c r="F2106" s="1">
        <v>95</v>
      </c>
      <c r="I2106" s="1">
        <v>1</v>
      </c>
    </row>
    <row r="2107" spans="1:90" x14ac:dyDescent="0.3">
      <c r="A2107" s="1" t="s">
        <v>43</v>
      </c>
      <c r="B2107" s="7">
        <v>40750</v>
      </c>
      <c r="C2107" s="1">
        <v>4.3</v>
      </c>
      <c r="D2107" s="1">
        <v>84</v>
      </c>
      <c r="F2107" s="1">
        <v>96</v>
      </c>
      <c r="I2107" s="1">
        <v>1</v>
      </c>
      <c r="BI2107" s="1">
        <v>1</v>
      </c>
    </row>
    <row r="2108" spans="1:90" x14ac:dyDescent="0.3">
      <c r="A2108" s="1" t="s">
        <v>43</v>
      </c>
      <c r="B2108" s="7">
        <v>40750</v>
      </c>
      <c r="C2108" s="1">
        <v>4.3</v>
      </c>
      <c r="D2108" s="1">
        <v>84</v>
      </c>
      <c r="F2108" s="1">
        <v>97</v>
      </c>
      <c r="AQ2108" s="1">
        <v>1</v>
      </c>
    </row>
    <row r="2109" spans="1:90" x14ac:dyDescent="0.3">
      <c r="A2109" s="1" t="s">
        <v>43</v>
      </c>
      <c r="B2109" s="7">
        <v>40750</v>
      </c>
      <c r="C2109" s="1">
        <v>4.3</v>
      </c>
      <c r="D2109" s="1">
        <v>84</v>
      </c>
      <c r="F2109" s="1">
        <v>98</v>
      </c>
      <c r="AQ2109" s="1">
        <v>1</v>
      </c>
    </row>
    <row r="2110" spans="1:90" x14ac:dyDescent="0.3">
      <c r="A2110" s="1" t="s">
        <v>43</v>
      </c>
      <c r="B2110" s="7">
        <v>40750</v>
      </c>
      <c r="C2110" s="1">
        <v>4.3</v>
      </c>
      <c r="D2110" s="1">
        <v>84</v>
      </c>
      <c r="F2110" s="1">
        <v>99</v>
      </c>
      <c r="I2110" s="1">
        <v>1</v>
      </c>
    </row>
    <row r="2111" spans="1:90" x14ac:dyDescent="0.3">
      <c r="A2111" s="1" t="s">
        <v>43</v>
      </c>
      <c r="B2111" s="7">
        <v>40750</v>
      </c>
      <c r="C2111" s="1">
        <v>4.3</v>
      </c>
      <c r="D2111" s="1">
        <v>84</v>
      </c>
      <c r="F2111" s="1">
        <v>100</v>
      </c>
      <c r="J2111" s="1">
        <v>1</v>
      </c>
    </row>
    <row r="2112" spans="1:90" s="12" customFormat="1" x14ac:dyDescent="0.3">
      <c r="A2112" s="16" t="s">
        <v>43</v>
      </c>
      <c r="B2112" s="13"/>
      <c r="G2112" s="12">
        <f>SUM(G2012:G2111)</f>
        <v>18</v>
      </c>
      <c r="H2112" s="12">
        <f t="shared" ref="H2112" si="774">SUM(H2012:H2111)</f>
        <v>10</v>
      </c>
      <c r="I2112" s="12">
        <f t="shared" ref="I2112" si="775">SUM(I2012:I2111)</f>
        <v>40</v>
      </c>
      <c r="J2112" s="12">
        <f t="shared" ref="J2112" si="776">SUM(J2012:J2111)</f>
        <v>11</v>
      </c>
      <c r="K2112" s="12">
        <f t="shared" ref="K2112" si="777">SUM(K2012:K2111)</f>
        <v>14</v>
      </c>
      <c r="L2112" s="12">
        <f t="shared" ref="L2112" si="778">SUM(L2012:L2111)</f>
        <v>3</v>
      </c>
      <c r="M2112" s="12">
        <f t="shared" ref="M2112" si="779">SUM(M2012:M2111)</f>
        <v>0</v>
      </c>
      <c r="N2112" s="12">
        <f t="shared" ref="N2112" si="780">SUM(N2012:N2111)</f>
        <v>4</v>
      </c>
      <c r="O2112" s="12">
        <f t="shared" ref="O2112" si="781">SUM(O2012:O2111)</f>
        <v>0</v>
      </c>
      <c r="P2112" s="12">
        <f t="shared" ref="P2112" si="782">SUM(P2012:P2111)</f>
        <v>1</v>
      </c>
      <c r="Q2112" s="12">
        <f t="shared" ref="Q2112" si="783">SUM(Q2012:Q2111)</f>
        <v>0</v>
      </c>
      <c r="R2112" s="12">
        <f t="shared" ref="R2112" si="784">SUM(R2012:R2111)</f>
        <v>0</v>
      </c>
      <c r="S2112" s="12">
        <f t="shared" ref="S2112" si="785">SUM(S2012:S2111)</f>
        <v>0</v>
      </c>
      <c r="T2112" s="12">
        <f t="shared" ref="T2112" si="786">SUM(T2012:T2111)</f>
        <v>0</v>
      </c>
      <c r="U2112" s="12">
        <f t="shared" ref="U2112" si="787">SUM(U2012:U2111)</f>
        <v>0</v>
      </c>
      <c r="V2112" s="12">
        <f t="shared" ref="V2112" si="788">SUM(V2012:V2111)</f>
        <v>3</v>
      </c>
      <c r="W2112" s="12">
        <f t="shared" ref="W2112" si="789">SUM(W2012:W2111)</f>
        <v>0</v>
      </c>
      <c r="X2112" s="12">
        <f t="shared" ref="X2112" si="790">SUM(X2012:X2111)</f>
        <v>0</v>
      </c>
      <c r="Y2112" s="12">
        <f t="shared" ref="Y2112" si="791">SUM(Y2012:Y2111)</f>
        <v>0</v>
      </c>
      <c r="Z2112" s="12">
        <f t="shared" ref="Z2112" si="792">SUM(Z2012:Z2111)</f>
        <v>0</v>
      </c>
      <c r="AA2112" s="12">
        <f t="shared" ref="AA2112" si="793">SUM(AA2012:AA2111)</f>
        <v>0</v>
      </c>
      <c r="AB2112" s="12">
        <f t="shared" ref="AB2112" si="794">SUM(AB2012:AB2111)</f>
        <v>0</v>
      </c>
      <c r="AC2112" s="12">
        <f t="shared" ref="AC2112" si="795">SUM(AC2012:AC2111)</f>
        <v>0</v>
      </c>
      <c r="AD2112" s="12">
        <f t="shared" ref="AD2112" si="796">SUM(AD2012:AD2111)</f>
        <v>0</v>
      </c>
      <c r="AE2112" s="12">
        <f t="shared" ref="AE2112" si="797">SUM(AE2012:AE2111)</f>
        <v>0</v>
      </c>
      <c r="AF2112" s="12">
        <f t="shared" ref="AF2112" si="798">SUM(AF2012:AF2111)</f>
        <v>0</v>
      </c>
      <c r="AG2112" s="12">
        <f t="shared" ref="AG2112" si="799">SUM(AG2012:AG2111)</f>
        <v>0</v>
      </c>
      <c r="AH2112" s="12">
        <f t="shared" ref="AH2112" si="800">SUM(AH2012:AH2111)</f>
        <v>0</v>
      </c>
      <c r="AI2112" s="12">
        <f t="shared" ref="AI2112" si="801">SUM(AI2012:AI2111)</f>
        <v>0</v>
      </c>
      <c r="AJ2112" s="12">
        <f t="shared" ref="AJ2112" si="802">SUM(AJ2012:AJ2111)</f>
        <v>0</v>
      </c>
      <c r="AK2112" s="12">
        <f t="shared" ref="AK2112" si="803">SUM(AK2012:AK2111)</f>
        <v>0</v>
      </c>
      <c r="AL2112" s="12">
        <f t="shared" ref="AL2112" si="804">SUM(AL2012:AL2111)</f>
        <v>0</v>
      </c>
      <c r="AM2112" s="12">
        <f t="shared" ref="AM2112" si="805">SUM(AM2012:AM2111)</f>
        <v>0</v>
      </c>
      <c r="AN2112" s="12">
        <f t="shared" ref="AN2112" si="806">SUM(AN2012:AN2111)</f>
        <v>0</v>
      </c>
      <c r="AO2112" s="12">
        <f t="shared" ref="AO2112" si="807">SUM(AO2012:AO2111)</f>
        <v>0</v>
      </c>
      <c r="AP2112" s="12">
        <f t="shared" ref="AP2112" si="808">SUM(AP2012:AP2111)</f>
        <v>0</v>
      </c>
      <c r="AQ2112" s="12">
        <f t="shared" ref="AQ2112" si="809">SUM(AQ2012:AQ2111)</f>
        <v>41</v>
      </c>
      <c r="AR2112" s="12">
        <f t="shared" ref="AR2112" si="810">SUM(AR2012:AR2111)</f>
        <v>4</v>
      </c>
      <c r="AS2112" s="12">
        <f t="shared" ref="AS2112" si="811">SUM(AS2012:AS2111)</f>
        <v>0</v>
      </c>
      <c r="AT2112" s="12">
        <f t="shared" ref="AT2112" si="812">SUM(AT2012:AT2111)</f>
        <v>0</v>
      </c>
      <c r="AU2112" s="12">
        <f t="shared" ref="AU2112" si="813">SUM(AU2012:AU2111)</f>
        <v>0</v>
      </c>
      <c r="AV2112" s="12">
        <f t="shared" ref="AV2112" si="814">SUM(AV2012:AV2111)</f>
        <v>0</v>
      </c>
      <c r="AW2112" s="12">
        <f t="shared" ref="AW2112" si="815">SUM(AW2012:AW2111)</f>
        <v>0</v>
      </c>
      <c r="AX2112" s="12">
        <f t="shared" ref="AX2112" si="816">SUM(AX2012:AX2111)</f>
        <v>0</v>
      </c>
      <c r="AY2112" s="12">
        <f t="shared" ref="AY2112" si="817">SUM(AY2012:AY2111)</f>
        <v>0</v>
      </c>
      <c r="AZ2112" s="12">
        <f t="shared" ref="AZ2112" si="818">SUM(AZ2012:AZ2111)</f>
        <v>0</v>
      </c>
      <c r="BA2112" s="12">
        <f t="shared" ref="BA2112" si="819">SUM(BA2012:BA2111)</f>
        <v>0</v>
      </c>
      <c r="BB2112" s="12">
        <f t="shared" ref="BB2112" si="820">SUM(BB2012:BB2111)</f>
        <v>0</v>
      </c>
      <c r="BC2112" s="12">
        <f t="shared" ref="BC2112" si="821">SUM(BC2012:BC2111)</f>
        <v>0</v>
      </c>
      <c r="BD2112" s="12">
        <f t="shared" ref="BD2112" si="822">SUM(BD2012:BD2111)</f>
        <v>0</v>
      </c>
      <c r="BE2112" s="12">
        <f t="shared" ref="BE2112" si="823">SUM(BE2012:BE2111)</f>
        <v>0</v>
      </c>
      <c r="BF2112" s="12">
        <f t="shared" ref="BF2112" si="824">SUM(BF2012:BF2111)</f>
        <v>0</v>
      </c>
      <c r="BG2112" s="12">
        <f t="shared" ref="BG2112" si="825">SUM(BG2012:BG2111)</f>
        <v>0</v>
      </c>
      <c r="BH2112" s="12">
        <f t="shared" ref="BH2112" si="826">SUM(BH2012:BH2111)</f>
        <v>0</v>
      </c>
      <c r="BI2112" s="12">
        <f t="shared" ref="BI2112" si="827">SUM(BI2012:BI2111)</f>
        <v>3</v>
      </c>
      <c r="BJ2112" s="12">
        <f t="shared" ref="BJ2112" si="828">SUM(BJ2012:BJ2111)</f>
        <v>0</v>
      </c>
      <c r="BK2112" s="12">
        <f t="shared" ref="BK2112" si="829">SUM(BK2012:BK2111)</f>
        <v>7</v>
      </c>
      <c r="BL2112" s="12">
        <f t="shared" ref="BL2112" si="830">SUM(BL2012:BL2111)</f>
        <v>0</v>
      </c>
      <c r="BM2112" s="12">
        <f t="shared" ref="BM2112" si="831">SUM(BM2012:BM2111)</f>
        <v>0</v>
      </c>
      <c r="BN2112" s="12">
        <f t="shared" ref="BN2112" si="832">SUM(BN2012:BN2111)</f>
        <v>0</v>
      </c>
      <c r="BO2112" s="12">
        <f t="shared" ref="BO2112" si="833">SUM(BO2012:BO2111)</f>
        <v>0</v>
      </c>
      <c r="BP2112" s="12">
        <f t="shared" ref="BP2112" si="834">SUM(BP2012:BP2111)</f>
        <v>0</v>
      </c>
      <c r="BQ2112" s="12">
        <f t="shared" ref="BQ2112" si="835">SUM(BQ2012:BQ2111)</f>
        <v>0</v>
      </c>
      <c r="BR2112" s="12">
        <f t="shared" ref="BR2112" si="836">SUM(BR2012:BR2111)</f>
        <v>0</v>
      </c>
      <c r="BS2112" s="12">
        <f t="shared" ref="BS2112" si="837">SUM(BS2012:BS2111)</f>
        <v>0</v>
      </c>
      <c r="BT2112" s="12">
        <f t="shared" ref="BT2112" si="838">SUM(BT2012:BT2111)</f>
        <v>0</v>
      </c>
      <c r="BU2112" s="12">
        <f t="shared" ref="BU2112" si="839">SUM(BU2012:BU2111)</f>
        <v>0</v>
      </c>
      <c r="BV2112" s="12">
        <f t="shared" ref="BV2112" si="840">SUM(BV2012:BV2111)</f>
        <v>0</v>
      </c>
      <c r="BW2112" s="12">
        <f t="shared" ref="BW2112" si="841">SUM(BW2012:BW2111)</f>
        <v>0</v>
      </c>
      <c r="BX2112" s="12">
        <f t="shared" ref="BX2112" si="842">SUM(BX2012:BX2111)</f>
        <v>0</v>
      </c>
      <c r="BY2112" s="12">
        <f t="shared" ref="BY2112" si="843">SUM(BY2012:BY2111)</f>
        <v>0</v>
      </c>
      <c r="BZ2112" s="12">
        <f t="shared" ref="BZ2112" si="844">SUM(BZ2012:BZ2111)</f>
        <v>0</v>
      </c>
      <c r="CA2112" s="12">
        <f t="shared" ref="CA2112" si="845">SUM(CA2012:CA2111)</f>
        <v>0</v>
      </c>
      <c r="CB2112" s="12">
        <f t="shared" ref="CB2112" si="846">SUM(CB2012:CB2111)</f>
        <v>0</v>
      </c>
      <c r="CC2112" s="12">
        <f t="shared" ref="CC2112" si="847">SUM(CC2012:CC2111)</f>
        <v>0</v>
      </c>
      <c r="CD2112" s="12">
        <f t="shared" ref="CD2112" si="848">SUM(CD2012:CD2111)</f>
        <v>0</v>
      </c>
      <c r="CE2112" s="12">
        <f t="shared" ref="CE2112" si="849">SUM(CE2012:CE2111)</f>
        <v>0</v>
      </c>
      <c r="CF2112" s="12">
        <f t="shared" ref="CF2112" si="850">SUM(CF2012:CF2111)</f>
        <v>0</v>
      </c>
      <c r="CG2112" s="12">
        <f t="shared" ref="CG2112" si="851">SUM(CG2012:CG2111)</f>
        <v>0</v>
      </c>
      <c r="CH2112" s="12">
        <f t="shared" ref="CH2112" si="852">SUM(CH2012:CH2111)</f>
        <v>0</v>
      </c>
      <c r="CI2112" s="12">
        <f t="shared" ref="CI2112" si="853">SUM(CI2012:CI2111)</f>
        <v>0</v>
      </c>
      <c r="CJ2112" s="12">
        <f t="shared" ref="CJ2112" si="854">SUM(CJ2012:CJ2111)</f>
        <v>0</v>
      </c>
      <c r="CK2112" s="12">
        <f t="shared" ref="CK2112" si="855">SUM(CK2012:CK2111)</f>
        <v>0</v>
      </c>
      <c r="CL2112" s="12">
        <f t="shared" ref="CL2112" si="856">SUM(CL2012:CL2111)</f>
        <v>0</v>
      </c>
    </row>
    <row r="2113" spans="1:27" x14ac:dyDescent="0.3">
      <c r="A2113" s="1" t="s">
        <v>45</v>
      </c>
      <c r="B2113" s="7">
        <v>40750</v>
      </c>
      <c r="C2113" s="1">
        <v>9</v>
      </c>
      <c r="D2113" s="1">
        <v>242</v>
      </c>
      <c r="F2113" s="1">
        <v>1</v>
      </c>
      <c r="L2113" s="1">
        <v>1</v>
      </c>
      <c r="R2113" s="1">
        <v>1</v>
      </c>
    </row>
    <row r="2114" spans="1:27" x14ac:dyDescent="0.3">
      <c r="A2114" s="1" t="s">
        <v>45</v>
      </c>
      <c r="B2114" s="7">
        <v>40750</v>
      </c>
      <c r="C2114" s="1">
        <v>9</v>
      </c>
      <c r="D2114" s="1">
        <v>242</v>
      </c>
      <c r="F2114" s="1">
        <v>2</v>
      </c>
      <c r="L2114" s="1">
        <v>1</v>
      </c>
      <c r="AA2114" s="1">
        <v>1</v>
      </c>
    </row>
    <row r="2115" spans="1:27" x14ac:dyDescent="0.3">
      <c r="A2115" s="1" t="s">
        <v>45</v>
      </c>
      <c r="B2115" s="7">
        <v>40750</v>
      </c>
      <c r="C2115" s="1">
        <v>9</v>
      </c>
      <c r="D2115" s="1">
        <v>242</v>
      </c>
      <c r="F2115" s="1">
        <v>3</v>
      </c>
      <c r="L2115" s="1">
        <v>1</v>
      </c>
      <c r="R2115" s="1">
        <v>1</v>
      </c>
    </row>
    <row r="2116" spans="1:27" x14ac:dyDescent="0.3">
      <c r="A2116" s="1" t="s">
        <v>45</v>
      </c>
      <c r="B2116" s="7">
        <v>40750</v>
      </c>
      <c r="C2116" s="1">
        <v>9</v>
      </c>
      <c r="D2116" s="1">
        <v>242</v>
      </c>
      <c r="F2116" s="1">
        <v>4</v>
      </c>
      <c r="H2116" s="1">
        <v>1</v>
      </c>
      <c r="L2116" s="1">
        <v>1</v>
      </c>
    </row>
    <row r="2117" spans="1:27" x14ac:dyDescent="0.3">
      <c r="A2117" s="1" t="s">
        <v>45</v>
      </c>
      <c r="B2117" s="7">
        <v>40750</v>
      </c>
      <c r="C2117" s="1">
        <v>9</v>
      </c>
      <c r="D2117" s="1">
        <v>242</v>
      </c>
      <c r="F2117" s="1">
        <v>5</v>
      </c>
      <c r="H2117" s="1">
        <v>1</v>
      </c>
    </row>
    <row r="2118" spans="1:27" x14ac:dyDescent="0.3">
      <c r="A2118" s="1" t="s">
        <v>45</v>
      </c>
      <c r="B2118" s="7">
        <v>40750</v>
      </c>
      <c r="C2118" s="1">
        <v>9</v>
      </c>
      <c r="D2118" s="1">
        <v>242</v>
      </c>
      <c r="F2118" s="1">
        <v>6</v>
      </c>
      <c r="H2118" s="1">
        <v>1</v>
      </c>
      <c r="L2118" s="8">
        <v>1</v>
      </c>
      <c r="M2118" s="8"/>
    </row>
    <row r="2119" spans="1:27" x14ac:dyDescent="0.3">
      <c r="A2119" s="1" t="s">
        <v>45</v>
      </c>
      <c r="B2119" s="7">
        <v>40750</v>
      </c>
      <c r="C2119" s="1">
        <v>9</v>
      </c>
      <c r="D2119" s="1">
        <v>242</v>
      </c>
      <c r="F2119" s="1">
        <v>7</v>
      </c>
      <c r="H2119" s="1">
        <v>1</v>
      </c>
      <c r="L2119" s="3">
        <v>0</v>
      </c>
      <c r="M2119" s="3">
        <v>1</v>
      </c>
      <c r="R2119" s="1">
        <v>1</v>
      </c>
      <c r="T2119" s="1">
        <v>1</v>
      </c>
    </row>
    <row r="2120" spans="1:27" x14ac:dyDescent="0.3">
      <c r="A2120" s="1" t="s">
        <v>45</v>
      </c>
      <c r="B2120" s="7">
        <v>40750</v>
      </c>
      <c r="C2120" s="1">
        <v>9</v>
      </c>
      <c r="D2120" s="1">
        <v>242</v>
      </c>
      <c r="F2120" s="1">
        <v>8</v>
      </c>
      <c r="L2120" s="8">
        <v>1</v>
      </c>
      <c r="M2120" s="8"/>
    </row>
    <row r="2121" spans="1:27" x14ac:dyDescent="0.3">
      <c r="A2121" s="1" t="s">
        <v>45</v>
      </c>
      <c r="B2121" s="7">
        <v>40750</v>
      </c>
      <c r="C2121" s="1">
        <v>9</v>
      </c>
      <c r="D2121" s="1">
        <v>242</v>
      </c>
      <c r="F2121" s="1">
        <v>9</v>
      </c>
      <c r="H2121" s="1">
        <v>1</v>
      </c>
      <c r="L2121" s="8">
        <v>1</v>
      </c>
      <c r="M2121" s="8"/>
    </row>
    <row r="2122" spans="1:27" x14ac:dyDescent="0.3">
      <c r="A2122" s="1" t="s">
        <v>45</v>
      </c>
      <c r="B2122" s="7">
        <v>40750</v>
      </c>
      <c r="C2122" s="1">
        <v>9</v>
      </c>
      <c r="D2122" s="1">
        <v>242</v>
      </c>
      <c r="F2122" s="1">
        <v>10</v>
      </c>
      <c r="H2122" s="1">
        <v>1</v>
      </c>
      <c r="L2122" s="8">
        <v>1</v>
      </c>
      <c r="M2122" s="8"/>
    </row>
    <row r="2123" spans="1:27" x14ac:dyDescent="0.3">
      <c r="A2123" s="1" t="s">
        <v>45</v>
      </c>
      <c r="B2123" s="7">
        <v>40750</v>
      </c>
      <c r="C2123" s="1">
        <v>9</v>
      </c>
      <c r="D2123" s="1">
        <v>242</v>
      </c>
      <c r="F2123" s="1">
        <v>11</v>
      </c>
      <c r="L2123" s="8">
        <v>1</v>
      </c>
      <c r="M2123" s="8"/>
      <c r="AA2123" s="1">
        <v>1</v>
      </c>
    </row>
    <row r="2124" spans="1:27" x14ac:dyDescent="0.3">
      <c r="A2124" s="1" t="s">
        <v>45</v>
      </c>
      <c r="B2124" s="7">
        <v>40750</v>
      </c>
      <c r="C2124" s="1">
        <v>9</v>
      </c>
      <c r="D2124" s="1">
        <v>242</v>
      </c>
      <c r="F2124" s="1">
        <v>12</v>
      </c>
      <c r="L2124" s="1">
        <v>1</v>
      </c>
      <c r="AA2124" s="1">
        <v>1</v>
      </c>
    </row>
    <row r="2125" spans="1:27" x14ac:dyDescent="0.3">
      <c r="A2125" s="1" t="s">
        <v>45</v>
      </c>
      <c r="B2125" s="7">
        <v>40750</v>
      </c>
      <c r="C2125" s="1">
        <v>9</v>
      </c>
      <c r="D2125" s="1">
        <v>242</v>
      </c>
      <c r="F2125" s="1">
        <v>13</v>
      </c>
      <c r="H2125" s="1">
        <v>1</v>
      </c>
      <c r="R2125" s="3">
        <v>0</v>
      </c>
      <c r="S2125" s="3">
        <v>1</v>
      </c>
    </row>
    <row r="2126" spans="1:27" x14ac:dyDescent="0.3">
      <c r="A2126" s="1" t="s">
        <v>45</v>
      </c>
      <c r="B2126" s="7">
        <v>40750</v>
      </c>
      <c r="C2126" s="1">
        <v>9</v>
      </c>
      <c r="D2126" s="1">
        <v>242</v>
      </c>
      <c r="F2126" s="1">
        <v>14</v>
      </c>
      <c r="I2126" s="1">
        <v>1</v>
      </c>
      <c r="R2126" s="3">
        <v>0</v>
      </c>
      <c r="S2126" s="3">
        <v>1</v>
      </c>
    </row>
    <row r="2127" spans="1:27" x14ac:dyDescent="0.3">
      <c r="A2127" s="1" t="s">
        <v>45</v>
      </c>
      <c r="B2127" s="7">
        <v>40750</v>
      </c>
      <c r="C2127" s="1">
        <v>9</v>
      </c>
      <c r="D2127" s="1">
        <v>242</v>
      </c>
      <c r="F2127" s="1">
        <v>15</v>
      </c>
      <c r="I2127" s="1">
        <v>1</v>
      </c>
      <c r="R2127" s="3">
        <v>0</v>
      </c>
      <c r="S2127" s="3">
        <v>1</v>
      </c>
    </row>
    <row r="2128" spans="1:27" x14ac:dyDescent="0.3">
      <c r="A2128" s="1" t="s">
        <v>45</v>
      </c>
      <c r="B2128" s="7">
        <v>40750</v>
      </c>
      <c r="C2128" s="1">
        <v>9</v>
      </c>
      <c r="D2128" s="1">
        <v>242</v>
      </c>
      <c r="F2128" s="1">
        <v>16</v>
      </c>
      <c r="L2128" s="8">
        <v>1</v>
      </c>
      <c r="M2128" s="8"/>
      <c r="R2128" s="3">
        <v>0</v>
      </c>
      <c r="S2128" s="3">
        <v>1</v>
      </c>
    </row>
    <row r="2129" spans="1:61" x14ac:dyDescent="0.3">
      <c r="A2129" s="1" t="s">
        <v>45</v>
      </c>
      <c r="B2129" s="7">
        <v>40750</v>
      </c>
      <c r="C2129" s="1">
        <v>9</v>
      </c>
      <c r="D2129" s="1">
        <v>242</v>
      </c>
      <c r="F2129" s="1">
        <v>17</v>
      </c>
      <c r="L2129" s="1">
        <v>1</v>
      </c>
      <c r="N2129" s="1">
        <v>1</v>
      </c>
      <c r="T2129" s="1">
        <v>1</v>
      </c>
    </row>
    <row r="2130" spans="1:61" x14ac:dyDescent="0.3">
      <c r="A2130" s="1" t="s">
        <v>45</v>
      </c>
      <c r="B2130" s="7">
        <v>40750</v>
      </c>
      <c r="C2130" s="1">
        <v>9</v>
      </c>
      <c r="D2130" s="1">
        <v>242</v>
      </c>
      <c r="F2130" s="1">
        <v>18</v>
      </c>
      <c r="N2130" s="1">
        <v>1</v>
      </c>
    </row>
    <row r="2131" spans="1:61" x14ac:dyDescent="0.3">
      <c r="A2131" s="1" t="s">
        <v>45</v>
      </c>
      <c r="B2131" s="7">
        <v>40750</v>
      </c>
      <c r="C2131" s="1">
        <v>9</v>
      </c>
      <c r="D2131" s="1">
        <v>242</v>
      </c>
      <c r="F2131" s="1">
        <v>19</v>
      </c>
      <c r="H2131" s="1">
        <v>1</v>
      </c>
      <c r="L2131" s="1">
        <v>1</v>
      </c>
      <c r="R2131" s="3">
        <v>0</v>
      </c>
      <c r="S2131" s="3">
        <v>1</v>
      </c>
    </row>
    <row r="2132" spans="1:61" x14ac:dyDescent="0.3">
      <c r="A2132" s="1" t="s">
        <v>45</v>
      </c>
      <c r="B2132" s="7">
        <v>40750</v>
      </c>
      <c r="C2132" s="1">
        <v>9</v>
      </c>
      <c r="D2132" s="1">
        <v>242</v>
      </c>
      <c r="F2132" s="1">
        <v>20</v>
      </c>
      <c r="H2132" s="1">
        <v>1</v>
      </c>
    </row>
    <row r="2133" spans="1:61" x14ac:dyDescent="0.3">
      <c r="A2133" s="1" t="s">
        <v>45</v>
      </c>
      <c r="B2133" s="7">
        <v>40750</v>
      </c>
      <c r="C2133" s="1">
        <v>9</v>
      </c>
      <c r="D2133" s="1">
        <v>242</v>
      </c>
      <c r="F2133" s="1">
        <v>21</v>
      </c>
      <c r="L2133" s="1">
        <v>1</v>
      </c>
      <c r="T2133" s="1">
        <v>1</v>
      </c>
      <c r="AA2133" s="1">
        <v>1</v>
      </c>
    </row>
    <row r="2134" spans="1:61" x14ac:dyDescent="0.3">
      <c r="A2134" s="1" t="s">
        <v>45</v>
      </c>
      <c r="B2134" s="7">
        <v>40750</v>
      </c>
      <c r="C2134" s="1">
        <v>9</v>
      </c>
      <c r="D2134" s="1">
        <v>242</v>
      </c>
      <c r="F2134" s="1">
        <v>22</v>
      </c>
      <c r="I2134" s="1">
        <v>1</v>
      </c>
      <c r="T2134" s="1">
        <v>1</v>
      </c>
      <c r="AA2134" s="1">
        <v>1</v>
      </c>
    </row>
    <row r="2135" spans="1:61" x14ac:dyDescent="0.3">
      <c r="A2135" s="1" t="s">
        <v>45</v>
      </c>
      <c r="B2135" s="7">
        <v>40750</v>
      </c>
      <c r="C2135" s="1">
        <v>9</v>
      </c>
      <c r="D2135" s="1">
        <v>242</v>
      </c>
      <c r="F2135" s="1">
        <v>23</v>
      </c>
      <c r="I2135" s="1">
        <v>1</v>
      </c>
      <c r="L2135" s="1">
        <v>1</v>
      </c>
    </row>
    <row r="2136" spans="1:61" x14ac:dyDescent="0.3">
      <c r="A2136" s="1" t="s">
        <v>45</v>
      </c>
      <c r="B2136" s="7">
        <v>40750</v>
      </c>
      <c r="C2136" s="1">
        <v>9</v>
      </c>
      <c r="D2136" s="1">
        <v>242</v>
      </c>
      <c r="F2136" s="1">
        <v>24</v>
      </c>
      <c r="I2136" s="1">
        <v>1</v>
      </c>
      <c r="N2136" s="1">
        <v>1</v>
      </c>
      <c r="BI2136" s="1">
        <v>1</v>
      </c>
    </row>
    <row r="2137" spans="1:61" x14ac:dyDescent="0.3">
      <c r="A2137" s="1" t="s">
        <v>45</v>
      </c>
      <c r="B2137" s="7">
        <v>40750</v>
      </c>
      <c r="C2137" s="1">
        <v>9</v>
      </c>
      <c r="D2137" s="1">
        <v>242</v>
      </c>
      <c r="F2137" s="1">
        <v>25</v>
      </c>
      <c r="H2137" s="1">
        <v>1</v>
      </c>
      <c r="L2137" s="1">
        <v>1</v>
      </c>
      <c r="R2137" s="3">
        <v>0</v>
      </c>
      <c r="S2137" s="3">
        <v>1</v>
      </c>
    </row>
    <row r="2138" spans="1:61" x14ac:dyDescent="0.3">
      <c r="A2138" s="1" t="s">
        <v>45</v>
      </c>
      <c r="B2138" s="7">
        <v>40750</v>
      </c>
      <c r="C2138" s="1">
        <v>9</v>
      </c>
      <c r="D2138" s="1">
        <v>242</v>
      </c>
      <c r="F2138" s="1">
        <v>26</v>
      </c>
      <c r="L2138" s="1">
        <v>1</v>
      </c>
      <c r="R2138" s="3">
        <v>0</v>
      </c>
      <c r="S2138" s="3">
        <v>1</v>
      </c>
      <c r="T2138" s="1">
        <v>1</v>
      </c>
    </row>
    <row r="2139" spans="1:61" x14ac:dyDescent="0.3">
      <c r="A2139" s="1" t="s">
        <v>45</v>
      </c>
      <c r="B2139" s="7">
        <v>40750</v>
      </c>
      <c r="C2139" s="1">
        <v>9</v>
      </c>
      <c r="D2139" s="1">
        <v>242</v>
      </c>
      <c r="F2139" s="1">
        <v>27</v>
      </c>
      <c r="H2139" s="1">
        <v>1</v>
      </c>
      <c r="R2139" s="3">
        <v>0</v>
      </c>
      <c r="S2139" s="3">
        <v>1</v>
      </c>
    </row>
    <row r="2140" spans="1:61" x14ac:dyDescent="0.3">
      <c r="A2140" s="1" t="s">
        <v>45</v>
      </c>
      <c r="B2140" s="7">
        <v>40750</v>
      </c>
      <c r="C2140" s="1">
        <v>9</v>
      </c>
      <c r="D2140" s="1">
        <v>242</v>
      </c>
      <c r="F2140" s="1">
        <v>28</v>
      </c>
      <c r="H2140" s="1">
        <v>1</v>
      </c>
    </row>
    <row r="2141" spans="1:61" x14ac:dyDescent="0.3">
      <c r="A2141" s="1" t="s">
        <v>45</v>
      </c>
      <c r="B2141" s="7">
        <v>40750</v>
      </c>
      <c r="C2141" s="1">
        <v>9</v>
      </c>
      <c r="D2141" s="1">
        <v>242</v>
      </c>
      <c r="F2141" s="1">
        <v>29</v>
      </c>
      <c r="H2141" s="1">
        <v>1</v>
      </c>
      <c r="L2141" s="3">
        <v>0</v>
      </c>
      <c r="M2141" s="3">
        <v>1</v>
      </c>
    </row>
    <row r="2142" spans="1:61" x14ac:dyDescent="0.3">
      <c r="A2142" s="1" t="s">
        <v>45</v>
      </c>
      <c r="B2142" s="7">
        <v>40750</v>
      </c>
      <c r="C2142" s="1">
        <v>9</v>
      </c>
      <c r="D2142" s="1">
        <v>242</v>
      </c>
      <c r="F2142" s="1">
        <v>30</v>
      </c>
      <c r="H2142" s="1">
        <v>1</v>
      </c>
      <c r="T2142" s="1">
        <v>1</v>
      </c>
      <c r="AD2142" s="1">
        <v>1</v>
      </c>
    </row>
    <row r="2143" spans="1:61" x14ac:dyDescent="0.3">
      <c r="A2143" s="1" t="s">
        <v>45</v>
      </c>
      <c r="B2143" s="7">
        <v>40750</v>
      </c>
      <c r="C2143" s="1">
        <v>9</v>
      </c>
      <c r="D2143" s="1">
        <v>242</v>
      </c>
      <c r="F2143" s="1">
        <v>31</v>
      </c>
      <c r="N2143" s="1">
        <v>1</v>
      </c>
      <c r="T2143" s="1">
        <v>1</v>
      </c>
    </row>
    <row r="2144" spans="1:61" x14ac:dyDescent="0.3">
      <c r="A2144" s="1" t="s">
        <v>45</v>
      </c>
      <c r="B2144" s="7">
        <v>40750</v>
      </c>
      <c r="C2144" s="1">
        <v>9</v>
      </c>
      <c r="D2144" s="1">
        <v>242</v>
      </c>
      <c r="F2144" s="1">
        <v>32</v>
      </c>
      <c r="R2144" s="1">
        <v>1</v>
      </c>
      <c r="T2144" s="1">
        <v>1</v>
      </c>
    </row>
    <row r="2145" spans="1:61" x14ac:dyDescent="0.3">
      <c r="A2145" s="1" t="s">
        <v>45</v>
      </c>
      <c r="B2145" s="7">
        <v>40750</v>
      </c>
      <c r="C2145" s="1">
        <v>9</v>
      </c>
      <c r="D2145" s="1">
        <v>242</v>
      </c>
      <c r="F2145" s="1">
        <v>33</v>
      </c>
      <c r="T2145" s="1">
        <v>1</v>
      </c>
    </row>
    <row r="2146" spans="1:61" x14ac:dyDescent="0.3">
      <c r="A2146" s="1" t="s">
        <v>45</v>
      </c>
      <c r="B2146" s="7">
        <v>40750</v>
      </c>
      <c r="C2146" s="1">
        <v>9</v>
      </c>
      <c r="D2146" s="1">
        <v>242</v>
      </c>
      <c r="F2146" s="1">
        <v>34</v>
      </c>
      <c r="T2146" s="1">
        <v>1</v>
      </c>
    </row>
    <row r="2147" spans="1:61" x14ac:dyDescent="0.3">
      <c r="A2147" s="1" t="s">
        <v>45</v>
      </c>
      <c r="B2147" s="7">
        <v>40750</v>
      </c>
      <c r="C2147" s="1">
        <v>9</v>
      </c>
      <c r="D2147" s="1">
        <v>242</v>
      </c>
      <c r="F2147" s="1">
        <v>35</v>
      </c>
      <c r="H2147" s="1">
        <v>1</v>
      </c>
      <c r="L2147" s="1">
        <v>1</v>
      </c>
    </row>
    <row r="2148" spans="1:61" x14ac:dyDescent="0.3">
      <c r="A2148" s="1" t="s">
        <v>45</v>
      </c>
      <c r="B2148" s="7">
        <v>40750</v>
      </c>
      <c r="C2148" s="1">
        <v>9</v>
      </c>
      <c r="D2148" s="1">
        <v>242</v>
      </c>
      <c r="F2148" s="1">
        <v>36</v>
      </c>
      <c r="I2148" s="1">
        <v>1</v>
      </c>
      <c r="R2148" s="3">
        <v>0</v>
      </c>
      <c r="S2148" s="3">
        <v>1</v>
      </c>
    </row>
    <row r="2149" spans="1:61" x14ac:dyDescent="0.3">
      <c r="A2149" s="1" t="s">
        <v>45</v>
      </c>
      <c r="B2149" s="7">
        <v>40750</v>
      </c>
      <c r="C2149" s="1">
        <v>9</v>
      </c>
      <c r="D2149" s="1">
        <v>242</v>
      </c>
      <c r="F2149" s="1">
        <v>37</v>
      </c>
      <c r="H2149" s="1">
        <v>1</v>
      </c>
      <c r="L2149" s="1">
        <v>1</v>
      </c>
    </row>
    <row r="2150" spans="1:61" x14ac:dyDescent="0.3">
      <c r="A2150" s="1" t="s">
        <v>45</v>
      </c>
      <c r="B2150" s="7">
        <v>40750</v>
      </c>
      <c r="C2150" s="1">
        <v>9</v>
      </c>
      <c r="D2150" s="1">
        <v>242</v>
      </c>
      <c r="F2150" s="1">
        <v>38</v>
      </c>
      <c r="H2150" s="1">
        <v>1</v>
      </c>
      <c r="I2150" s="1">
        <v>1</v>
      </c>
    </row>
    <row r="2151" spans="1:61" x14ac:dyDescent="0.3">
      <c r="A2151" s="1" t="s">
        <v>45</v>
      </c>
      <c r="B2151" s="7">
        <v>40750</v>
      </c>
      <c r="C2151" s="1">
        <v>9</v>
      </c>
      <c r="D2151" s="1">
        <v>242</v>
      </c>
      <c r="F2151" s="1">
        <v>39</v>
      </c>
      <c r="L2151" s="1">
        <v>1</v>
      </c>
      <c r="N2151" s="1">
        <v>1</v>
      </c>
    </row>
    <row r="2152" spans="1:61" x14ac:dyDescent="0.3">
      <c r="A2152" s="1" t="s">
        <v>45</v>
      </c>
      <c r="B2152" s="7">
        <v>40750</v>
      </c>
      <c r="C2152" s="1">
        <v>9</v>
      </c>
      <c r="D2152" s="1">
        <v>242</v>
      </c>
      <c r="F2152" s="1">
        <v>40</v>
      </c>
      <c r="H2152" s="1">
        <v>1</v>
      </c>
      <c r="L2152" s="1">
        <v>1</v>
      </c>
      <c r="T2152" s="1">
        <v>1</v>
      </c>
    </row>
    <row r="2153" spans="1:61" x14ac:dyDescent="0.3">
      <c r="A2153" s="1" t="s">
        <v>45</v>
      </c>
      <c r="B2153" s="7">
        <v>40750</v>
      </c>
      <c r="C2153" s="1">
        <v>9</v>
      </c>
      <c r="D2153" s="1">
        <v>242</v>
      </c>
      <c r="F2153" s="1">
        <v>41</v>
      </c>
      <c r="L2153" s="8">
        <v>1</v>
      </c>
      <c r="M2153" s="8"/>
    </row>
    <row r="2154" spans="1:61" x14ac:dyDescent="0.3">
      <c r="A2154" s="1" t="s">
        <v>45</v>
      </c>
      <c r="B2154" s="7">
        <v>40750</v>
      </c>
      <c r="C2154" s="1">
        <v>9</v>
      </c>
      <c r="D2154" s="1">
        <v>242</v>
      </c>
      <c r="F2154" s="1">
        <v>42</v>
      </c>
      <c r="T2154" s="1">
        <v>1</v>
      </c>
    </row>
    <row r="2155" spans="1:61" x14ac:dyDescent="0.3">
      <c r="A2155" s="1" t="s">
        <v>45</v>
      </c>
      <c r="B2155" s="7">
        <v>40750</v>
      </c>
      <c r="C2155" s="1">
        <v>9</v>
      </c>
      <c r="D2155" s="1">
        <v>242</v>
      </c>
      <c r="F2155" s="1">
        <v>43</v>
      </c>
      <c r="R2155" s="1">
        <v>1</v>
      </c>
      <c r="T2155" s="1">
        <v>1</v>
      </c>
      <c r="BI2155" s="1">
        <v>1</v>
      </c>
    </row>
    <row r="2156" spans="1:61" x14ac:dyDescent="0.3">
      <c r="A2156" s="1" t="s">
        <v>45</v>
      </c>
      <c r="B2156" s="7">
        <v>40750</v>
      </c>
      <c r="C2156" s="1">
        <v>9</v>
      </c>
      <c r="D2156" s="1">
        <v>242</v>
      </c>
      <c r="F2156" s="1">
        <v>44</v>
      </c>
      <c r="L2156" s="1">
        <v>1</v>
      </c>
    </row>
    <row r="2157" spans="1:61" x14ac:dyDescent="0.3">
      <c r="A2157" s="1" t="s">
        <v>45</v>
      </c>
      <c r="B2157" s="7">
        <v>40750</v>
      </c>
      <c r="C2157" s="1">
        <v>9</v>
      </c>
      <c r="D2157" s="1">
        <v>242</v>
      </c>
      <c r="F2157" s="1">
        <v>45</v>
      </c>
      <c r="I2157" s="1">
        <v>1</v>
      </c>
      <c r="T2157" s="1">
        <v>1</v>
      </c>
    </row>
    <row r="2158" spans="1:61" x14ac:dyDescent="0.3">
      <c r="A2158" s="1" t="s">
        <v>45</v>
      </c>
      <c r="B2158" s="7">
        <v>40750</v>
      </c>
      <c r="C2158" s="1">
        <v>9</v>
      </c>
      <c r="D2158" s="1">
        <v>242</v>
      </c>
      <c r="F2158" s="1">
        <v>46</v>
      </c>
      <c r="N2158" s="1">
        <v>1</v>
      </c>
    </row>
    <row r="2159" spans="1:61" x14ac:dyDescent="0.3">
      <c r="A2159" s="1" t="s">
        <v>45</v>
      </c>
      <c r="B2159" s="7">
        <v>40750</v>
      </c>
      <c r="C2159" s="1">
        <v>9</v>
      </c>
      <c r="D2159" s="1">
        <v>242</v>
      </c>
      <c r="F2159" s="1">
        <v>47</v>
      </c>
      <c r="J2159" s="3">
        <v>0</v>
      </c>
      <c r="K2159" s="3">
        <v>1</v>
      </c>
      <c r="N2159" s="8">
        <v>1</v>
      </c>
      <c r="O2159" s="8"/>
    </row>
    <row r="2160" spans="1:61" x14ac:dyDescent="0.3">
      <c r="A2160" s="1" t="s">
        <v>45</v>
      </c>
      <c r="B2160" s="7">
        <v>40750</v>
      </c>
      <c r="C2160" s="1">
        <v>9</v>
      </c>
      <c r="D2160" s="1">
        <v>242</v>
      </c>
      <c r="F2160" s="1">
        <v>48</v>
      </c>
      <c r="H2160" s="1">
        <v>1</v>
      </c>
      <c r="N2160" s="1">
        <v>1</v>
      </c>
    </row>
    <row r="2161" spans="1:32" x14ac:dyDescent="0.3">
      <c r="A2161" s="1" t="s">
        <v>45</v>
      </c>
      <c r="B2161" s="7">
        <v>40750</v>
      </c>
      <c r="C2161" s="1">
        <v>9</v>
      </c>
      <c r="D2161" s="1">
        <v>242</v>
      </c>
      <c r="F2161" s="1">
        <v>49</v>
      </c>
      <c r="H2161" s="1">
        <v>1</v>
      </c>
      <c r="L2161" s="1">
        <v>1</v>
      </c>
    </row>
    <row r="2162" spans="1:32" x14ac:dyDescent="0.3">
      <c r="A2162" s="1" t="s">
        <v>45</v>
      </c>
      <c r="B2162" s="7">
        <v>40750</v>
      </c>
      <c r="C2162" s="1">
        <v>9</v>
      </c>
      <c r="D2162" s="1">
        <v>242</v>
      </c>
      <c r="F2162" s="1">
        <v>50</v>
      </c>
      <c r="L2162" s="1">
        <v>1</v>
      </c>
      <c r="V2162" s="1">
        <v>1</v>
      </c>
    </row>
    <row r="2163" spans="1:32" x14ac:dyDescent="0.3">
      <c r="A2163" s="1" t="s">
        <v>45</v>
      </c>
      <c r="B2163" s="7">
        <v>40750</v>
      </c>
      <c r="C2163" s="1">
        <v>9</v>
      </c>
      <c r="D2163" s="1">
        <v>242</v>
      </c>
      <c r="F2163" s="1">
        <v>51</v>
      </c>
      <c r="L2163" s="8">
        <v>1</v>
      </c>
      <c r="M2163" s="8"/>
      <c r="T2163" s="1">
        <v>1</v>
      </c>
    </row>
    <row r="2164" spans="1:32" x14ac:dyDescent="0.3">
      <c r="A2164" s="1" t="s">
        <v>45</v>
      </c>
      <c r="B2164" s="7">
        <v>40750</v>
      </c>
      <c r="C2164" s="1">
        <v>9</v>
      </c>
      <c r="D2164" s="1">
        <v>242</v>
      </c>
      <c r="F2164" s="1">
        <v>52</v>
      </c>
      <c r="T2164" s="1">
        <v>1</v>
      </c>
    </row>
    <row r="2165" spans="1:32" x14ac:dyDescent="0.3">
      <c r="A2165" s="1" t="s">
        <v>45</v>
      </c>
      <c r="B2165" s="7">
        <v>40750</v>
      </c>
      <c r="C2165" s="1">
        <v>9</v>
      </c>
      <c r="D2165" s="1">
        <v>242</v>
      </c>
      <c r="F2165" s="1">
        <v>53</v>
      </c>
      <c r="N2165" s="1">
        <v>1</v>
      </c>
    </row>
    <row r="2166" spans="1:32" x14ac:dyDescent="0.3">
      <c r="A2166" s="1" t="s">
        <v>45</v>
      </c>
      <c r="B2166" s="7">
        <v>40750</v>
      </c>
      <c r="C2166" s="1">
        <v>9</v>
      </c>
      <c r="D2166" s="1">
        <v>242</v>
      </c>
      <c r="F2166" s="1">
        <v>54</v>
      </c>
      <c r="I2166" s="1">
        <v>1</v>
      </c>
    </row>
    <row r="2167" spans="1:32" x14ac:dyDescent="0.3">
      <c r="A2167" s="1" t="s">
        <v>45</v>
      </c>
      <c r="B2167" s="7">
        <v>40750</v>
      </c>
      <c r="C2167" s="1">
        <v>9</v>
      </c>
      <c r="D2167" s="1">
        <v>242</v>
      </c>
      <c r="F2167" s="1">
        <v>55</v>
      </c>
      <c r="I2167" s="1">
        <v>1</v>
      </c>
      <c r="L2167" s="8">
        <v>1</v>
      </c>
      <c r="M2167" s="8"/>
    </row>
    <row r="2168" spans="1:32" x14ac:dyDescent="0.3">
      <c r="A2168" s="1" t="s">
        <v>45</v>
      </c>
      <c r="B2168" s="7">
        <v>40750</v>
      </c>
      <c r="C2168" s="1">
        <v>9</v>
      </c>
      <c r="D2168" s="1">
        <v>242</v>
      </c>
      <c r="F2168" s="1">
        <v>56</v>
      </c>
      <c r="H2168" s="1">
        <v>1</v>
      </c>
      <c r="AD2168" s="1">
        <v>1</v>
      </c>
    </row>
    <row r="2169" spans="1:32" x14ac:dyDescent="0.3">
      <c r="A2169" s="1" t="s">
        <v>45</v>
      </c>
      <c r="B2169" s="7">
        <v>40750</v>
      </c>
      <c r="C2169" s="1">
        <v>9</v>
      </c>
      <c r="D2169" s="1">
        <v>242</v>
      </c>
      <c r="F2169" s="1">
        <v>57</v>
      </c>
      <c r="H2169" s="1">
        <v>1</v>
      </c>
      <c r="L2169" s="8">
        <v>1</v>
      </c>
      <c r="M2169" s="8"/>
      <c r="R2169" s="3">
        <v>0</v>
      </c>
      <c r="S2169" s="3">
        <v>1</v>
      </c>
    </row>
    <row r="2170" spans="1:32" x14ac:dyDescent="0.3">
      <c r="A2170" s="1" t="s">
        <v>45</v>
      </c>
      <c r="B2170" s="7">
        <v>40750</v>
      </c>
      <c r="C2170" s="1">
        <v>9</v>
      </c>
      <c r="D2170" s="1">
        <v>242</v>
      </c>
      <c r="F2170" s="1">
        <v>58</v>
      </c>
      <c r="J2170" s="1">
        <v>1</v>
      </c>
    </row>
    <row r="2171" spans="1:32" x14ac:dyDescent="0.3">
      <c r="A2171" s="1" t="s">
        <v>45</v>
      </c>
      <c r="B2171" s="7">
        <v>40750</v>
      </c>
      <c r="C2171" s="1">
        <v>9</v>
      </c>
      <c r="D2171" s="1">
        <v>242</v>
      </c>
      <c r="F2171" s="1">
        <v>59</v>
      </c>
      <c r="AF2171" s="1">
        <v>1</v>
      </c>
    </row>
    <row r="2172" spans="1:32" x14ac:dyDescent="0.3">
      <c r="A2172" s="1" t="s">
        <v>45</v>
      </c>
      <c r="B2172" s="7">
        <v>40750</v>
      </c>
      <c r="C2172" s="1">
        <v>9</v>
      </c>
      <c r="D2172" s="1">
        <v>242</v>
      </c>
      <c r="F2172" s="1">
        <v>60</v>
      </c>
      <c r="H2172" s="1">
        <v>1</v>
      </c>
      <c r="L2172" s="8">
        <v>1</v>
      </c>
      <c r="M2172" s="8"/>
      <c r="V2172" s="1">
        <v>1</v>
      </c>
    </row>
    <row r="2173" spans="1:32" x14ac:dyDescent="0.3">
      <c r="A2173" s="1" t="s">
        <v>45</v>
      </c>
      <c r="B2173" s="7">
        <v>40750</v>
      </c>
      <c r="C2173" s="1">
        <v>9</v>
      </c>
      <c r="D2173" s="1">
        <v>242</v>
      </c>
      <c r="F2173" s="1">
        <v>61</v>
      </c>
      <c r="H2173" s="1">
        <v>1</v>
      </c>
      <c r="L2173" s="1">
        <v>1</v>
      </c>
    </row>
    <row r="2174" spans="1:32" x14ac:dyDescent="0.3">
      <c r="A2174" s="1" t="s">
        <v>45</v>
      </c>
      <c r="B2174" s="7">
        <v>40750</v>
      </c>
      <c r="C2174" s="1">
        <v>9</v>
      </c>
      <c r="D2174" s="1">
        <v>242</v>
      </c>
      <c r="F2174" s="1">
        <v>62</v>
      </c>
      <c r="I2174" s="1">
        <v>1</v>
      </c>
      <c r="T2174" s="1">
        <v>1</v>
      </c>
    </row>
    <row r="2175" spans="1:32" x14ac:dyDescent="0.3">
      <c r="A2175" s="1" t="s">
        <v>45</v>
      </c>
      <c r="B2175" s="7">
        <v>40750</v>
      </c>
      <c r="C2175" s="1">
        <v>9</v>
      </c>
      <c r="D2175" s="1">
        <v>242</v>
      </c>
      <c r="F2175" s="1">
        <v>63</v>
      </c>
      <c r="I2175" s="1">
        <v>1</v>
      </c>
    </row>
    <row r="2176" spans="1:32" x14ac:dyDescent="0.3">
      <c r="A2176" s="1" t="s">
        <v>45</v>
      </c>
      <c r="B2176" s="7">
        <v>40750</v>
      </c>
      <c r="C2176" s="1">
        <v>9</v>
      </c>
      <c r="D2176" s="1">
        <v>242</v>
      </c>
      <c r="F2176" s="1">
        <v>64</v>
      </c>
      <c r="I2176" s="1">
        <v>1</v>
      </c>
      <c r="L2176" s="1">
        <v>1</v>
      </c>
    </row>
    <row r="2177" spans="1:30" x14ac:dyDescent="0.3">
      <c r="A2177" s="1" t="s">
        <v>45</v>
      </c>
      <c r="B2177" s="7">
        <v>40750</v>
      </c>
      <c r="C2177" s="1">
        <v>9</v>
      </c>
      <c r="D2177" s="1">
        <v>242</v>
      </c>
      <c r="F2177" s="1">
        <v>65</v>
      </c>
      <c r="I2177" s="1">
        <v>1</v>
      </c>
      <c r="L2177" s="1">
        <v>1</v>
      </c>
    </row>
    <row r="2178" spans="1:30" x14ac:dyDescent="0.3">
      <c r="A2178" s="1" t="s">
        <v>45</v>
      </c>
      <c r="B2178" s="7">
        <v>40750</v>
      </c>
      <c r="C2178" s="1">
        <v>9</v>
      </c>
      <c r="D2178" s="1">
        <v>242</v>
      </c>
      <c r="F2178" s="1">
        <v>66</v>
      </c>
      <c r="H2178" s="1">
        <v>1</v>
      </c>
    </row>
    <row r="2179" spans="1:30" x14ac:dyDescent="0.3">
      <c r="A2179" s="1" t="s">
        <v>45</v>
      </c>
      <c r="B2179" s="7">
        <v>40750</v>
      </c>
      <c r="C2179" s="1">
        <v>9</v>
      </c>
      <c r="D2179" s="1">
        <v>242</v>
      </c>
      <c r="F2179" s="1">
        <v>67</v>
      </c>
      <c r="H2179" s="1">
        <v>1</v>
      </c>
      <c r="J2179" s="1">
        <v>1</v>
      </c>
    </row>
    <row r="2180" spans="1:30" x14ac:dyDescent="0.3">
      <c r="A2180" s="1" t="s">
        <v>45</v>
      </c>
      <c r="B2180" s="7">
        <v>40750</v>
      </c>
      <c r="C2180" s="1">
        <v>9</v>
      </c>
      <c r="D2180" s="1">
        <v>242</v>
      </c>
      <c r="F2180" s="1">
        <v>68</v>
      </c>
      <c r="J2180" s="1">
        <v>1</v>
      </c>
      <c r="L2180" s="1">
        <v>1</v>
      </c>
    </row>
    <row r="2181" spans="1:30" x14ac:dyDescent="0.3">
      <c r="A2181" s="1" t="s">
        <v>45</v>
      </c>
      <c r="B2181" s="7">
        <v>40750</v>
      </c>
      <c r="C2181" s="1">
        <v>9</v>
      </c>
      <c r="D2181" s="1">
        <v>242</v>
      </c>
      <c r="F2181" s="1">
        <v>69</v>
      </c>
      <c r="J2181" s="1">
        <v>1</v>
      </c>
      <c r="L2181" s="1">
        <v>1</v>
      </c>
    </row>
    <row r="2182" spans="1:30" x14ac:dyDescent="0.3">
      <c r="A2182" s="1" t="s">
        <v>45</v>
      </c>
      <c r="B2182" s="7">
        <v>40750</v>
      </c>
      <c r="C2182" s="1">
        <v>9</v>
      </c>
      <c r="D2182" s="1">
        <v>242</v>
      </c>
      <c r="F2182" s="1">
        <v>70</v>
      </c>
      <c r="T2182" s="1">
        <v>1</v>
      </c>
      <c r="AD2182" s="1">
        <v>1</v>
      </c>
    </row>
    <row r="2183" spans="1:30" x14ac:dyDescent="0.3">
      <c r="A2183" s="1" t="s">
        <v>45</v>
      </c>
      <c r="B2183" s="7">
        <v>40750</v>
      </c>
      <c r="C2183" s="1">
        <v>9</v>
      </c>
      <c r="D2183" s="1">
        <v>242</v>
      </c>
      <c r="F2183" s="1">
        <v>71</v>
      </c>
      <c r="L2183" s="1">
        <v>1</v>
      </c>
      <c r="T2183" s="1">
        <v>1</v>
      </c>
    </row>
    <row r="2184" spans="1:30" x14ac:dyDescent="0.3">
      <c r="A2184" s="1" t="s">
        <v>45</v>
      </c>
      <c r="B2184" s="7">
        <v>40750</v>
      </c>
      <c r="C2184" s="1">
        <v>9</v>
      </c>
      <c r="D2184" s="1">
        <v>242</v>
      </c>
      <c r="F2184" s="1">
        <v>72</v>
      </c>
      <c r="I2184" s="1">
        <v>1</v>
      </c>
      <c r="T2184" s="1">
        <v>1</v>
      </c>
    </row>
    <row r="2185" spans="1:30" x14ac:dyDescent="0.3">
      <c r="A2185" s="1" t="s">
        <v>45</v>
      </c>
      <c r="B2185" s="7">
        <v>40750</v>
      </c>
      <c r="C2185" s="1">
        <v>9</v>
      </c>
      <c r="D2185" s="1">
        <v>242</v>
      </c>
      <c r="F2185" s="1">
        <v>73</v>
      </c>
      <c r="I2185" s="1">
        <v>1</v>
      </c>
      <c r="T2185" s="1">
        <v>1</v>
      </c>
    </row>
    <row r="2186" spans="1:30" x14ac:dyDescent="0.3">
      <c r="A2186" s="1" t="s">
        <v>45</v>
      </c>
      <c r="B2186" s="7">
        <v>40750</v>
      </c>
      <c r="C2186" s="1">
        <v>9</v>
      </c>
      <c r="D2186" s="1">
        <v>242</v>
      </c>
      <c r="F2186" s="1">
        <v>74</v>
      </c>
      <c r="H2186" s="1">
        <v>1</v>
      </c>
      <c r="I2186" s="1">
        <v>1</v>
      </c>
    </row>
    <row r="2187" spans="1:30" x14ac:dyDescent="0.3">
      <c r="A2187" s="1" t="s">
        <v>45</v>
      </c>
      <c r="B2187" s="7">
        <v>40750</v>
      </c>
      <c r="C2187" s="1">
        <v>9</v>
      </c>
      <c r="D2187" s="1">
        <v>242</v>
      </c>
      <c r="F2187" s="1">
        <v>75</v>
      </c>
      <c r="H2187" s="1">
        <v>1</v>
      </c>
    </row>
    <row r="2188" spans="1:30" x14ac:dyDescent="0.3">
      <c r="A2188" s="1" t="s">
        <v>45</v>
      </c>
      <c r="B2188" s="7">
        <v>40750</v>
      </c>
      <c r="C2188" s="1">
        <v>9</v>
      </c>
      <c r="D2188" s="1">
        <v>242</v>
      </c>
      <c r="F2188" s="1">
        <v>76</v>
      </c>
      <c r="J2188" s="1">
        <v>1</v>
      </c>
      <c r="L2188" s="1">
        <v>1</v>
      </c>
    </row>
    <row r="2189" spans="1:30" x14ac:dyDescent="0.3">
      <c r="A2189" s="1" t="s">
        <v>45</v>
      </c>
      <c r="B2189" s="7">
        <v>40750</v>
      </c>
      <c r="C2189" s="1">
        <v>9</v>
      </c>
      <c r="D2189" s="1">
        <v>242</v>
      </c>
      <c r="F2189" s="1">
        <v>77</v>
      </c>
      <c r="J2189" s="1">
        <v>1</v>
      </c>
      <c r="N2189" s="1">
        <v>1</v>
      </c>
    </row>
    <row r="2190" spans="1:30" x14ac:dyDescent="0.3">
      <c r="A2190" s="1" t="s">
        <v>45</v>
      </c>
      <c r="B2190" s="7">
        <v>40750</v>
      </c>
      <c r="C2190" s="1">
        <v>9</v>
      </c>
      <c r="D2190" s="1">
        <v>242</v>
      </c>
      <c r="F2190" s="1">
        <v>78</v>
      </c>
      <c r="J2190" s="1">
        <v>1</v>
      </c>
      <c r="T2190" s="1">
        <v>1</v>
      </c>
    </row>
    <row r="2191" spans="1:30" x14ac:dyDescent="0.3">
      <c r="A2191" s="1" t="s">
        <v>45</v>
      </c>
      <c r="B2191" s="7">
        <v>40750</v>
      </c>
      <c r="C2191" s="1">
        <v>9</v>
      </c>
      <c r="D2191" s="1">
        <v>242</v>
      </c>
      <c r="F2191" s="1">
        <v>79</v>
      </c>
      <c r="H2191" s="1">
        <v>1</v>
      </c>
      <c r="J2191" s="3">
        <v>0</v>
      </c>
      <c r="K2191" s="3">
        <v>1</v>
      </c>
    </row>
    <row r="2192" spans="1:30" x14ac:dyDescent="0.3">
      <c r="A2192" s="1" t="s">
        <v>45</v>
      </c>
      <c r="B2192" s="7">
        <v>40750</v>
      </c>
      <c r="C2192" s="1">
        <v>9</v>
      </c>
      <c r="D2192" s="1">
        <v>242</v>
      </c>
      <c r="F2192" s="1">
        <v>80</v>
      </c>
      <c r="H2192" s="1">
        <v>1</v>
      </c>
      <c r="AD2192" s="1">
        <v>1</v>
      </c>
    </row>
    <row r="2193" spans="1:31" x14ac:dyDescent="0.3">
      <c r="A2193" s="1" t="s">
        <v>45</v>
      </c>
      <c r="B2193" s="7">
        <v>40750</v>
      </c>
      <c r="C2193" s="1">
        <v>9</v>
      </c>
      <c r="D2193" s="1">
        <v>242</v>
      </c>
      <c r="F2193" s="1">
        <v>81</v>
      </c>
      <c r="N2193" s="1">
        <v>1</v>
      </c>
      <c r="T2193" s="1">
        <v>1</v>
      </c>
    </row>
    <row r="2194" spans="1:31" x14ac:dyDescent="0.3">
      <c r="A2194" s="1" t="s">
        <v>45</v>
      </c>
      <c r="B2194" s="7">
        <v>40750</v>
      </c>
      <c r="C2194" s="1">
        <v>9</v>
      </c>
      <c r="D2194" s="1">
        <v>242</v>
      </c>
      <c r="F2194" s="1">
        <v>82</v>
      </c>
      <c r="L2194" s="1">
        <v>1</v>
      </c>
      <c r="T2194" s="1">
        <v>1</v>
      </c>
    </row>
    <row r="2195" spans="1:31" x14ac:dyDescent="0.3">
      <c r="A2195" s="1" t="s">
        <v>45</v>
      </c>
      <c r="B2195" s="7">
        <v>40750</v>
      </c>
      <c r="C2195" s="1">
        <v>9</v>
      </c>
      <c r="D2195" s="1">
        <v>242</v>
      </c>
      <c r="F2195" s="1">
        <v>83</v>
      </c>
      <c r="I2195" s="1">
        <v>1</v>
      </c>
      <c r="L2195" s="1">
        <v>1</v>
      </c>
    </row>
    <row r="2196" spans="1:31" x14ac:dyDescent="0.3">
      <c r="A2196" s="1" t="s">
        <v>45</v>
      </c>
      <c r="B2196" s="7">
        <v>40750</v>
      </c>
      <c r="C2196" s="1">
        <v>9</v>
      </c>
      <c r="D2196" s="1">
        <v>242</v>
      </c>
      <c r="F2196" s="1">
        <v>84</v>
      </c>
      <c r="T2196" s="1">
        <v>1</v>
      </c>
    </row>
    <row r="2197" spans="1:31" x14ac:dyDescent="0.3">
      <c r="A2197" s="1" t="s">
        <v>45</v>
      </c>
      <c r="B2197" s="7">
        <v>40750</v>
      </c>
      <c r="C2197" s="1">
        <v>9</v>
      </c>
      <c r="D2197" s="1">
        <v>242</v>
      </c>
      <c r="F2197" s="1">
        <v>85</v>
      </c>
      <c r="H2197" s="1">
        <v>1</v>
      </c>
      <c r="I2197" s="1">
        <v>1</v>
      </c>
    </row>
    <row r="2198" spans="1:31" x14ac:dyDescent="0.3">
      <c r="A2198" s="1" t="s">
        <v>45</v>
      </c>
      <c r="B2198" s="7">
        <v>40750</v>
      </c>
      <c r="C2198" s="1">
        <v>9</v>
      </c>
      <c r="D2198" s="1">
        <v>242</v>
      </c>
      <c r="F2198" s="1">
        <v>86</v>
      </c>
      <c r="J2198" s="1">
        <v>1</v>
      </c>
    </row>
    <row r="2199" spans="1:31" x14ac:dyDescent="0.3">
      <c r="A2199" s="1" t="s">
        <v>45</v>
      </c>
      <c r="B2199" s="7">
        <v>40750</v>
      </c>
      <c r="C2199" s="1">
        <v>9</v>
      </c>
      <c r="D2199" s="1">
        <v>242</v>
      </c>
      <c r="F2199" s="1">
        <v>87</v>
      </c>
      <c r="J2199" s="1">
        <v>1</v>
      </c>
      <c r="AD2199" s="1">
        <v>1</v>
      </c>
    </row>
    <row r="2200" spans="1:31" x14ac:dyDescent="0.3">
      <c r="A2200" s="1" t="s">
        <v>45</v>
      </c>
      <c r="B2200" s="7">
        <v>40750</v>
      </c>
      <c r="C2200" s="1">
        <v>9</v>
      </c>
      <c r="D2200" s="1">
        <v>242</v>
      </c>
      <c r="F2200" s="1">
        <v>88</v>
      </c>
      <c r="J2200" s="1">
        <v>1</v>
      </c>
      <c r="L2200" s="1">
        <v>1</v>
      </c>
      <c r="AD2200" s="8">
        <v>1</v>
      </c>
      <c r="AE2200" s="8"/>
    </row>
    <row r="2201" spans="1:31" x14ac:dyDescent="0.3">
      <c r="A2201" s="1" t="s">
        <v>45</v>
      </c>
      <c r="B2201" s="7">
        <v>40750</v>
      </c>
      <c r="C2201" s="1">
        <v>9</v>
      </c>
      <c r="D2201" s="1">
        <v>242</v>
      </c>
      <c r="F2201" s="1">
        <v>89</v>
      </c>
      <c r="L2201" s="1">
        <v>1</v>
      </c>
    </row>
    <row r="2202" spans="1:31" x14ac:dyDescent="0.3">
      <c r="A2202" s="1" t="s">
        <v>45</v>
      </c>
      <c r="B2202" s="7">
        <v>40750</v>
      </c>
      <c r="C2202" s="1">
        <v>9</v>
      </c>
      <c r="D2202" s="1">
        <v>242</v>
      </c>
      <c r="F2202" s="1">
        <v>90</v>
      </c>
      <c r="H2202" s="1">
        <v>1</v>
      </c>
      <c r="R2202" s="3">
        <v>0</v>
      </c>
      <c r="S2202" s="3">
        <v>1</v>
      </c>
      <c r="T2202" s="1">
        <v>1</v>
      </c>
    </row>
    <row r="2203" spans="1:31" x14ac:dyDescent="0.3">
      <c r="A2203" s="1" t="s">
        <v>45</v>
      </c>
      <c r="B2203" s="7">
        <v>40750</v>
      </c>
      <c r="C2203" s="1">
        <v>9</v>
      </c>
      <c r="D2203" s="1">
        <v>242</v>
      </c>
      <c r="F2203" s="1">
        <v>91</v>
      </c>
      <c r="H2203" s="1">
        <v>1</v>
      </c>
      <c r="I2203" s="1">
        <v>1</v>
      </c>
    </row>
    <row r="2204" spans="1:31" x14ac:dyDescent="0.3">
      <c r="A2204" s="1" t="s">
        <v>45</v>
      </c>
      <c r="B2204" s="7">
        <v>40750</v>
      </c>
      <c r="C2204" s="1">
        <v>9</v>
      </c>
      <c r="D2204" s="1">
        <v>242</v>
      </c>
      <c r="F2204" s="1">
        <v>92</v>
      </c>
      <c r="L2204" s="1">
        <v>1</v>
      </c>
      <c r="R2204" s="3">
        <v>0</v>
      </c>
      <c r="S2204" s="3">
        <v>1</v>
      </c>
      <c r="T2204" s="1">
        <v>1</v>
      </c>
    </row>
    <row r="2205" spans="1:31" x14ac:dyDescent="0.3">
      <c r="A2205" s="1" t="s">
        <v>45</v>
      </c>
      <c r="B2205" s="7">
        <v>40750</v>
      </c>
      <c r="C2205" s="1">
        <v>9</v>
      </c>
      <c r="D2205" s="1">
        <v>242</v>
      </c>
      <c r="F2205" s="1">
        <v>93</v>
      </c>
      <c r="H2205" s="1">
        <v>1</v>
      </c>
      <c r="L2205" s="1">
        <v>1</v>
      </c>
      <c r="T2205" s="1">
        <v>1</v>
      </c>
    </row>
    <row r="2206" spans="1:31" x14ac:dyDescent="0.3">
      <c r="A2206" s="1" t="s">
        <v>45</v>
      </c>
      <c r="B2206" s="7">
        <v>40750</v>
      </c>
      <c r="C2206" s="1">
        <v>9</v>
      </c>
      <c r="D2206" s="1">
        <v>242</v>
      </c>
      <c r="F2206" s="1">
        <v>94</v>
      </c>
      <c r="H2206" s="1">
        <v>1</v>
      </c>
      <c r="L2206" s="1">
        <v>1</v>
      </c>
      <c r="T2206" s="1">
        <v>1</v>
      </c>
    </row>
    <row r="2207" spans="1:31" x14ac:dyDescent="0.3">
      <c r="A2207" s="1" t="s">
        <v>45</v>
      </c>
      <c r="B2207" s="7">
        <v>40750</v>
      </c>
      <c r="C2207" s="1">
        <v>9</v>
      </c>
      <c r="D2207" s="1">
        <v>242</v>
      </c>
      <c r="F2207" s="1">
        <v>95</v>
      </c>
      <c r="L2207" s="1">
        <v>1</v>
      </c>
      <c r="N2207" s="1">
        <v>1</v>
      </c>
      <c r="T2207" s="1">
        <v>1</v>
      </c>
    </row>
    <row r="2208" spans="1:31" x14ac:dyDescent="0.3">
      <c r="A2208" s="1" t="s">
        <v>45</v>
      </c>
      <c r="B2208" s="7">
        <v>40750</v>
      </c>
      <c r="C2208" s="1">
        <v>9</v>
      </c>
      <c r="D2208" s="1">
        <v>242</v>
      </c>
      <c r="F2208" s="1">
        <v>96</v>
      </c>
      <c r="L2208" s="1">
        <v>1</v>
      </c>
      <c r="R2208" s="3">
        <v>0</v>
      </c>
      <c r="S2208" s="3">
        <v>1</v>
      </c>
      <c r="T2208" s="1">
        <v>1</v>
      </c>
    </row>
    <row r="2209" spans="1:90" x14ac:dyDescent="0.3">
      <c r="A2209" s="1" t="s">
        <v>45</v>
      </c>
      <c r="B2209" s="7">
        <v>40750</v>
      </c>
      <c r="C2209" s="1">
        <v>9</v>
      </c>
      <c r="D2209" s="1">
        <v>242</v>
      </c>
      <c r="F2209" s="1">
        <v>97</v>
      </c>
      <c r="L2209" s="1">
        <v>1</v>
      </c>
      <c r="V2209" s="1">
        <v>1</v>
      </c>
    </row>
    <row r="2210" spans="1:90" x14ac:dyDescent="0.3">
      <c r="A2210" s="1" t="s">
        <v>45</v>
      </c>
      <c r="B2210" s="7">
        <v>40750</v>
      </c>
      <c r="C2210" s="1">
        <v>9</v>
      </c>
      <c r="D2210" s="1">
        <v>242</v>
      </c>
      <c r="F2210" s="1">
        <v>98</v>
      </c>
      <c r="I2210" s="1">
        <v>1</v>
      </c>
      <c r="T2210" s="1">
        <v>1</v>
      </c>
    </row>
    <row r="2211" spans="1:90" x14ac:dyDescent="0.3">
      <c r="A2211" s="1" t="s">
        <v>45</v>
      </c>
      <c r="B2211" s="7">
        <v>40750</v>
      </c>
      <c r="C2211" s="1">
        <v>9</v>
      </c>
      <c r="D2211" s="1">
        <v>242</v>
      </c>
      <c r="F2211" s="1">
        <v>99</v>
      </c>
      <c r="I2211" s="1">
        <v>1</v>
      </c>
    </row>
    <row r="2212" spans="1:90" x14ac:dyDescent="0.3">
      <c r="A2212" s="1" t="s">
        <v>45</v>
      </c>
      <c r="B2212" s="7">
        <v>40750</v>
      </c>
      <c r="C2212" s="1">
        <v>9</v>
      </c>
      <c r="D2212" s="1">
        <v>242</v>
      </c>
      <c r="F2212" s="1">
        <v>100</v>
      </c>
      <c r="L2212" s="1">
        <v>1</v>
      </c>
      <c r="T2212" s="1">
        <v>1</v>
      </c>
    </row>
    <row r="2213" spans="1:90" s="12" customFormat="1" x14ac:dyDescent="0.3">
      <c r="A2213" s="16" t="s">
        <v>45</v>
      </c>
      <c r="B2213" s="13"/>
      <c r="G2213" s="12">
        <f>SUM(G2113:G2212)</f>
        <v>0</v>
      </c>
      <c r="H2213" s="12">
        <f t="shared" ref="H2213:BS2213" si="857">SUM(H2113:H2212)</f>
        <v>35</v>
      </c>
      <c r="I2213" s="12">
        <f t="shared" si="857"/>
        <v>22</v>
      </c>
      <c r="J2213" s="12">
        <f t="shared" si="857"/>
        <v>10</v>
      </c>
      <c r="K2213" s="12">
        <f t="shared" si="857"/>
        <v>2</v>
      </c>
      <c r="L2213" s="12">
        <f t="shared" si="857"/>
        <v>47</v>
      </c>
      <c r="M2213" s="12">
        <f t="shared" si="857"/>
        <v>2</v>
      </c>
      <c r="N2213" s="12">
        <f t="shared" si="857"/>
        <v>12</v>
      </c>
      <c r="O2213" s="12">
        <f t="shared" si="857"/>
        <v>0</v>
      </c>
      <c r="P2213" s="12">
        <f t="shared" si="857"/>
        <v>0</v>
      </c>
      <c r="Q2213" s="12">
        <f t="shared" si="857"/>
        <v>0</v>
      </c>
      <c r="R2213" s="12">
        <f t="shared" si="857"/>
        <v>5</v>
      </c>
      <c r="S2213" s="12">
        <f t="shared" si="857"/>
        <v>13</v>
      </c>
      <c r="T2213" s="12">
        <f t="shared" si="857"/>
        <v>33</v>
      </c>
      <c r="U2213" s="12">
        <f t="shared" si="857"/>
        <v>0</v>
      </c>
      <c r="V2213" s="12">
        <f t="shared" si="857"/>
        <v>3</v>
      </c>
      <c r="W2213" s="12">
        <f t="shared" si="857"/>
        <v>0</v>
      </c>
      <c r="X2213" s="12">
        <f t="shared" si="857"/>
        <v>0</v>
      </c>
      <c r="Y2213" s="12">
        <f t="shared" si="857"/>
        <v>0</v>
      </c>
      <c r="Z2213" s="12">
        <f t="shared" si="857"/>
        <v>0</v>
      </c>
      <c r="AA2213" s="12">
        <f t="shared" si="857"/>
        <v>5</v>
      </c>
      <c r="AB2213" s="12">
        <f t="shared" si="857"/>
        <v>0</v>
      </c>
      <c r="AC2213" s="12">
        <f t="shared" si="857"/>
        <v>0</v>
      </c>
      <c r="AD2213" s="12">
        <f t="shared" si="857"/>
        <v>6</v>
      </c>
      <c r="AE2213" s="12">
        <f t="shared" si="857"/>
        <v>0</v>
      </c>
      <c r="AF2213" s="12">
        <f t="shared" si="857"/>
        <v>1</v>
      </c>
      <c r="AG2213" s="12">
        <f t="shared" si="857"/>
        <v>0</v>
      </c>
      <c r="AH2213" s="12">
        <f t="shared" si="857"/>
        <v>0</v>
      </c>
      <c r="AI2213" s="12">
        <f t="shared" si="857"/>
        <v>0</v>
      </c>
      <c r="AJ2213" s="12">
        <f t="shared" si="857"/>
        <v>0</v>
      </c>
      <c r="AK2213" s="12">
        <f t="shared" si="857"/>
        <v>0</v>
      </c>
      <c r="AL2213" s="12">
        <f t="shared" si="857"/>
        <v>0</v>
      </c>
      <c r="AM2213" s="12">
        <f t="shared" si="857"/>
        <v>0</v>
      </c>
      <c r="AN2213" s="12">
        <f t="shared" si="857"/>
        <v>0</v>
      </c>
      <c r="AO2213" s="12">
        <f t="shared" si="857"/>
        <v>0</v>
      </c>
      <c r="AP2213" s="12">
        <f t="shared" si="857"/>
        <v>0</v>
      </c>
      <c r="AQ2213" s="12">
        <f t="shared" si="857"/>
        <v>0</v>
      </c>
      <c r="AR2213" s="12">
        <f t="shared" si="857"/>
        <v>0</v>
      </c>
      <c r="AS2213" s="12">
        <f t="shared" si="857"/>
        <v>0</v>
      </c>
      <c r="AT2213" s="12">
        <f t="shared" si="857"/>
        <v>0</v>
      </c>
      <c r="AU2213" s="12">
        <f t="shared" si="857"/>
        <v>0</v>
      </c>
      <c r="AV2213" s="12">
        <f t="shared" si="857"/>
        <v>0</v>
      </c>
      <c r="AW2213" s="12">
        <f t="shared" si="857"/>
        <v>0</v>
      </c>
      <c r="AX2213" s="12">
        <f t="shared" si="857"/>
        <v>0</v>
      </c>
      <c r="AY2213" s="12">
        <f t="shared" si="857"/>
        <v>0</v>
      </c>
      <c r="AZ2213" s="12">
        <f t="shared" si="857"/>
        <v>0</v>
      </c>
      <c r="BA2213" s="12">
        <f t="shared" si="857"/>
        <v>0</v>
      </c>
      <c r="BB2213" s="12">
        <f t="shared" si="857"/>
        <v>0</v>
      </c>
      <c r="BC2213" s="12">
        <f t="shared" si="857"/>
        <v>0</v>
      </c>
      <c r="BD2213" s="12">
        <f t="shared" si="857"/>
        <v>0</v>
      </c>
      <c r="BE2213" s="12">
        <f t="shared" si="857"/>
        <v>0</v>
      </c>
      <c r="BF2213" s="12">
        <f t="shared" si="857"/>
        <v>0</v>
      </c>
      <c r="BG2213" s="12">
        <f t="shared" si="857"/>
        <v>0</v>
      </c>
      <c r="BH2213" s="12">
        <f t="shared" si="857"/>
        <v>0</v>
      </c>
      <c r="BI2213" s="12">
        <f t="shared" si="857"/>
        <v>2</v>
      </c>
      <c r="BJ2213" s="12">
        <f t="shared" si="857"/>
        <v>0</v>
      </c>
      <c r="BK2213" s="12">
        <f t="shared" si="857"/>
        <v>0</v>
      </c>
      <c r="BL2213" s="12">
        <f t="shared" si="857"/>
        <v>0</v>
      </c>
      <c r="BM2213" s="12">
        <f t="shared" si="857"/>
        <v>0</v>
      </c>
      <c r="BN2213" s="12">
        <f t="shared" si="857"/>
        <v>0</v>
      </c>
      <c r="BO2213" s="12">
        <f t="shared" si="857"/>
        <v>0</v>
      </c>
      <c r="BP2213" s="12">
        <f t="shared" si="857"/>
        <v>0</v>
      </c>
      <c r="BQ2213" s="12">
        <f t="shared" si="857"/>
        <v>0</v>
      </c>
      <c r="BR2213" s="12">
        <f t="shared" si="857"/>
        <v>0</v>
      </c>
      <c r="BS2213" s="12">
        <f t="shared" si="857"/>
        <v>0</v>
      </c>
      <c r="BT2213" s="12">
        <f t="shared" ref="BT2213:CL2213" si="858">SUM(BT2113:BT2212)</f>
        <v>0</v>
      </c>
      <c r="BU2213" s="12">
        <f t="shared" si="858"/>
        <v>0</v>
      </c>
      <c r="BV2213" s="12">
        <f t="shared" si="858"/>
        <v>0</v>
      </c>
      <c r="BW2213" s="12">
        <f t="shared" si="858"/>
        <v>0</v>
      </c>
      <c r="BX2213" s="12">
        <f t="shared" si="858"/>
        <v>0</v>
      </c>
      <c r="BY2213" s="12">
        <f t="shared" si="858"/>
        <v>0</v>
      </c>
      <c r="BZ2213" s="12">
        <f t="shared" si="858"/>
        <v>0</v>
      </c>
      <c r="CA2213" s="12">
        <f t="shared" si="858"/>
        <v>0</v>
      </c>
      <c r="CB2213" s="12">
        <f t="shared" si="858"/>
        <v>0</v>
      </c>
      <c r="CC2213" s="12">
        <f t="shared" si="858"/>
        <v>0</v>
      </c>
      <c r="CD2213" s="12">
        <f t="shared" si="858"/>
        <v>0</v>
      </c>
      <c r="CE2213" s="12">
        <f t="shared" si="858"/>
        <v>0</v>
      </c>
      <c r="CF2213" s="12">
        <f t="shared" si="858"/>
        <v>0</v>
      </c>
      <c r="CG2213" s="12">
        <f t="shared" si="858"/>
        <v>0</v>
      </c>
      <c r="CH2213" s="12">
        <f t="shared" si="858"/>
        <v>0</v>
      </c>
      <c r="CI2213" s="12">
        <f t="shared" si="858"/>
        <v>0</v>
      </c>
      <c r="CJ2213" s="12">
        <f t="shared" si="858"/>
        <v>0</v>
      </c>
      <c r="CK2213" s="12">
        <f t="shared" si="858"/>
        <v>0</v>
      </c>
      <c r="CL2213" s="12">
        <f t="shared" si="858"/>
        <v>0</v>
      </c>
    </row>
    <row r="2214" spans="1:90" x14ac:dyDescent="0.3">
      <c r="A2214" s="1" t="s">
        <v>52</v>
      </c>
      <c r="B2214" s="7">
        <v>40759</v>
      </c>
      <c r="C2214" s="1">
        <v>19</v>
      </c>
      <c r="D2214" s="1">
        <v>290</v>
      </c>
      <c r="E2214" s="1">
        <v>0</v>
      </c>
      <c r="F2214" s="1">
        <v>1</v>
      </c>
      <c r="H2214" s="1">
        <v>1</v>
      </c>
      <c r="I2214" s="1">
        <v>1</v>
      </c>
    </row>
    <row r="2215" spans="1:90" x14ac:dyDescent="0.3">
      <c r="A2215" s="1" t="s">
        <v>52</v>
      </c>
      <c r="B2215" s="7">
        <v>40759</v>
      </c>
      <c r="C2215" s="1">
        <v>19</v>
      </c>
      <c r="D2215" s="1">
        <v>290</v>
      </c>
      <c r="E2215" s="1">
        <v>0</v>
      </c>
      <c r="F2215" s="1">
        <v>2</v>
      </c>
      <c r="J2215" s="1">
        <v>1</v>
      </c>
    </row>
    <row r="2216" spans="1:90" x14ac:dyDescent="0.3">
      <c r="A2216" s="1" t="s">
        <v>52</v>
      </c>
      <c r="B2216" s="7">
        <v>40759</v>
      </c>
      <c r="C2216" s="1">
        <v>19</v>
      </c>
      <c r="D2216" s="1">
        <v>290</v>
      </c>
      <c r="E2216" s="1">
        <v>0</v>
      </c>
      <c r="F2216" s="1">
        <v>3</v>
      </c>
      <c r="H2216" s="1">
        <v>1</v>
      </c>
    </row>
    <row r="2217" spans="1:90" x14ac:dyDescent="0.3">
      <c r="A2217" s="1" t="s">
        <v>52</v>
      </c>
      <c r="B2217" s="7">
        <v>40759</v>
      </c>
      <c r="C2217" s="1">
        <v>19</v>
      </c>
      <c r="D2217" s="1">
        <v>290</v>
      </c>
      <c r="E2217" s="1">
        <v>0</v>
      </c>
      <c r="F2217" s="1">
        <v>4</v>
      </c>
      <c r="J2217" s="1">
        <v>1</v>
      </c>
    </row>
    <row r="2218" spans="1:90" x14ac:dyDescent="0.3">
      <c r="A2218" s="1" t="s">
        <v>52</v>
      </c>
      <c r="B2218" s="7">
        <v>40759</v>
      </c>
      <c r="C2218" s="1">
        <v>19</v>
      </c>
      <c r="D2218" s="1">
        <v>290</v>
      </c>
      <c r="E2218" s="1">
        <v>0</v>
      </c>
      <c r="F2218" s="1">
        <v>5</v>
      </c>
      <c r="I2218" s="1">
        <v>1</v>
      </c>
      <c r="J2218" s="1">
        <v>1</v>
      </c>
    </row>
    <row r="2219" spans="1:90" x14ac:dyDescent="0.3">
      <c r="A2219" s="1" t="s">
        <v>52</v>
      </c>
      <c r="B2219" s="7">
        <v>40759</v>
      </c>
      <c r="C2219" s="1">
        <v>19</v>
      </c>
      <c r="D2219" s="1">
        <v>290</v>
      </c>
      <c r="E2219" s="1">
        <v>0</v>
      </c>
      <c r="F2219" s="1">
        <v>6</v>
      </c>
      <c r="J2219" s="1">
        <v>1</v>
      </c>
    </row>
    <row r="2220" spans="1:90" x14ac:dyDescent="0.3">
      <c r="A2220" s="1" t="s">
        <v>52</v>
      </c>
      <c r="B2220" s="7">
        <v>40759</v>
      </c>
      <c r="C2220" s="1">
        <v>19</v>
      </c>
      <c r="D2220" s="1">
        <v>290</v>
      </c>
      <c r="E2220" s="1">
        <v>0</v>
      </c>
      <c r="F2220" s="1">
        <v>7</v>
      </c>
      <c r="J2220" s="1">
        <v>1</v>
      </c>
      <c r="AS2220" s="1">
        <v>1</v>
      </c>
    </row>
    <row r="2221" spans="1:90" x14ac:dyDescent="0.3">
      <c r="A2221" s="1" t="s">
        <v>52</v>
      </c>
      <c r="B2221" s="7">
        <v>40759</v>
      </c>
      <c r="C2221" s="1">
        <v>19</v>
      </c>
      <c r="D2221" s="1">
        <v>290</v>
      </c>
      <c r="E2221" s="1">
        <v>0</v>
      </c>
      <c r="F2221" s="1">
        <v>8</v>
      </c>
      <c r="J2221" s="1">
        <v>1</v>
      </c>
      <c r="L2221" s="1">
        <v>1</v>
      </c>
    </row>
    <row r="2222" spans="1:90" x14ac:dyDescent="0.3">
      <c r="A2222" s="1" t="s">
        <v>52</v>
      </c>
      <c r="B2222" s="7">
        <v>40759</v>
      </c>
      <c r="C2222" s="1">
        <v>19</v>
      </c>
      <c r="D2222" s="1">
        <v>290</v>
      </c>
      <c r="E2222" s="1">
        <v>0</v>
      </c>
      <c r="F2222" s="1">
        <v>9</v>
      </c>
      <c r="I2222" s="1">
        <v>1</v>
      </c>
      <c r="AS2222" s="1">
        <v>1</v>
      </c>
    </row>
    <row r="2223" spans="1:90" x14ac:dyDescent="0.3">
      <c r="A2223" s="1" t="s">
        <v>52</v>
      </c>
      <c r="B2223" s="7">
        <v>40759</v>
      </c>
      <c r="C2223" s="1">
        <v>19</v>
      </c>
      <c r="D2223" s="1">
        <v>290</v>
      </c>
      <c r="E2223" s="1">
        <v>0</v>
      </c>
      <c r="F2223" s="1">
        <v>10</v>
      </c>
      <c r="H2223" s="1">
        <v>1</v>
      </c>
      <c r="I2223" s="1">
        <v>1</v>
      </c>
    </row>
    <row r="2224" spans="1:90" x14ac:dyDescent="0.3">
      <c r="A2224" s="1" t="s">
        <v>52</v>
      </c>
      <c r="B2224" s="7">
        <v>40759</v>
      </c>
      <c r="C2224" s="1">
        <v>19</v>
      </c>
      <c r="D2224" s="1">
        <v>290</v>
      </c>
      <c r="E2224" s="1">
        <v>0</v>
      </c>
      <c r="F2224" s="1">
        <v>11</v>
      </c>
      <c r="J2224" s="1">
        <v>1</v>
      </c>
    </row>
    <row r="2225" spans="1:45" x14ac:dyDescent="0.3">
      <c r="A2225" s="1" t="s">
        <v>52</v>
      </c>
      <c r="B2225" s="7">
        <v>40759</v>
      </c>
      <c r="C2225" s="1">
        <v>19</v>
      </c>
      <c r="D2225" s="1">
        <v>290</v>
      </c>
      <c r="E2225" s="1">
        <v>0</v>
      </c>
      <c r="F2225" s="1">
        <v>12</v>
      </c>
      <c r="J2225" s="1">
        <v>1</v>
      </c>
    </row>
    <row r="2226" spans="1:45" x14ac:dyDescent="0.3">
      <c r="A2226" s="1" t="s">
        <v>52</v>
      </c>
      <c r="B2226" s="7">
        <v>40759</v>
      </c>
      <c r="C2226" s="1">
        <v>19</v>
      </c>
      <c r="D2226" s="1">
        <v>290</v>
      </c>
      <c r="E2226" s="1">
        <v>0</v>
      </c>
      <c r="F2226" s="1">
        <v>13</v>
      </c>
      <c r="J2226" s="1">
        <v>1</v>
      </c>
      <c r="R2226" s="3">
        <v>0</v>
      </c>
      <c r="S2226" s="3">
        <v>1</v>
      </c>
    </row>
    <row r="2227" spans="1:45" x14ac:dyDescent="0.3">
      <c r="A2227" s="1" t="s">
        <v>52</v>
      </c>
      <c r="B2227" s="7">
        <v>40759</v>
      </c>
      <c r="C2227" s="1">
        <v>19</v>
      </c>
      <c r="D2227" s="1">
        <v>290</v>
      </c>
      <c r="E2227" s="1">
        <v>0</v>
      </c>
      <c r="F2227" s="1">
        <v>14</v>
      </c>
      <c r="I2227" s="1">
        <v>1</v>
      </c>
      <c r="J2227" s="1">
        <v>1</v>
      </c>
    </row>
    <row r="2228" spans="1:45" x14ac:dyDescent="0.3">
      <c r="A2228" s="1" t="s">
        <v>52</v>
      </c>
      <c r="B2228" s="7">
        <v>40759</v>
      </c>
      <c r="C2228" s="1">
        <v>19</v>
      </c>
      <c r="D2228" s="1">
        <v>290</v>
      </c>
      <c r="E2228" s="1">
        <v>0</v>
      </c>
      <c r="F2228" s="1">
        <v>15</v>
      </c>
      <c r="I2228" s="1">
        <v>1</v>
      </c>
      <c r="J2228" s="3">
        <v>0</v>
      </c>
      <c r="K2228" s="3">
        <v>1</v>
      </c>
    </row>
    <row r="2229" spans="1:45" x14ac:dyDescent="0.3">
      <c r="A2229" s="1" t="s">
        <v>52</v>
      </c>
      <c r="B2229" s="7">
        <v>40759</v>
      </c>
      <c r="C2229" s="1">
        <v>19</v>
      </c>
      <c r="D2229" s="1">
        <v>290</v>
      </c>
      <c r="E2229" s="1">
        <v>0</v>
      </c>
      <c r="F2229" s="1">
        <v>16</v>
      </c>
      <c r="J2229" s="1">
        <v>1</v>
      </c>
    </row>
    <row r="2230" spans="1:45" x14ac:dyDescent="0.3">
      <c r="A2230" s="1" t="s">
        <v>52</v>
      </c>
      <c r="B2230" s="7">
        <v>40759</v>
      </c>
      <c r="C2230" s="1">
        <v>19</v>
      </c>
      <c r="D2230" s="1">
        <v>290</v>
      </c>
      <c r="E2230" s="1">
        <v>0</v>
      </c>
      <c r="F2230" s="1">
        <v>17</v>
      </c>
      <c r="J2230" s="8">
        <v>1</v>
      </c>
      <c r="K2230" s="8"/>
    </row>
    <row r="2231" spans="1:45" x14ac:dyDescent="0.3">
      <c r="A2231" s="1" t="s">
        <v>52</v>
      </c>
      <c r="B2231" s="7">
        <v>40759</v>
      </c>
      <c r="C2231" s="1">
        <v>19</v>
      </c>
      <c r="D2231" s="1">
        <v>290</v>
      </c>
      <c r="E2231" s="1">
        <v>0</v>
      </c>
      <c r="F2231" s="1">
        <v>18</v>
      </c>
      <c r="J2231" s="1">
        <v>1</v>
      </c>
    </row>
    <row r="2232" spans="1:45" x14ac:dyDescent="0.3">
      <c r="A2232" s="1" t="s">
        <v>52</v>
      </c>
      <c r="B2232" s="7">
        <v>40759</v>
      </c>
      <c r="C2232" s="1">
        <v>19</v>
      </c>
      <c r="D2232" s="1">
        <v>290</v>
      </c>
      <c r="E2232" s="1">
        <v>0</v>
      </c>
      <c r="F2232" s="1">
        <v>19</v>
      </c>
      <c r="I2232" s="1">
        <v>1</v>
      </c>
      <c r="J2232" s="1">
        <v>1</v>
      </c>
    </row>
    <row r="2233" spans="1:45" x14ac:dyDescent="0.3">
      <c r="A2233" s="1" t="s">
        <v>52</v>
      </c>
      <c r="B2233" s="7">
        <v>40759</v>
      </c>
      <c r="C2233" s="1">
        <v>19</v>
      </c>
      <c r="D2233" s="1">
        <v>290</v>
      </c>
      <c r="E2233" s="1">
        <v>0</v>
      </c>
      <c r="F2233" s="1">
        <v>20</v>
      </c>
      <c r="J2233" s="1">
        <v>1</v>
      </c>
    </row>
    <row r="2234" spans="1:45" x14ac:dyDescent="0.3">
      <c r="A2234" s="1" t="s">
        <v>52</v>
      </c>
      <c r="B2234" s="7">
        <v>40759</v>
      </c>
      <c r="C2234" s="1">
        <v>19</v>
      </c>
      <c r="D2234" s="1">
        <v>290</v>
      </c>
      <c r="E2234" s="1">
        <v>0</v>
      </c>
      <c r="F2234" s="1">
        <v>21</v>
      </c>
      <c r="H2234" s="1">
        <v>1</v>
      </c>
    </row>
    <row r="2235" spans="1:45" x14ac:dyDescent="0.3">
      <c r="A2235" s="1" t="s">
        <v>52</v>
      </c>
      <c r="B2235" s="7">
        <v>40759</v>
      </c>
      <c r="C2235" s="1">
        <v>19</v>
      </c>
      <c r="D2235" s="1">
        <v>290</v>
      </c>
      <c r="E2235" s="1">
        <v>0</v>
      </c>
      <c r="F2235" s="1">
        <v>22</v>
      </c>
      <c r="J2235" s="1">
        <v>1</v>
      </c>
    </row>
    <row r="2236" spans="1:45" x14ac:dyDescent="0.3">
      <c r="A2236" s="1" t="s">
        <v>52</v>
      </c>
      <c r="B2236" s="7">
        <v>40759</v>
      </c>
      <c r="C2236" s="1">
        <v>19</v>
      </c>
      <c r="D2236" s="1">
        <v>290</v>
      </c>
      <c r="E2236" s="1">
        <v>0</v>
      </c>
      <c r="F2236" s="1">
        <v>23</v>
      </c>
      <c r="I2236" s="1">
        <v>1</v>
      </c>
      <c r="J2236" s="1">
        <v>1</v>
      </c>
    </row>
    <row r="2237" spans="1:45" x14ac:dyDescent="0.3">
      <c r="A2237" s="1" t="s">
        <v>52</v>
      </c>
      <c r="B2237" s="7">
        <v>40759</v>
      </c>
      <c r="C2237" s="1">
        <v>19</v>
      </c>
      <c r="D2237" s="1">
        <v>290</v>
      </c>
      <c r="E2237" s="1">
        <v>0</v>
      </c>
      <c r="F2237" s="1">
        <v>24</v>
      </c>
      <c r="I2237" s="1">
        <v>1</v>
      </c>
      <c r="J2237" s="1">
        <v>1</v>
      </c>
      <c r="AS2237" s="1">
        <v>1</v>
      </c>
    </row>
    <row r="2238" spans="1:45" x14ac:dyDescent="0.3">
      <c r="A2238" s="1" t="s">
        <v>52</v>
      </c>
      <c r="B2238" s="7">
        <v>40759</v>
      </c>
      <c r="C2238" s="1">
        <v>19</v>
      </c>
      <c r="D2238" s="1">
        <v>290</v>
      </c>
      <c r="E2238" s="1">
        <v>0</v>
      </c>
      <c r="F2238" s="1">
        <v>25</v>
      </c>
      <c r="H2238" s="1">
        <v>1</v>
      </c>
    </row>
    <row r="2239" spans="1:45" x14ac:dyDescent="0.3">
      <c r="A2239" s="1" t="s">
        <v>52</v>
      </c>
      <c r="B2239" s="7">
        <v>40759</v>
      </c>
      <c r="C2239" s="1">
        <v>19</v>
      </c>
      <c r="D2239" s="1">
        <v>290</v>
      </c>
      <c r="E2239" s="1">
        <v>0</v>
      </c>
      <c r="F2239" s="1">
        <v>26</v>
      </c>
      <c r="J2239" s="1">
        <v>1</v>
      </c>
    </row>
    <row r="2240" spans="1:45" x14ac:dyDescent="0.3">
      <c r="A2240" s="1" t="s">
        <v>52</v>
      </c>
      <c r="B2240" s="7">
        <v>40759</v>
      </c>
      <c r="C2240" s="1">
        <v>19</v>
      </c>
      <c r="D2240" s="1">
        <v>290</v>
      </c>
      <c r="E2240" s="1">
        <v>0</v>
      </c>
      <c r="F2240" s="1">
        <v>27</v>
      </c>
      <c r="I2240" s="1">
        <v>1</v>
      </c>
    </row>
    <row r="2241" spans="1:13" x14ac:dyDescent="0.3">
      <c r="A2241" s="1" t="s">
        <v>52</v>
      </c>
      <c r="B2241" s="7">
        <v>40759</v>
      </c>
      <c r="C2241" s="1">
        <v>19</v>
      </c>
      <c r="D2241" s="1">
        <v>290</v>
      </c>
      <c r="E2241" s="1">
        <v>0</v>
      </c>
      <c r="F2241" s="1">
        <v>28</v>
      </c>
      <c r="L2241" s="1">
        <v>1</v>
      </c>
    </row>
    <row r="2242" spans="1:13" x14ac:dyDescent="0.3">
      <c r="A2242" s="1" t="s">
        <v>52</v>
      </c>
      <c r="B2242" s="7">
        <v>40759</v>
      </c>
      <c r="C2242" s="1">
        <v>19</v>
      </c>
      <c r="D2242" s="1">
        <v>290</v>
      </c>
      <c r="E2242" s="1">
        <v>0</v>
      </c>
      <c r="F2242" s="1">
        <v>29</v>
      </c>
      <c r="J2242" s="1">
        <v>1</v>
      </c>
    </row>
    <row r="2243" spans="1:13" x14ac:dyDescent="0.3">
      <c r="A2243" s="1" t="s">
        <v>52</v>
      </c>
      <c r="B2243" s="7">
        <v>40759</v>
      </c>
      <c r="C2243" s="1">
        <v>19</v>
      </c>
      <c r="D2243" s="1">
        <v>290</v>
      </c>
      <c r="E2243" s="1">
        <v>0</v>
      </c>
      <c r="F2243" s="1">
        <v>30</v>
      </c>
      <c r="J2243" s="1">
        <v>1</v>
      </c>
      <c r="L2243" s="1">
        <v>1</v>
      </c>
    </row>
    <row r="2244" spans="1:13" x14ac:dyDescent="0.3">
      <c r="A2244" s="1" t="s">
        <v>52</v>
      </c>
      <c r="B2244" s="7">
        <v>40759</v>
      </c>
      <c r="C2244" s="1">
        <v>19</v>
      </c>
      <c r="D2244" s="1">
        <v>290</v>
      </c>
      <c r="E2244" s="1">
        <v>0</v>
      </c>
      <c r="F2244" s="1">
        <v>31</v>
      </c>
      <c r="J2244" s="1">
        <v>1</v>
      </c>
    </row>
    <row r="2245" spans="1:13" x14ac:dyDescent="0.3">
      <c r="A2245" s="1" t="s">
        <v>52</v>
      </c>
      <c r="B2245" s="7">
        <v>40759</v>
      </c>
      <c r="C2245" s="1">
        <v>19</v>
      </c>
      <c r="D2245" s="1">
        <v>290</v>
      </c>
      <c r="E2245" s="1">
        <v>0</v>
      </c>
      <c r="F2245" s="1">
        <v>32</v>
      </c>
      <c r="J2245" s="1">
        <v>1</v>
      </c>
    </row>
    <row r="2246" spans="1:13" x14ac:dyDescent="0.3">
      <c r="A2246" s="1" t="s">
        <v>52</v>
      </c>
      <c r="B2246" s="7">
        <v>40759</v>
      </c>
      <c r="C2246" s="1">
        <v>19</v>
      </c>
      <c r="D2246" s="1">
        <v>290</v>
      </c>
      <c r="E2246" s="1">
        <v>0</v>
      </c>
      <c r="F2246" s="1">
        <v>33</v>
      </c>
      <c r="H2246" s="1">
        <v>1</v>
      </c>
      <c r="J2246" s="1">
        <v>1</v>
      </c>
    </row>
    <row r="2247" spans="1:13" x14ac:dyDescent="0.3">
      <c r="A2247" s="1" t="s">
        <v>52</v>
      </c>
      <c r="B2247" s="7">
        <v>40759</v>
      </c>
      <c r="C2247" s="1">
        <v>19</v>
      </c>
      <c r="D2247" s="1">
        <v>290</v>
      </c>
      <c r="E2247" s="1">
        <v>0</v>
      </c>
      <c r="F2247" s="1">
        <v>34</v>
      </c>
      <c r="I2247" s="1">
        <v>1</v>
      </c>
      <c r="J2247" s="1">
        <v>1</v>
      </c>
    </row>
    <row r="2248" spans="1:13" x14ac:dyDescent="0.3">
      <c r="A2248" s="1" t="s">
        <v>52</v>
      </c>
      <c r="B2248" s="7">
        <v>40759</v>
      </c>
      <c r="C2248" s="1">
        <v>19</v>
      </c>
      <c r="D2248" s="1">
        <v>290</v>
      </c>
      <c r="E2248" s="1">
        <v>0</v>
      </c>
      <c r="F2248" s="1">
        <v>35</v>
      </c>
      <c r="H2248" s="1">
        <v>1</v>
      </c>
      <c r="J2248" s="1">
        <v>1</v>
      </c>
    </row>
    <row r="2249" spans="1:13" x14ac:dyDescent="0.3">
      <c r="A2249" s="1" t="s">
        <v>52</v>
      </c>
      <c r="B2249" s="7">
        <v>40759</v>
      </c>
      <c r="C2249" s="1">
        <v>19</v>
      </c>
      <c r="D2249" s="1">
        <v>290</v>
      </c>
      <c r="E2249" s="1">
        <v>0</v>
      </c>
      <c r="F2249" s="1">
        <v>36</v>
      </c>
      <c r="J2249" s="1">
        <v>1</v>
      </c>
    </row>
    <row r="2250" spans="1:13" x14ac:dyDescent="0.3">
      <c r="A2250" s="1" t="s">
        <v>52</v>
      </c>
      <c r="B2250" s="7">
        <v>40759</v>
      </c>
      <c r="C2250" s="1">
        <v>19</v>
      </c>
      <c r="D2250" s="1">
        <v>290</v>
      </c>
      <c r="E2250" s="1">
        <v>0</v>
      </c>
      <c r="F2250" s="1">
        <v>37</v>
      </c>
      <c r="J2250" s="1">
        <v>1</v>
      </c>
    </row>
    <row r="2251" spans="1:13" x14ac:dyDescent="0.3">
      <c r="A2251" s="1" t="s">
        <v>52</v>
      </c>
      <c r="B2251" s="7">
        <v>40759</v>
      </c>
      <c r="C2251" s="1">
        <v>19</v>
      </c>
      <c r="D2251" s="1">
        <v>290</v>
      </c>
      <c r="E2251" s="1">
        <v>0</v>
      </c>
      <c r="F2251" s="1">
        <v>38</v>
      </c>
      <c r="I2251" s="1">
        <v>1</v>
      </c>
      <c r="J2251" s="1">
        <v>1</v>
      </c>
    </row>
    <row r="2252" spans="1:13" x14ac:dyDescent="0.3">
      <c r="A2252" s="1" t="s">
        <v>52</v>
      </c>
      <c r="B2252" s="7">
        <v>40759</v>
      </c>
      <c r="C2252" s="1">
        <v>19</v>
      </c>
      <c r="D2252" s="1">
        <v>290</v>
      </c>
      <c r="E2252" s="1">
        <v>0</v>
      </c>
      <c r="F2252" s="1">
        <v>39</v>
      </c>
      <c r="J2252" s="3">
        <v>0</v>
      </c>
      <c r="K2252" s="3">
        <v>1</v>
      </c>
    </row>
    <row r="2253" spans="1:13" x14ac:dyDescent="0.3">
      <c r="A2253" s="1" t="s">
        <v>52</v>
      </c>
      <c r="B2253" s="7">
        <v>40759</v>
      </c>
      <c r="C2253" s="1">
        <v>19</v>
      </c>
      <c r="D2253" s="1">
        <v>290</v>
      </c>
      <c r="E2253" s="1">
        <v>0</v>
      </c>
      <c r="F2253" s="1">
        <v>40</v>
      </c>
      <c r="J2253" s="3">
        <v>0</v>
      </c>
      <c r="K2253" s="3">
        <v>1</v>
      </c>
    </row>
    <row r="2254" spans="1:13" x14ac:dyDescent="0.3">
      <c r="A2254" s="1" t="s">
        <v>52</v>
      </c>
      <c r="B2254" s="7">
        <v>40759</v>
      </c>
      <c r="C2254" s="1">
        <v>19</v>
      </c>
      <c r="D2254" s="1">
        <v>290</v>
      </c>
      <c r="E2254" s="1">
        <v>0</v>
      </c>
      <c r="F2254" s="1">
        <v>41</v>
      </c>
      <c r="J2254" s="3">
        <v>0</v>
      </c>
      <c r="K2254" s="3">
        <v>1</v>
      </c>
    </row>
    <row r="2255" spans="1:13" x14ac:dyDescent="0.3">
      <c r="A2255" s="1" t="s">
        <v>52</v>
      </c>
      <c r="B2255" s="7">
        <v>40759</v>
      </c>
      <c r="C2255" s="1">
        <v>19</v>
      </c>
      <c r="D2255" s="1">
        <v>290</v>
      </c>
      <c r="E2255" s="1">
        <v>0</v>
      </c>
      <c r="F2255" s="1">
        <v>42</v>
      </c>
      <c r="J2255" s="1">
        <v>1</v>
      </c>
      <c r="L2255" s="8">
        <v>1</v>
      </c>
      <c r="M2255" s="8"/>
    </row>
    <row r="2256" spans="1:13" x14ac:dyDescent="0.3">
      <c r="A2256" s="1" t="s">
        <v>52</v>
      </c>
      <c r="B2256" s="7">
        <v>40759</v>
      </c>
      <c r="C2256" s="1">
        <v>19</v>
      </c>
      <c r="D2256" s="1">
        <v>290</v>
      </c>
      <c r="E2256" s="1">
        <v>0</v>
      </c>
      <c r="F2256" s="1">
        <v>43</v>
      </c>
      <c r="H2256" s="1">
        <v>1</v>
      </c>
      <c r="J2256" s="1">
        <v>1</v>
      </c>
    </row>
    <row r="2257" spans="1:65" x14ac:dyDescent="0.3">
      <c r="A2257" s="1" t="s">
        <v>52</v>
      </c>
      <c r="B2257" s="7">
        <v>40759</v>
      </c>
      <c r="C2257" s="1">
        <v>19</v>
      </c>
      <c r="D2257" s="1">
        <v>290</v>
      </c>
      <c r="E2257" s="1">
        <v>0</v>
      </c>
      <c r="F2257" s="1">
        <v>44</v>
      </c>
      <c r="J2257" s="1">
        <v>1</v>
      </c>
    </row>
    <row r="2258" spans="1:65" x14ac:dyDescent="0.3">
      <c r="A2258" s="1" t="s">
        <v>52</v>
      </c>
      <c r="B2258" s="7">
        <v>40759</v>
      </c>
      <c r="C2258" s="1">
        <v>19</v>
      </c>
      <c r="D2258" s="1">
        <v>290</v>
      </c>
      <c r="E2258" s="1">
        <v>0</v>
      </c>
      <c r="F2258" s="1">
        <v>45</v>
      </c>
      <c r="I2258" s="1">
        <v>1</v>
      </c>
      <c r="J2258" s="1">
        <v>1</v>
      </c>
    </row>
    <row r="2259" spans="1:65" x14ac:dyDescent="0.3">
      <c r="A2259" s="1" t="s">
        <v>52</v>
      </c>
      <c r="B2259" s="7">
        <v>40759</v>
      </c>
      <c r="C2259" s="1">
        <v>19</v>
      </c>
      <c r="D2259" s="1">
        <v>290</v>
      </c>
      <c r="E2259" s="1">
        <v>0</v>
      </c>
      <c r="F2259" s="1">
        <v>46</v>
      </c>
      <c r="I2259" s="1">
        <v>1</v>
      </c>
      <c r="J2259" s="1">
        <v>1</v>
      </c>
    </row>
    <row r="2260" spans="1:65" x14ac:dyDescent="0.3">
      <c r="A2260" s="1" t="s">
        <v>52</v>
      </c>
      <c r="B2260" s="7">
        <v>40759</v>
      </c>
      <c r="C2260" s="1">
        <v>19</v>
      </c>
      <c r="D2260" s="1">
        <v>290</v>
      </c>
      <c r="E2260" s="1">
        <v>0</v>
      </c>
      <c r="F2260" s="1">
        <v>47</v>
      </c>
      <c r="J2260" s="1">
        <v>1</v>
      </c>
    </row>
    <row r="2261" spans="1:65" x14ac:dyDescent="0.3">
      <c r="A2261" s="1" t="s">
        <v>52</v>
      </c>
      <c r="B2261" s="7">
        <v>40759</v>
      </c>
      <c r="C2261" s="1">
        <v>19</v>
      </c>
      <c r="D2261" s="1">
        <v>290</v>
      </c>
      <c r="E2261" s="1">
        <v>0</v>
      </c>
      <c r="F2261" s="1">
        <v>48</v>
      </c>
      <c r="I2261" s="1">
        <v>1</v>
      </c>
      <c r="J2261" s="1">
        <v>1</v>
      </c>
      <c r="BM2261" s="1">
        <v>1</v>
      </c>
    </row>
    <row r="2262" spans="1:65" x14ac:dyDescent="0.3">
      <c r="A2262" s="1" t="s">
        <v>52</v>
      </c>
      <c r="B2262" s="7">
        <v>40759</v>
      </c>
      <c r="C2262" s="1">
        <v>19</v>
      </c>
      <c r="D2262" s="1">
        <v>290</v>
      </c>
      <c r="E2262" s="1">
        <v>0</v>
      </c>
      <c r="F2262" s="1">
        <v>49</v>
      </c>
      <c r="I2262" s="1">
        <v>1</v>
      </c>
    </row>
    <row r="2263" spans="1:65" x14ac:dyDescent="0.3">
      <c r="A2263" s="1" t="s">
        <v>52</v>
      </c>
      <c r="B2263" s="7">
        <v>40759</v>
      </c>
      <c r="C2263" s="1">
        <v>19</v>
      </c>
      <c r="D2263" s="1">
        <v>290</v>
      </c>
      <c r="E2263" s="1">
        <v>0</v>
      </c>
      <c r="F2263" s="1">
        <v>50</v>
      </c>
      <c r="AS2263" s="1">
        <v>1</v>
      </c>
    </row>
    <row r="2264" spans="1:65" x14ac:dyDescent="0.3">
      <c r="A2264" s="1" t="s">
        <v>52</v>
      </c>
      <c r="B2264" s="7">
        <v>40759</v>
      </c>
      <c r="C2264" s="1">
        <v>19</v>
      </c>
      <c r="D2264" s="1">
        <v>290</v>
      </c>
      <c r="E2264" s="1">
        <v>0</v>
      </c>
      <c r="F2264" s="1">
        <v>51</v>
      </c>
      <c r="J2264" s="1">
        <v>1</v>
      </c>
    </row>
    <row r="2265" spans="1:65" x14ac:dyDescent="0.3">
      <c r="A2265" s="1" t="s">
        <v>52</v>
      </c>
      <c r="B2265" s="7">
        <v>40759</v>
      </c>
      <c r="C2265" s="1">
        <v>19</v>
      </c>
      <c r="D2265" s="1">
        <v>290</v>
      </c>
      <c r="E2265" s="1">
        <v>0</v>
      </c>
      <c r="F2265" s="1">
        <v>52</v>
      </c>
    </row>
    <row r="2266" spans="1:65" x14ac:dyDescent="0.3">
      <c r="A2266" s="1" t="s">
        <v>52</v>
      </c>
      <c r="B2266" s="7">
        <v>40759</v>
      </c>
      <c r="C2266" s="1">
        <v>19</v>
      </c>
      <c r="D2266" s="1">
        <v>290</v>
      </c>
      <c r="E2266" s="1">
        <v>0</v>
      </c>
      <c r="F2266" s="1">
        <v>53</v>
      </c>
    </row>
    <row r="2267" spans="1:65" x14ac:dyDescent="0.3">
      <c r="A2267" s="1" t="s">
        <v>52</v>
      </c>
      <c r="B2267" s="7">
        <v>40759</v>
      </c>
      <c r="C2267" s="1">
        <v>19</v>
      </c>
      <c r="D2267" s="1">
        <v>290</v>
      </c>
      <c r="E2267" s="1">
        <v>0</v>
      </c>
      <c r="F2267" s="1">
        <v>54</v>
      </c>
      <c r="J2267" s="1">
        <v>1</v>
      </c>
    </row>
    <row r="2268" spans="1:65" x14ac:dyDescent="0.3">
      <c r="A2268" s="1" t="s">
        <v>52</v>
      </c>
      <c r="B2268" s="7">
        <v>40759</v>
      </c>
      <c r="C2268" s="1">
        <v>19</v>
      </c>
      <c r="D2268" s="1">
        <v>290</v>
      </c>
      <c r="E2268" s="1">
        <v>0</v>
      </c>
      <c r="F2268" s="1">
        <v>55</v>
      </c>
      <c r="J2268" s="1">
        <v>1</v>
      </c>
    </row>
    <row r="2269" spans="1:65" x14ac:dyDescent="0.3">
      <c r="A2269" s="1" t="s">
        <v>52</v>
      </c>
      <c r="B2269" s="7">
        <v>40759</v>
      </c>
      <c r="C2269" s="1">
        <v>19</v>
      </c>
      <c r="D2269" s="1">
        <v>290</v>
      </c>
      <c r="E2269" s="1">
        <v>0</v>
      </c>
      <c r="F2269" s="1">
        <v>56</v>
      </c>
      <c r="J2269" s="1">
        <v>1</v>
      </c>
    </row>
    <row r="2270" spans="1:65" x14ac:dyDescent="0.3">
      <c r="A2270" s="1" t="s">
        <v>52</v>
      </c>
      <c r="B2270" s="7">
        <v>40759</v>
      </c>
      <c r="C2270" s="1">
        <v>19</v>
      </c>
      <c r="D2270" s="1">
        <v>290</v>
      </c>
      <c r="E2270" s="1">
        <v>0</v>
      </c>
      <c r="F2270" s="1">
        <v>57</v>
      </c>
      <c r="J2270" s="1">
        <v>1</v>
      </c>
    </row>
    <row r="2271" spans="1:65" x14ac:dyDescent="0.3">
      <c r="A2271" s="1" t="s">
        <v>52</v>
      </c>
      <c r="B2271" s="7">
        <v>40759</v>
      </c>
      <c r="C2271" s="1">
        <v>19</v>
      </c>
      <c r="D2271" s="1">
        <v>290</v>
      </c>
      <c r="E2271" s="1">
        <v>0</v>
      </c>
      <c r="F2271" s="1">
        <v>58</v>
      </c>
      <c r="BM2271" s="1">
        <v>1</v>
      </c>
    </row>
    <row r="2272" spans="1:65" x14ac:dyDescent="0.3">
      <c r="A2272" s="1" t="s">
        <v>52</v>
      </c>
      <c r="B2272" s="7">
        <v>40759</v>
      </c>
      <c r="C2272" s="1">
        <v>19</v>
      </c>
      <c r="D2272" s="1">
        <v>290</v>
      </c>
      <c r="E2272" s="1">
        <v>0</v>
      </c>
      <c r="F2272" s="1">
        <v>59</v>
      </c>
      <c r="J2272" s="1">
        <v>1</v>
      </c>
    </row>
    <row r="2273" spans="1:63" x14ac:dyDescent="0.3">
      <c r="A2273" s="1" t="s">
        <v>52</v>
      </c>
      <c r="B2273" s="7">
        <v>40759</v>
      </c>
      <c r="C2273" s="1">
        <v>19</v>
      </c>
      <c r="D2273" s="1">
        <v>290</v>
      </c>
      <c r="E2273" s="1">
        <v>0</v>
      </c>
      <c r="F2273" s="1">
        <v>60</v>
      </c>
      <c r="I2273" s="1">
        <v>1</v>
      </c>
      <c r="J2273" s="1">
        <v>1</v>
      </c>
    </row>
    <row r="2274" spans="1:63" x14ac:dyDescent="0.3">
      <c r="A2274" s="1" t="s">
        <v>52</v>
      </c>
      <c r="B2274" s="7">
        <v>40759</v>
      </c>
      <c r="C2274" s="1">
        <v>19</v>
      </c>
      <c r="D2274" s="1">
        <v>290</v>
      </c>
      <c r="E2274" s="1">
        <v>0</v>
      </c>
      <c r="F2274" s="1">
        <v>61</v>
      </c>
    </row>
    <row r="2275" spans="1:63" x14ac:dyDescent="0.3">
      <c r="A2275" s="1" t="s">
        <v>52</v>
      </c>
      <c r="B2275" s="7">
        <v>40759</v>
      </c>
      <c r="C2275" s="1">
        <v>19</v>
      </c>
      <c r="D2275" s="1">
        <v>290</v>
      </c>
      <c r="E2275" s="1">
        <v>0</v>
      </c>
      <c r="F2275" s="1">
        <v>62</v>
      </c>
    </row>
    <row r="2276" spans="1:63" x14ac:dyDescent="0.3">
      <c r="A2276" s="1" t="s">
        <v>52</v>
      </c>
      <c r="B2276" s="7">
        <v>40759</v>
      </c>
      <c r="C2276" s="1">
        <v>19</v>
      </c>
      <c r="D2276" s="1">
        <v>290</v>
      </c>
      <c r="E2276" s="1">
        <v>0</v>
      </c>
      <c r="F2276" s="1">
        <v>63</v>
      </c>
      <c r="H2276" s="1">
        <v>1</v>
      </c>
    </row>
    <row r="2277" spans="1:63" x14ac:dyDescent="0.3">
      <c r="A2277" s="1" t="s">
        <v>52</v>
      </c>
      <c r="B2277" s="7">
        <v>40759</v>
      </c>
      <c r="C2277" s="1">
        <v>19</v>
      </c>
      <c r="D2277" s="1">
        <v>290</v>
      </c>
      <c r="E2277" s="1">
        <v>0</v>
      </c>
      <c r="F2277" s="1">
        <v>64</v>
      </c>
      <c r="J2277" s="1">
        <v>1</v>
      </c>
    </row>
    <row r="2278" spans="1:63" x14ac:dyDescent="0.3">
      <c r="A2278" s="1" t="s">
        <v>52</v>
      </c>
      <c r="B2278" s="7">
        <v>40759</v>
      </c>
      <c r="C2278" s="1">
        <v>19</v>
      </c>
      <c r="D2278" s="1">
        <v>290</v>
      </c>
      <c r="E2278" s="1">
        <v>0</v>
      </c>
      <c r="F2278" s="1">
        <v>65</v>
      </c>
      <c r="J2278" s="1">
        <v>1</v>
      </c>
    </row>
    <row r="2279" spans="1:63" x14ac:dyDescent="0.3">
      <c r="A2279" s="1" t="s">
        <v>52</v>
      </c>
      <c r="B2279" s="7">
        <v>40759</v>
      </c>
      <c r="C2279" s="1">
        <v>19</v>
      </c>
      <c r="D2279" s="1">
        <v>290</v>
      </c>
      <c r="E2279" s="1">
        <v>0</v>
      </c>
      <c r="F2279" s="1">
        <v>66</v>
      </c>
      <c r="H2279" s="1">
        <v>1</v>
      </c>
      <c r="I2279" s="1">
        <v>1</v>
      </c>
      <c r="AS2279" s="1">
        <v>1</v>
      </c>
      <c r="BK2279" s="1">
        <v>1</v>
      </c>
    </row>
    <row r="2280" spans="1:63" x14ac:dyDescent="0.3">
      <c r="A2280" s="1" t="s">
        <v>52</v>
      </c>
      <c r="B2280" s="7">
        <v>40759</v>
      </c>
      <c r="C2280" s="1">
        <v>19</v>
      </c>
      <c r="D2280" s="1">
        <v>290</v>
      </c>
      <c r="E2280" s="1">
        <v>0</v>
      </c>
      <c r="F2280" s="1">
        <v>67</v>
      </c>
      <c r="H2280" s="1">
        <v>1</v>
      </c>
    </row>
    <row r="2281" spans="1:63" x14ac:dyDescent="0.3">
      <c r="A2281" s="1" t="s">
        <v>52</v>
      </c>
      <c r="B2281" s="7">
        <v>40759</v>
      </c>
      <c r="C2281" s="1">
        <v>19</v>
      </c>
      <c r="D2281" s="1">
        <v>290</v>
      </c>
      <c r="E2281" s="1">
        <v>0</v>
      </c>
      <c r="F2281" s="1">
        <v>68</v>
      </c>
      <c r="J2281" s="1">
        <v>1</v>
      </c>
    </row>
    <row r="2282" spans="1:63" x14ac:dyDescent="0.3">
      <c r="A2282" s="1" t="s">
        <v>52</v>
      </c>
      <c r="B2282" s="7">
        <v>40759</v>
      </c>
      <c r="C2282" s="1">
        <v>19</v>
      </c>
      <c r="D2282" s="1">
        <v>290</v>
      </c>
      <c r="E2282" s="1">
        <v>0</v>
      </c>
      <c r="F2282" s="1">
        <v>69</v>
      </c>
      <c r="J2282" s="1">
        <v>1</v>
      </c>
    </row>
    <row r="2283" spans="1:63" x14ac:dyDescent="0.3">
      <c r="A2283" s="1" t="s">
        <v>52</v>
      </c>
      <c r="B2283" s="7">
        <v>40759</v>
      </c>
      <c r="C2283" s="1">
        <v>19</v>
      </c>
      <c r="D2283" s="1">
        <v>290</v>
      </c>
      <c r="E2283" s="1">
        <v>0</v>
      </c>
      <c r="F2283" s="1">
        <v>70</v>
      </c>
      <c r="J2283" s="1">
        <v>1</v>
      </c>
    </row>
    <row r="2284" spans="1:63" x14ac:dyDescent="0.3">
      <c r="A2284" s="1" t="s">
        <v>52</v>
      </c>
      <c r="B2284" s="7">
        <v>40759</v>
      </c>
      <c r="C2284" s="1">
        <v>19</v>
      </c>
      <c r="D2284" s="1">
        <v>290</v>
      </c>
      <c r="E2284" s="1">
        <v>0</v>
      </c>
      <c r="F2284" s="1">
        <v>71</v>
      </c>
    </row>
    <row r="2285" spans="1:63" x14ac:dyDescent="0.3">
      <c r="A2285" s="1" t="s">
        <v>52</v>
      </c>
      <c r="B2285" s="7">
        <v>40759</v>
      </c>
      <c r="C2285" s="1">
        <v>19</v>
      </c>
      <c r="D2285" s="1">
        <v>290</v>
      </c>
      <c r="E2285" s="1">
        <v>0</v>
      </c>
      <c r="F2285" s="1">
        <v>72</v>
      </c>
      <c r="I2285" s="1">
        <v>1</v>
      </c>
    </row>
    <row r="2286" spans="1:63" x14ac:dyDescent="0.3">
      <c r="A2286" s="1" t="s">
        <v>52</v>
      </c>
      <c r="B2286" s="7">
        <v>40759</v>
      </c>
      <c r="C2286" s="1">
        <v>19</v>
      </c>
      <c r="D2286" s="1">
        <v>290</v>
      </c>
      <c r="E2286" s="1">
        <v>0</v>
      </c>
      <c r="F2286" s="1">
        <v>73</v>
      </c>
      <c r="I2286" s="1">
        <v>1</v>
      </c>
    </row>
    <row r="2287" spans="1:63" x14ac:dyDescent="0.3">
      <c r="A2287" s="1" t="s">
        <v>52</v>
      </c>
      <c r="B2287" s="7">
        <v>40759</v>
      </c>
      <c r="C2287" s="1">
        <v>19</v>
      </c>
      <c r="D2287" s="1">
        <v>290</v>
      </c>
      <c r="E2287" s="1">
        <v>0</v>
      </c>
      <c r="F2287" s="1">
        <v>74</v>
      </c>
      <c r="J2287" s="1">
        <v>1</v>
      </c>
    </row>
    <row r="2288" spans="1:63" x14ac:dyDescent="0.3">
      <c r="A2288" s="1" t="s">
        <v>52</v>
      </c>
      <c r="B2288" s="7">
        <v>40759</v>
      </c>
      <c r="C2288" s="1">
        <v>19</v>
      </c>
      <c r="D2288" s="1">
        <v>290</v>
      </c>
      <c r="E2288" s="1">
        <v>0</v>
      </c>
      <c r="F2288" s="1">
        <v>75</v>
      </c>
      <c r="J2288" s="1">
        <v>1</v>
      </c>
    </row>
    <row r="2289" spans="1:77" x14ac:dyDescent="0.3">
      <c r="A2289" s="1" t="s">
        <v>52</v>
      </c>
      <c r="B2289" s="7">
        <v>40759</v>
      </c>
      <c r="C2289" s="1">
        <v>19</v>
      </c>
      <c r="D2289" s="1">
        <v>290</v>
      </c>
      <c r="E2289" s="1">
        <v>0</v>
      </c>
      <c r="F2289" s="1">
        <v>76</v>
      </c>
      <c r="H2289" s="1">
        <v>1</v>
      </c>
      <c r="J2289" s="1">
        <v>1</v>
      </c>
    </row>
    <row r="2290" spans="1:77" x14ac:dyDescent="0.3">
      <c r="A2290" s="1" t="s">
        <v>52</v>
      </c>
      <c r="B2290" s="7">
        <v>40759</v>
      </c>
      <c r="C2290" s="1">
        <v>19</v>
      </c>
      <c r="D2290" s="1">
        <v>290</v>
      </c>
      <c r="E2290" s="1">
        <v>0</v>
      </c>
      <c r="F2290" s="1">
        <v>77</v>
      </c>
      <c r="J2290" s="1">
        <v>1</v>
      </c>
      <c r="AS2290" s="1">
        <v>1</v>
      </c>
    </row>
    <row r="2291" spans="1:77" x14ac:dyDescent="0.3">
      <c r="A2291" s="1" t="s">
        <v>52</v>
      </c>
      <c r="B2291" s="7">
        <v>40759</v>
      </c>
      <c r="C2291" s="1">
        <v>19</v>
      </c>
      <c r="D2291" s="1">
        <v>290</v>
      </c>
      <c r="E2291" s="1">
        <v>0</v>
      </c>
      <c r="F2291" s="1">
        <v>78</v>
      </c>
      <c r="J2291" s="1">
        <v>1</v>
      </c>
    </row>
    <row r="2292" spans="1:77" x14ac:dyDescent="0.3">
      <c r="A2292" s="1" t="s">
        <v>52</v>
      </c>
      <c r="B2292" s="7">
        <v>40759</v>
      </c>
      <c r="C2292" s="1">
        <v>19</v>
      </c>
      <c r="D2292" s="1">
        <v>290</v>
      </c>
      <c r="E2292" s="1">
        <v>0</v>
      </c>
      <c r="F2292" s="1">
        <v>79</v>
      </c>
      <c r="J2292" s="1">
        <v>1</v>
      </c>
    </row>
    <row r="2293" spans="1:77" x14ac:dyDescent="0.3">
      <c r="A2293" s="1" t="s">
        <v>52</v>
      </c>
      <c r="B2293" s="7">
        <v>40759</v>
      </c>
      <c r="C2293" s="1">
        <v>19</v>
      </c>
      <c r="D2293" s="1">
        <v>290</v>
      </c>
      <c r="E2293" s="1">
        <v>0</v>
      </c>
      <c r="F2293" s="1">
        <v>80</v>
      </c>
      <c r="H2293" s="1">
        <v>1</v>
      </c>
      <c r="AS2293" s="1">
        <v>1</v>
      </c>
    </row>
    <row r="2294" spans="1:77" x14ac:dyDescent="0.3">
      <c r="A2294" s="1" t="s">
        <v>52</v>
      </c>
      <c r="B2294" s="7">
        <v>40759</v>
      </c>
      <c r="C2294" s="1">
        <v>19</v>
      </c>
      <c r="D2294" s="1">
        <v>290</v>
      </c>
      <c r="E2294" s="1">
        <v>0</v>
      </c>
      <c r="F2294" s="1">
        <v>81</v>
      </c>
      <c r="BY2294" s="1">
        <v>1</v>
      </c>
    </row>
    <row r="2295" spans="1:77" x14ac:dyDescent="0.3">
      <c r="A2295" s="1" t="s">
        <v>52</v>
      </c>
      <c r="B2295" s="7">
        <v>40759</v>
      </c>
      <c r="C2295" s="1">
        <v>19</v>
      </c>
      <c r="D2295" s="1">
        <v>290</v>
      </c>
      <c r="E2295" s="1">
        <v>0</v>
      </c>
      <c r="F2295" s="1">
        <v>82</v>
      </c>
      <c r="R2295" s="1">
        <v>1</v>
      </c>
    </row>
    <row r="2296" spans="1:77" x14ac:dyDescent="0.3">
      <c r="A2296" s="1" t="s">
        <v>52</v>
      </c>
      <c r="B2296" s="7">
        <v>40759</v>
      </c>
      <c r="C2296" s="1">
        <v>19</v>
      </c>
      <c r="D2296" s="1">
        <v>290</v>
      </c>
      <c r="E2296" s="1">
        <v>0</v>
      </c>
      <c r="F2296" s="1">
        <v>83</v>
      </c>
      <c r="H2296" s="1">
        <v>1</v>
      </c>
      <c r="J2296" s="1">
        <v>1</v>
      </c>
    </row>
    <row r="2297" spans="1:77" x14ac:dyDescent="0.3">
      <c r="A2297" s="1" t="s">
        <v>52</v>
      </c>
      <c r="B2297" s="7">
        <v>40759</v>
      </c>
      <c r="C2297" s="1">
        <v>19</v>
      </c>
      <c r="D2297" s="1">
        <v>290</v>
      </c>
      <c r="E2297" s="1">
        <v>0</v>
      </c>
      <c r="F2297" s="1">
        <v>84</v>
      </c>
      <c r="J2297" s="1">
        <v>1</v>
      </c>
    </row>
    <row r="2298" spans="1:77" x14ac:dyDescent="0.3">
      <c r="A2298" s="1" t="s">
        <v>52</v>
      </c>
      <c r="B2298" s="7">
        <v>40759</v>
      </c>
      <c r="C2298" s="1">
        <v>19</v>
      </c>
      <c r="D2298" s="1">
        <v>290</v>
      </c>
      <c r="E2298" s="1">
        <v>0</v>
      </c>
      <c r="F2298" s="1">
        <v>85</v>
      </c>
      <c r="J2298" s="1">
        <v>1</v>
      </c>
    </row>
    <row r="2299" spans="1:77" x14ac:dyDescent="0.3">
      <c r="A2299" s="1" t="s">
        <v>52</v>
      </c>
      <c r="B2299" s="7">
        <v>40759</v>
      </c>
      <c r="C2299" s="1">
        <v>19</v>
      </c>
      <c r="D2299" s="1">
        <v>290</v>
      </c>
      <c r="E2299" s="1">
        <v>0</v>
      </c>
      <c r="F2299" s="1">
        <v>86</v>
      </c>
      <c r="J2299" s="1">
        <v>1</v>
      </c>
    </row>
    <row r="2300" spans="1:77" x14ac:dyDescent="0.3">
      <c r="A2300" s="1" t="s">
        <v>52</v>
      </c>
      <c r="B2300" s="7">
        <v>40759</v>
      </c>
      <c r="C2300" s="1">
        <v>19</v>
      </c>
      <c r="D2300" s="1">
        <v>290</v>
      </c>
      <c r="E2300" s="1">
        <v>0</v>
      </c>
      <c r="F2300" s="1">
        <v>87</v>
      </c>
      <c r="J2300" s="3">
        <v>0</v>
      </c>
      <c r="K2300" s="3">
        <v>1</v>
      </c>
    </row>
    <row r="2301" spans="1:77" x14ac:dyDescent="0.3">
      <c r="A2301" s="1" t="s">
        <v>52</v>
      </c>
      <c r="B2301" s="7">
        <v>40759</v>
      </c>
      <c r="C2301" s="1">
        <v>19</v>
      </c>
      <c r="D2301" s="1">
        <v>290</v>
      </c>
      <c r="E2301" s="1">
        <v>0</v>
      </c>
      <c r="F2301" s="1">
        <v>88</v>
      </c>
      <c r="J2301" s="1">
        <v>1</v>
      </c>
    </row>
    <row r="2302" spans="1:77" x14ac:dyDescent="0.3">
      <c r="A2302" s="1" t="s">
        <v>52</v>
      </c>
      <c r="B2302" s="7">
        <v>40759</v>
      </c>
      <c r="C2302" s="1">
        <v>19</v>
      </c>
      <c r="D2302" s="1">
        <v>290</v>
      </c>
      <c r="E2302" s="1">
        <v>0</v>
      </c>
      <c r="F2302" s="1">
        <v>89</v>
      </c>
      <c r="J2302" s="1">
        <v>1</v>
      </c>
    </row>
    <row r="2303" spans="1:77" x14ac:dyDescent="0.3">
      <c r="A2303" s="1" t="s">
        <v>52</v>
      </c>
      <c r="B2303" s="7">
        <v>40759</v>
      </c>
      <c r="C2303" s="1">
        <v>19</v>
      </c>
      <c r="D2303" s="1">
        <v>290</v>
      </c>
      <c r="E2303" s="1">
        <v>0</v>
      </c>
      <c r="F2303" s="1">
        <v>90</v>
      </c>
      <c r="I2303" s="1">
        <v>1</v>
      </c>
      <c r="J2303" s="1">
        <v>1</v>
      </c>
    </row>
    <row r="2304" spans="1:77" x14ac:dyDescent="0.3">
      <c r="A2304" s="1" t="s">
        <v>52</v>
      </c>
      <c r="B2304" s="7">
        <v>40759</v>
      </c>
      <c r="C2304" s="1">
        <v>19</v>
      </c>
      <c r="D2304" s="1">
        <v>290</v>
      </c>
      <c r="E2304" s="1">
        <v>0</v>
      </c>
      <c r="F2304" s="1">
        <v>91</v>
      </c>
      <c r="J2304" s="1">
        <v>1</v>
      </c>
    </row>
    <row r="2305" spans="1:45" x14ac:dyDescent="0.3">
      <c r="A2305" s="1" t="s">
        <v>52</v>
      </c>
      <c r="B2305" s="7">
        <v>40759</v>
      </c>
      <c r="C2305" s="1">
        <v>19</v>
      </c>
      <c r="D2305" s="1">
        <v>290</v>
      </c>
      <c r="E2305" s="1">
        <v>0</v>
      </c>
      <c r="F2305" s="1">
        <v>92</v>
      </c>
      <c r="J2305" s="1">
        <v>1</v>
      </c>
    </row>
    <row r="2306" spans="1:45" x14ac:dyDescent="0.3">
      <c r="A2306" s="1" t="s">
        <v>52</v>
      </c>
      <c r="B2306" s="7">
        <v>40759</v>
      </c>
      <c r="C2306" s="1">
        <v>19</v>
      </c>
      <c r="D2306" s="1">
        <v>290</v>
      </c>
      <c r="E2306" s="1">
        <v>0</v>
      </c>
      <c r="F2306" s="1">
        <v>93</v>
      </c>
      <c r="J2306" s="1">
        <v>1</v>
      </c>
      <c r="AS2306" s="1">
        <v>1</v>
      </c>
    </row>
    <row r="2307" spans="1:45" x14ac:dyDescent="0.3">
      <c r="A2307" s="1" t="s">
        <v>52</v>
      </c>
      <c r="B2307" s="7">
        <v>40759</v>
      </c>
      <c r="C2307" s="1">
        <v>19</v>
      </c>
      <c r="D2307" s="1">
        <v>290</v>
      </c>
      <c r="E2307" s="1">
        <v>0</v>
      </c>
      <c r="F2307" s="1">
        <v>94</v>
      </c>
      <c r="J2307" s="1">
        <v>1</v>
      </c>
      <c r="AS2307" s="1">
        <v>1</v>
      </c>
    </row>
    <row r="2308" spans="1:45" x14ac:dyDescent="0.3">
      <c r="A2308" s="1" t="s">
        <v>52</v>
      </c>
      <c r="B2308" s="7">
        <v>40759</v>
      </c>
      <c r="C2308" s="1">
        <v>19</v>
      </c>
      <c r="D2308" s="1">
        <v>290</v>
      </c>
      <c r="E2308" s="1">
        <v>0</v>
      </c>
      <c r="F2308" s="1">
        <v>95</v>
      </c>
      <c r="J2308" s="1">
        <v>1</v>
      </c>
      <c r="AS2308" s="1">
        <v>1</v>
      </c>
    </row>
    <row r="2309" spans="1:45" x14ac:dyDescent="0.3">
      <c r="A2309" s="1" t="s">
        <v>52</v>
      </c>
      <c r="B2309" s="7">
        <v>40759</v>
      </c>
      <c r="C2309" s="1">
        <v>19</v>
      </c>
      <c r="D2309" s="1">
        <v>290</v>
      </c>
      <c r="E2309" s="1">
        <v>0</v>
      </c>
      <c r="F2309" s="1">
        <v>96</v>
      </c>
      <c r="J2309" s="1">
        <v>1</v>
      </c>
      <c r="AS2309" s="1">
        <v>1</v>
      </c>
    </row>
    <row r="2310" spans="1:45" x14ac:dyDescent="0.3">
      <c r="A2310" s="1" t="s">
        <v>52</v>
      </c>
      <c r="B2310" s="7">
        <v>40759</v>
      </c>
      <c r="C2310" s="1">
        <v>19</v>
      </c>
      <c r="D2310" s="1">
        <v>290</v>
      </c>
      <c r="E2310" s="1">
        <v>0</v>
      </c>
      <c r="F2310" s="1">
        <v>97</v>
      </c>
      <c r="J2310" s="1">
        <v>1</v>
      </c>
    </row>
    <row r="2311" spans="1:45" x14ac:dyDescent="0.3">
      <c r="A2311" s="1" t="s">
        <v>52</v>
      </c>
      <c r="B2311" s="7">
        <v>40759</v>
      </c>
      <c r="C2311" s="1">
        <v>19</v>
      </c>
      <c r="D2311" s="1">
        <v>290</v>
      </c>
      <c r="E2311" s="1">
        <v>0</v>
      </c>
      <c r="F2311" s="1">
        <v>98</v>
      </c>
      <c r="I2311" s="1">
        <v>1</v>
      </c>
      <c r="J2311" s="3">
        <v>0</v>
      </c>
      <c r="K2311" s="3">
        <v>1</v>
      </c>
    </row>
    <row r="2312" spans="1:45" x14ac:dyDescent="0.3">
      <c r="A2312" s="1" t="s">
        <v>52</v>
      </c>
      <c r="B2312" s="7">
        <v>40759</v>
      </c>
      <c r="C2312" s="1">
        <v>19</v>
      </c>
      <c r="D2312" s="1">
        <v>290</v>
      </c>
      <c r="E2312" s="1">
        <v>0</v>
      </c>
      <c r="F2312" s="1">
        <v>99</v>
      </c>
      <c r="H2312" s="1">
        <v>1</v>
      </c>
      <c r="I2312" s="1">
        <v>1</v>
      </c>
    </row>
    <row r="2313" spans="1:45" x14ac:dyDescent="0.3">
      <c r="A2313" s="1" t="s">
        <v>52</v>
      </c>
      <c r="B2313" s="7">
        <v>40759</v>
      </c>
      <c r="C2313" s="1">
        <v>19</v>
      </c>
      <c r="D2313" s="1">
        <v>290</v>
      </c>
      <c r="E2313" s="1">
        <v>0</v>
      </c>
      <c r="F2313" s="1">
        <v>100</v>
      </c>
      <c r="J2313" s="1">
        <v>1</v>
      </c>
    </row>
    <row r="2314" spans="1:45" x14ac:dyDescent="0.3">
      <c r="A2314" s="1" t="s">
        <v>52</v>
      </c>
      <c r="B2314" s="7">
        <v>40759</v>
      </c>
      <c r="C2314" s="1">
        <v>20</v>
      </c>
      <c r="D2314" s="1">
        <v>176</v>
      </c>
      <c r="E2314" s="1">
        <v>2</v>
      </c>
      <c r="F2314" s="1">
        <v>1</v>
      </c>
      <c r="J2314" s="1">
        <v>1</v>
      </c>
    </row>
    <row r="2315" spans="1:45" x14ac:dyDescent="0.3">
      <c r="A2315" s="1" t="s">
        <v>52</v>
      </c>
      <c r="B2315" s="7">
        <v>40759</v>
      </c>
      <c r="C2315" s="1">
        <v>20</v>
      </c>
      <c r="D2315" s="1">
        <v>176</v>
      </c>
      <c r="E2315" s="1">
        <v>2</v>
      </c>
      <c r="F2315" s="1">
        <v>2</v>
      </c>
      <c r="H2315" s="1">
        <v>1</v>
      </c>
      <c r="I2315" s="1">
        <v>1</v>
      </c>
    </row>
    <row r="2316" spans="1:45" x14ac:dyDescent="0.3">
      <c r="A2316" s="1" t="s">
        <v>52</v>
      </c>
      <c r="B2316" s="7">
        <v>40759</v>
      </c>
      <c r="C2316" s="1">
        <v>20</v>
      </c>
      <c r="D2316" s="1">
        <v>176</v>
      </c>
      <c r="E2316" s="1">
        <v>2</v>
      </c>
      <c r="F2316" s="1">
        <v>3</v>
      </c>
      <c r="J2316" s="1">
        <v>1</v>
      </c>
    </row>
    <row r="2317" spans="1:45" x14ac:dyDescent="0.3">
      <c r="A2317" s="1" t="s">
        <v>52</v>
      </c>
      <c r="B2317" s="7">
        <v>40759</v>
      </c>
      <c r="C2317" s="1">
        <v>20</v>
      </c>
      <c r="D2317" s="1">
        <v>176</v>
      </c>
      <c r="E2317" s="1">
        <v>2</v>
      </c>
      <c r="F2317" s="1">
        <v>4</v>
      </c>
      <c r="J2317" s="1">
        <v>1</v>
      </c>
      <c r="AI2317" s="1">
        <v>1</v>
      </c>
    </row>
    <row r="2318" spans="1:45" x14ac:dyDescent="0.3">
      <c r="A2318" s="1" t="s">
        <v>52</v>
      </c>
      <c r="B2318" s="7">
        <v>40759</v>
      </c>
      <c r="C2318" s="1">
        <v>20</v>
      </c>
      <c r="D2318" s="1">
        <v>176</v>
      </c>
      <c r="E2318" s="1">
        <v>2</v>
      </c>
      <c r="F2318" s="1">
        <v>5</v>
      </c>
      <c r="J2318" s="1">
        <v>1</v>
      </c>
      <c r="AA2318" s="1">
        <v>1</v>
      </c>
    </row>
    <row r="2319" spans="1:45" x14ac:dyDescent="0.3">
      <c r="A2319" s="1" t="s">
        <v>52</v>
      </c>
      <c r="B2319" s="7">
        <v>40759</v>
      </c>
      <c r="C2319" s="1">
        <v>20</v>
      </c>
      <c r="D2319" s="1">
        <v>176</v>
      </c>
      <c r="E2319" s="1">
        <v>2</v>
      </c>
      <c r="F2319" s="1">
        <v>6</v>
      </c>
      <c r="I2319" s="1">
        <v>1</v>
      </c>
    </row>
    <row r="2320" spans="1:45" x14ac:dyDescent="0.3">
      <c r="A2320" s="1" t="s">
        <v>52</v>
      </c>
      <c r="B2320" s="7">
        <v>40759</v>
      </c>
      <c r="C2320" s="1">
        <v>20</v>
      </c>
      <c r="D2320" s="1">
        <v>176</v>
      </c>
      <c r="E2320" s="1">
        <v>2</v>
      </c>
      <c r="F2320" s="1">
        <v>7</v>
      </c>
      <c r="J2320" s="1">
        <v>1</v>
      </c>
    </row>
    <row r="2321" spans="1:56" x14ac:dyDescent="0.3">
      <c r="A2321" s="1" t="s">
        <v>52</v>
      </c>
      <c r="B2321" s="7">
        <v>40759</v>
      </c>
      <c r="C2321" s="1">
        <v>20</v>
      </c>
      <c r="D2321" s="1">
        <v>176</v>
      </c>
      <c r="E2321" s="1">
        <v>2</v>
      </c>
      <c r="F2321" s="1">
        <v>8</v>
      </c>
      <c r="J2321" s="1">
        <v>1</v>
      </c>
    </row>
    <row r="2322" spans="1:56" x14ac:dyDescent="0.3">
      <c r="A2322" s="1" t="s">
        <v>52</v>
      </c>
      <c r="B2322" s="7">
        <v>40759</v>
      </c>
      <c r="C2322" s="1">
        <v>20</v>
      </c>
      <c r="D2322" s="1">
        <v>176</v>
      </c>
      <c r="E2322" s="1">
        <v>2</v>
      </c>
      <c r="F2322" s="1">
        <v>9</v>
      </c>
      <c r="J2322" s="3">
        <v>0</v>
      </c>
      <c r="K2322" s="3">
        <v>1</v>
      </c>
    </row>
    <row r="2323" spans="1:56" x14ac:dyDescent="0.3">
      <c r="A2323" s="1" t="s">
        <v>52</v>
      </c>
      <c r="B2323" s="7">
        <v>40759</v>
      </c>
      <c r="C2323" s="1">
        <v>20</v>
      </c>
      <c r="D2323" s="1">
        <v>176</v>
      </c>
      <c r="E2323" s="1">
        <v>2</v>
      </c>
      <c r="F2323" s="1">
        <v>10</v>
      </c>
      <c r="J2323" s="1">
        <v>1</v>
      </c>
    </row>
    <row r="2324" spans="1:56" x14ac:dyDescent="0.3">
      <c r="A2324" s="1" t="s">
        <v>52</v>
      </c>
      <c r="B2324" s="7">
        <v>40759</v>
      </c>
      <c r="C2324" s="1">
        <v>20</v>
      </c>
      <c r="D2324" s="1">
        <v>176</v>
      </c>
      <c r="E2324" s="1">
        <v>2</v>
      </c>
      <c r="F2324" s="1">
        <v>11</v>
      </c>
      <c r="L2324" s="1">
        <v>1</v>
      </c>
    </row>
    <row r="2325" spans="1:56" x14ac:dyDescent="0.3">
      <c r="A2325" s="1" t="s">
        <v>52</v>
      </c>
      <c r="B2325" s="7">
        <v>40759</v>
      </c>
      <c r="C2325" s="1">
        <v>20</v>
      </c>
      <c r="D2325" s="1">
        <v>176</v>
      </c>
      <c r="E2325" s="1">
        <v>2</v>
      </c>
      <c r="F2325" s="1">
        <v>12</v>
      </c>
      <c r="I2325" s="1">
        <v>1</v>
      </c>
    </row>
    <row r="2326" spans="1:56" x14ac:dyDescent="0.3">
      <c r="A2326" s="1" t="s">
        <v>52</v>
      </c>
      <c r="B2326" s="7">
        <v>40759</v>
      </c>
      <c r="C2326" s="1">
        <v>20</v>
      </c>
      <c r="D2326" s="1">
        <v>176</v>
      </c>
      <c r="E2326" s="1">
        <v>2</v>
      </c>
      <c r="F2326" s="1">
        <v>13</v>
      </c>
      <c r="J2326" s="1">
        <v>1</v>
      </c>
    </row>
    <row r="2327" spans="1:56" x14ac:dyDescent="0.3">
      <c r="A2327" s="1" t="s">
        <v>52</v>
      </c>
      <c r="B2327" s="7">
        <v>40759</v>
      </c>
      <c r="C2327" s="1">
        <v>20</v>
      </c>
      <c r="D2327" s="1">
        <v>176</v>
      </c>
      <c r="E2327" s="1">
        <v>2</v>
      </c>
      <c r="F2327" s="1">
        <v>14</v>
      </c>
      <c r="AA2327" s="1">
        <v>1</v>
      </c>
    </row>
    <row r="2328" spans="1:56" x14ac:dyDescent="0.3">
      <c r="A2328" s="1" t="s">
        <v>52</v>
      </c>
      <c r="B2328" s="7">
        <v>40759</v>
      </c>
      <c r="C2328" s="1">
        <v>20</v>
      </c>
      <c r="D2328" s="1">
        <v>176</v>
      </c>
      <c r="E2328" s="1">
        <v>2</v>
      </c>
      <c r="F2328" s="1">
        <v>15</v>
      </c>
      <c r="AA2328" s="1">
        <v>1</v>
      </c>
    </row>
    <row r="2329" spans="1:56" x14ac:dyDescent="0.3">
      <c r="A2329" s="1" t="s">
        <v>52</v>
      </c>
      <c r="B2329" s="7">
        <v>40759</v>
      </c>
      <c r="C2329" s="1">
        <v>20</v>
      </c>
      <c r="D2329" s="1">
        <v>176</v>
      </c>
      <c r="E2329" s="1">
        <v>2</v>
      </c>
      <c r="F2329" s="1">
        <v>16</v>
      </c>
      <c r="I2329" s="1">
        <v>1</v>
      </c>
    </row>
    <row r="2330" spans="1:56" x14ac:dyDescent="0.3">
      <c r="A2330" s="1" t="s">
        <v>52</v>
      </c>
      <c r="B2330" s="7">
        <v>40759</v>
      </c>
      <c r="C2330" s="1">
        <v>20</v>
      </c>
      <c r="D2330" s="1">
        <v>176</v>
      </c>
      <c r="E2330" s="1">
        <v>2</v>
      </c>
      <c r="F2330" s="1">
        <v>17</v>
      </c>
      <c r="I2330" s="1">
        <v>1</v>
      </c>
      <c r="J2330" s="1">
        <v>1</v>
      </c>
    </row>
    <row r="2331" spans="1:56" x14ac:dyDescent="0.3">
      <c r="A2331" s="1" t="s">
        <v>52</v>
      </c>
      <c r="B2331" s="7">
        <v>40759</v>
      </c>
      <c r="C2331" s="1">
        <v>20</v>
      </c>
      <c r="D2331" s="1">
        <v>176</v>
      </c>
      <c r="E2331" s="1">
        <v>2</v>
      </c>
      <c r="F2331" s="1">
        <v>18</v>
      </c>
      <c r="I2331" s="1">
        <v>1</v>
      </c>
      <c r="BD2331" s="1">
        <v>1</v>
      </c>
    </row>
    <row r="2332" spans="1:56" x14ac:dyDescent="0.3">
      <c r="A2332" s="1" t="s">
        <v>52</v>
      </c>
      <c r="B2332" s="7">
        <v>40759</v>
      </c>
      <c r="C2332" s="1">
        <v>20</v>
      </c>
      <c r="D2332" s="1">
        <v>176</v>
      </c>
      <c r="E2332" s="1">
        <v>2</v>
      </c>
      <c r="F2332" s="1">
        <v>19</v>
      </c>
      <c r="J2332" s="1">
        <v>1</v>
      </c>
    </row>
    <row r="2333" spans="1:56" x14ac:dyDescent="0.3">
      <c r="A2333" s="1" t="s">
        <v>52</v>
      </c>
      <c r="B2333" s="7">
        <v>40759</v>
      </c>
      <c r="C2333" s="1">
        <v>20</v>
      </c>
      <c r="D2333" s="1">
        <v>176</v>
      </c>
      <c r="E2333" s="1">
        <v>2</v>
      </c>
      <c r="F2333" s="1">
        <v>20</v>
      </c>
      <c r="I2333" s="1">
        <v>1</v>
      </c>
      <c r="J2333" s="1">
        <v>1</v>
      </c>
    </row>
    <row r="2334" spans="1:56" x14ac:dyDescent="0.3">
      <c r="A2334" s="1" t="s">
        <v>52</v>
      </c>
      <c r="B2334" s="7">
        <v>40759</v>
      </c>
      <c r="C2334" s="1">
        <v>20</v>
      </c>
      <c r="D2334" s="1">
        <v>176</v>
      </c>
      <c r="E2334" s="1">
        <v>2</v>
      </c>
      <c r="F2334" s="1">
        <v>21</v>
      </c>
      <c r="J2334" s="1">
        <v>1</v>
      </c>
      <c r="L2334" s="1">
        <v>1</v>
      </c>
    </row>
    <row r="2335" spans="1:56" x14ac:dyDescent="0.3">
      <c r="A2335" s="1" t="s">
        <v>52</v>
      </c>
      <c r="B2335" s="7">
        <v>40759</v>
      </c>
      <c r="C2335" s="1">
        <v>20</v>
      </c>
      <c r="D2335" s="1">
        <v>176</v>
      </c>
      <c r="E2335" s="1">
        <v>2</v>
      </c>
      <c r="F2335" s="1">
        <v>22</v>
      </c>
      <c r="J2335" s="1">
        <v>1</v>
      </c>
    </row>
    <row r="2336" spans="1:56" x14ac:dyDescent="0.3">
      <c r="A2336" s="1" t="s">
        <v>52</v>
      </c>
      <c r="B2336" s="7">
        <v>40759</v>
      </c>
      <c r="C2336" s="1">
        <v>20</v>
      </c>
      <c r="D2336" s="1">
        <v>176</v>
      </c>
      <c r="E2336" s="1">
        <v>2</v>
      </c>
      <c r="F2336" s="1">
        <v>23</v>
      </c>
      <c r="J2336" s="3">
        <v>0</v>
      </c>
      <c r="K2336" s="3">
        <v>1</v>
      </c>
    </row>
    <row r="2337" spans="1:56" x14ac:dyDescent="0.3">
      <c r="A2337" s="1" t="s">
        <v>52</v>
      </c>
      <c r="B2337" s="7">
        <v>40759</v>
      </c>
      <c r="C2337" s="1">
        <v>20</v>
      </c>
      <c r="D2337" s="1">
        <v>176</v>
      </c>
      <c r="E2337" s="1">
        <v>2</v>
      </c>
      <c r="F2337" s="1">
        <v>24</v>
      </c>
      <c r="J2337" s="1">
        <v>1</v>
      </c>
      <c r="AI2337" s="1">
        <v>1</v>
      </c>
    </row>
    <row r="2338" spans="1:56" x14ac:dyDescent="0.3">
      <c r="A2338" s="1" t="s">
        <v>52</v>
      </c>
      <c r="B2338" s="7">
        <v>40759</v>
      </c>
      <c r="C2338" s="1">
        <v>20</v>
      </c>
      <c r="D2338" s="1">
        <v>176</v>
      </c>
      <c r="E2338" s="1">
        <v>2</v>
      </c>
      <c r="F2338" s="1">
        <v>25</v>
      </c>
      <c r="AA2338" s="1">
        <v>1</v>
      </c>
    </row>
    <row r="2339" spans="1:56" x14ac:dyDescent="0.3">
      <c r="A2339" s="1" t="s">
        <v>52</v>
      </c>
      <c r="B2339" s="7">
        <v>40759</v>
      </c>
      <c r="C2339" s="1">
        <v>20</v>
      </c>
      <c r="D2339" s="1">
        <v>176</v>
      </c>
      <c r="E2339" s="1">
        <v>2</v>
      </c>
      <c r="F2339" s="1">
        <v>26</v>
      </c>
      <c r="I2339" s="1">
        <v>1</v>
      </c>
    </row>
    <row r="2340" spans="1:56" x14ac:dyDescent="0.3">
      <c r="A2340" s="1" t="s">
        <v>52</v>
      </c>
      <c r="B2340" s="7">
        <v>40759</v>
      </c>
      <c r="C2340" s="1">
        <v>20</v>
      </c>
      <c r="D2340" s="1">
        <v>176</v>
      </c>
      <c r="E2340" s="1">
        <v>2</v>
      </c>
      <c r="F2340" s="1">
        <v>27</v>
      </c>
      <c r="J2340" s="1">
        <v>1</v>
      </c>
    </row>
    <row r="2341" spans="1:56" x14ac:dyDescent="0.3">
      <c r="A2341" s="1" t="s">
        <v>52</v>
      </c>
      <c r="B2341" s="7">
        <v>40759</v>
      </c>
      <c r="C2341" s="1">
        <v>20</v>
      </c>
      <c r="D2341" s="1">
        <v>176</v>
      </c>
      <c r="E2341" s="1">
        <v>2</v>
      </c>
      <c r="F2341" s="1">
        <v>28</v>
      </c>
      <c r="J2341" s="1">
        <v>1</v>
      </c>
      <c r="L2341" s="1">
        <v>1</v>
      </c>
    </row>
    <row r="2342" spans="1:56" x14ac:dyDescent="0.3">
      <c r="A2342" s="1" t="s">
        <v>52</v>
      </c>
      <c r="B2342" s="7">
        <v>40759</v>
      </c>
      <c r="C2342" s="1">
        <v>20</v>
      </c>
      <c r="D2342" s="1">
        <v>176</v>
      </c>
      <c r="E2342" s="1">
        <v>2</v>
      </c>
      <c r="F2342" s="1">
        <v>29</v>
      </c>
      <c r="J2342" s="1">
        <v>1</v>
      </c>
    </row>
    <row r="2343" spans="1:56" x14ac:dyDescent="0.3">
      <c r="A2343" s="1" t="s">
        <v>52</v>
      </c>
      <c r="B2343" s="7">
        <v>40759</v>
      </c>
      <c r="C2343" s="1">
        <v>20</v>
      </c>
      <c r="D2343" s="1">
        <v>176</v>
      </c>
      <c r="E2343" s="1">
        <v>2</v>
      </c>
      <c r="F2343" s="1">
        <v>30</v>
      </c>
      <c r="J2343" s="1">
        <v>1</v>
      </c>
      <c r="L2343" s="1">
        <v>1</v>
      </c>
    </row>
    <row r="2344" spans="1:56" x14ac:dyDescent="0.3">
      <c r="A2344" s="1" t="s">
        <v>52</v>
      </c>
      <c r="B2344" s="7">
        <v>40759</v>
      </c>
      <c r="C2344" s="1">
        <v>20</v>
      </c>
      <c r="D2344" s="1">
        <v>176</v>
      </c>
      <c r="E2344" s="1">
        <v>2</v>
      </c>
      <c r="F2344" s="1">
        <v>31</v>
      </c>
      <c r="J2344" s="1">
        <v>1</v>
      </c>
    </row>
    <row r="2345" spans="1:56" x14ac:dyDescent="0.3">
      <c r="A2345" s="1" t="s">
        <v>52</v>
      </c>
      <c r="B2345" s="7">
        <v>40759</v>
      </c>
      <c r="C2345" s="1">
        <v>20</v>
      </c>
      <c r="D2345" s="1">
        <v>176</v>
      </c>
      <c r="E2345" s="1">
        <v>2</v>
      </c>
      <c r="F2345" s="1">
        <v>32</v>
      </c>
      <c r="J2345" s="1">
        <v>1</v>
      </c>
      <c r="AI2345" s="3">
        <v>0</v>
      </c>
      <c r="AJ2345" s="3">
        <v>1</v>
      </c>
    </row>
    <row r="2346" spans="1:56" x14ac:dyDescent="0.3">
      <c r="A2346" s="1" t="s">
        <v>52</v>
      </c>
      <c r="B2346" s="7">
        <v>40759</v>
      </c>
      <c r="C2346" s="1">
        <v>20</v>
      </c>
      <c r="D2346" s="1">
        <v>176</v>
      </c>
      <c r="E2346" s="1">
        <v>2</v>
      </c>
      <c r="F2346" s="1">
        <v>33</v>
      </c>
      <c r="L2346" s="1">
        <v>1</v>
      </c>
    </row>
    <row r="2347" spans="1:56" x14ac:dyDescent="0.3">
      <c r="A2347" s="1" t="s">
        <v>52</v>
      </c>
      <c r="B2347" s="7">
        <v>40759</v>
      </c>
      <c r="C2347" s="1">
        <v>20</v>
      </c>
      <c r="D2347" s="1">
        <v>176</v>
      </c>
      <c r="E2347" s="1">
        <v>2</v>
      </c>
      <c r="F2347" s="1">
        <v>34</v>
      </c>
      <c r="I2347" s="1">
        <v>1</v>
      </c>
      <c r="L2347" s="1">
        <v>1</v>
      </c>
    </row>
    <row r="2348" spans="1:56" x14ac:dyDescent="0.3">
      <c r="A2348" s="1" t="s">
        <v>52</v>
      </c>
      <c r="B2348" s="7">
        <v>40759</v>
      </c>
      <c r="C2348" s="1">
        <v>20</v>
      </c>
      <c r="D2348" s="1">
        <v>176</v>
      </c>
      <c r="E2348" s="1">
        <v>2</v>
      </c>
      <c r="F2348" s="1">
        <v>35</v>
      </c>
      <c r="I2348" s="1">
        <v>1</v>
      </c>
      <c r="J2348" s="1">
        <v>1</v>
      </c>
    </row>
    <row r="2349" spans="1:56" x14ac:dyDescent="0.3">
      <c r="A2349" s="1" t="s">
        <v>52</v>
      </c>
      <c r="B2349" s="7">
        <v>40759</v>
      </c>
      <c r="C2349" s="1">
        <v>20</v>
      </c>
      <c r="D2349" s="1">
        <v>176</v>
      </c>
      <c r="E2349" s="1">
        <v>2</v>
      </c>
      <c r="F2349" s="1">
        <v>36</v>
      </c>
      <c r="I2349" s="1">
        <v>1</v>
      </c>
    </row>
    <row r="2350" spans="1:56" x14ac:dyDescent="0.3">
      <c r="A2350" s="1" t="s">
        <v>52</v>
      </c>
      <c r="B2350" s="7">
        <v>40759</v>
      </c>
      <c r="C2350" s="1">
        <v>20</v>
      </c>
      <c r="D2350" s="1">
        <v>176</v>
      </c>
      <c r="E2350" s="1">
        <v>2</v>
      </c>
      <c r="F2350" s="1">
        <v>37</v>
      </c>
      <c r="L2350" s="8">
        <v>1</v>
      </c>
      <c r="M2350" s="8"/>
    </row>
    <row r="2351" spans="1:56" x14ac:dyDescent="0.3">
      <c r="A2351" s="1" t="s">
        <v>52</v>
      </c>
      <c r="B2351" s="7">
        <v>40759</v>
      </c>
      <c r="C2351" s="1">
        <v>20</v>
      </c>
      <c r="D2351" s="1">
        <v>176</v>
      </c>
      <c r="E2351" s="1">
        <v>2</v>
      </c>
      <c r="F2351" s="1">
        <v>38</v>
      </c>
      <c r="I2351" s="1">
        <v>1</v>
      </c>
      <c r="BD2351" s="1">
        <v>1</v>
      </c>
    </row>
    <row r="2352" spans="1:56" x14ac:dyDescent="0.3">
      <c r="A2352" s="1" t="s">
        <v>52</v>
      </c>
      <c r="B2352" s="7">
        <v>40759</v>
      </c>
      <c r="C2352" s="1">
        <v>20</v>
      </c>
      <c r="D2352" s="1">
        <v>176</v>
      </c>
      <c r="E2352" s="1">
        <v>2</v>
      </c>
      <c r="F2352" s="1">
        <v>39</v>
      </c>
      <c r="J2352" s="1">
        <v>1</v>
      </c>
      <c r="R2352" s="1">
        <v>1</v>
      </c>
    </row>
    <row r="2353" spans="1:19" x14ac:dyDescent="0.3">
      <c r="A2353" s="1" t="s">
        <v>52</v>
      </c>
      <c r="B2353" s="7">
        <v>40759</v>
      </c>
      <c r="C2353" s="1">
        <v>20</v>
      </c>
      <c r="D2353" s="1">
        <v>176</v>
      </c>
      <c r="E2353" s="1">
        <v>2</v>
      </c>
      <c r="F2353" s="1">
        <v>40</v>
      </c>
      <c r="I2353" s="1">
        <v>1</v>
      </c>
      <c r="R2353" s="3">
        <v>0</v>
      </c>
      <c r="S2353" s="3">
        <v>1</v>
      </c>
    </row>
    <row r="2354" spans="1:19" x14ac:dyDescent="0.3">
      <c r="A2354" s="1" t="s">
        <v>52</v>
      </c>
      <c r="B2354" s="7">
        <v>40759</v>
      </c>
      <c r="C2354" s="1">
        <v>20</v>
      </c>
      <c r="D2354" s="1">
        <v>176</v>
      </c>
      <c r="E2354" s="1">
        <v>2</v>
      </c>
      <c r="F2354" s="1">
        <v>41</v>
      </c>
      <c r="J2354" s="3">
        <v>0</v>
      </c>
      <c r="K2354" s="3">
        <v>1</v>
      </c>
    </row>
    <row r="2355" spans="1:19" x14ac:dyDescent="0.3">
      <c r="A2355" s="1" t="s">
        <v>52</v>
      </c>
      <c r="B2355" s="7">
        <v>40759</v>
      </c>
      <c r="C2355" s="1">
        <v>20</v>
      </c>
      <c r="D2355" s="1">
        <v>176</v>
      </c>
      <c r="E2355" s="1">
        <v>2</v>
      </c>
      <c r="F2355" s="1">
        <v>42</v>
      </c>
      <c r="I2355" s="1">
        <v>1</v>
      </c>
      <c r="J2355" s="3">
        <v>0</v>
      </c>
      <c r="K2355" s="3">
        <v>1</v>
      </c>
      <c r="L2355" s="8">
        <v>1</v>
      </c>
      <c r="M2355" s="8"/>
    </row>
    <row r="2356" spans="1:19" x14ac:dyDescent="0.3">
      <c r="A2356" s="1" t="s">
        <v>52</v>
      </c>
      <c r="B2356" s="7">
        <v>40759</v>
      </c>
      <c r="C2356" s="1">
        <v>20</v>
      </c>
      <c r="D2356" s="1">
        <v>176</v>
      </c>
      <c r="E2356" s="1">
        <v>2</v>
      </c>
      <c r="F2356" s="1">
        <v>43</v>
      </c>
      <c r="J2356" s="3">
        <v>0</v>
      </c>
      <c r="K2356" s="3">
        <v>1</v>
      </c>
    </row>
    <row r="2357" spans="1:19" x14ac:dyDescent="0.3">
      <c r="A2357" s="1" t="s">
        <v>52</v>
      </c>
      <c r="B2357" s="7">
        <v>40759</v>
      </c>
      <c r="C2357" s="1">
        <v>20</v>
      </c>
      <c r="D2357" s="1">
        <v>176</v>
      </c>
      <c r="E2357" s="1">
        <v>2</v>
      </c>
      <c r="F2357" s="1">
        <v>44</v>
      </c>
      <c r="J2357" s="1">
        <v>1</v>
      </c>
      <c r="R2357" s="1">
        <v>1</v>
      </c>
    </row>
    <row r="2358" spans="1:19" x14ac:dyDescent="0.3">
      <c r="A2358" s="1" t="s">
        <v>52</v>
      </c>
      <c r="B2358" s="7">
        <v>40759</v>
      </c>
      <c r="C2358" s="1">
        <v>20</v>
      </c>
      <c r="D2358" s="1">
        <v>176</v>
      </c>
      <c r="E2358" s="1">
        <v>2</v>
      </c>
      <c r="F2358" s="1">
        <v>45</v>
      </c>
      <c r="J2358" s="3">
        <v>0</v>
      </c>
      <c r="K2358" s="3">
        <v>1</v>
      </c>
    </row>
    <row r="2359" spans="1:19" x14ac:dyDescent="0.3">
      <c r="A2359" s="1" t="s">
        <v>52</v>
      </c>
      <c r="B2359" s="7">
        <v>40759</v>
      </c>
      <c r="C2359" s="1">
        <v>20</v>
      </c>
      <c r="D2359" s="1">
        <v>176</v>
      </c>
      <c r="E2359" s="1">
        <v>2</v>
      </c>
      <c r="F2359" s="1">
        <v>46</v>
      </c>
      <c r="I2359" s="1">
        <v>1</v>
      </c>
      <c r="J2359" s="1">
        <v>1</v>
      </c>
    </row>
    <row r="2360" spans="1:19" x14ac:dyDescent="0.3">
      <c r="A2360" s="1" t="s">
        <v>52</v>
      </c>
      <c r="B2360" s="7">
        <v>40759</v>
      </c>
      <c r="C2360" s="1">
        <v>20</v>
      </c>
      <c r="D2360" s="1">
        <v>176</v>
      </c>
      <c r="E2360" s="1">
        <v>2</v>
      </c>
      <c r="F2360" s="1">
        <v>47</v>
      </c>
      <c r="I2360" s="1">
        <v>1</v>
      </c>
      <c r="L2360" s="1">
        <v>1</v>
      </c>
    </row>
    <row r="2361" spans="1:19" x14ac:dyDescent="0.3">
      <c r="A2361" s="1" t="s">
        <v>52</v>
      </c>
      <c r="B2361" s="7">
        <v>40759</v>
      </c>
      <c r="C2361" s="1">
        <v>20</v>
      </c>
      <c r="D2361" s="1">
        <v>176</v>
      </c>
      <c r="E2361" s="1">
        <v>2</v>
      </c>
      <c r="F2361" s="1">
        <v>48</v>
      </c>
      <c r="J2361" s="3">
        <v>0</v>
      </c>
      <c r="K2361" s="3">
        <v>1</v>
      </c>
    </row>
    <row r="2362" spans="1:19" x14ac:dyDescent="0.3">
      <c r="A2362" s="1" t="s">
        <v>52</v>
      </c>
      <c r="B2362" s="7">
        <v>40759</v>
      </c>
      <c r="C2362" s="1">
        <v>20</v>
      </c>
      <c r="D2362" s="1">
        <v>176</v>
      </c>
      <c r="E2362" s="1">
        <v>2</v>
      </c>
      <c r="F2362" s="1">
        <v>49</v>
      </c>
      <c r="I2362" s="1">
        <v>1</v>
      </c>
      <c r="J2362" s="1">
        <v>1</v>
      </c>
    </row>
    <row r="2363" spans="1:19" x14ac:dyDescent="0.3">
      <c r="A2363" s="1" t="s">
        <v>52</v>
      </c>
      <c r="B2363" s="7">
        <v>40759</v>
      </c>
      <c r="C2363" s="1">
        <v>20</v>
      </c>
      <c r="D2363" s="1">
        <v>176</v>
      </c>
      <c r="E2363" s="1">
        <v>2</v>
      </c>
      <c r="F2363" s="1">
        <v>50</v>
      </c>
      <c r="J2363" s="1">
        <v>1</v>
      </c>
      <c r="L2363" s="1">
        <v>1</v>
      </c>
    </row>
    <row r="2364" spans="1:19" x14ac:dyDescent="0.3">
      <c r="A2364" s="1" t="s">
        <v>52</v>
      </c>
      <c r="B2364" s="7">
        <v>40759</v>
      </c>
      <c r="C2364" s="1">
        <v>20</v>
      </c>
      <c r="D2364" s="1">
        <v>176</v>
      </c>
      <c r="E2364" s="1">
        <v>2</v>
      </c>
      <c r="F2364" s="1">
        <v>51</v>
      </c>
      <c r="J2364" s="1">
        <v>1</v>
      </c>
    </row>
    <row r="2365" spans="1:19" x14ac:dyDescent="0.3">
      <c r="A2365" s="1" t="s">
        <v>52</v>
      </c>
      <c r="B2365" s="7">
        <v>40759</v>
      </c>
      <c r="C2365" s="1">
        <v>20</v>
      </c>
      <c r="D2365" s="1">
        <v>176</v>
      </c>
      <c r="E2365" s="1">
        <v>2</v>
      </c>
      <c r="F2365" s="1">
        <v>52</v>
      </c>
      <c r="J2365" s="1">
        <v>1</v>
      </c>
    </row>
    <row r="2366" spans="1:19" x14ac:dyDescent="0.3">
      <c r="A2366" s="1" t="s">
        <v>52</v>
      </c>
      <c r="B2366" s="7">
        <v>40759</v>
      </c>
      <c r="C2366" s="1">
        <v>20</v>
      </c>
      <c r="D2366" s="1">
        <v>176</v>
      </c>
      <c r="E2366" s="1">
        <v>2</v>
      </c>
      <c r="F2366" s="1">
        <v>53</v>
      </c>
      <c r="J2366" s="1">
        <v>1</v>
      </c>
    </row>
    <row r="2367" spans="1:19" x14ac:dyDescent="0.3">
      <c r="A2367" s="1" t="s">
        <v>52</v>
      </c>
      <c r="B2367" s="7">
        <v>40759</v>
      </c>
      <c r="C2367" s="1">
        <v>20</v>
      </c>
      <c r="D2367" s="1">
        <v>176</v>
      </c>
      <c r="E2367" s="1">
        <v>2</v>
      </c>
      <c r="F2367" s="1">
        <v>54</v>
      </c>
      <c r="J2367" s="1">
        <v>1</v>
      </c>
    </row>
    <row r="2368" spans="1:19" x14ac:dyDescent="0.3">
      <c r="A2368" s="1" t="s">
        <v>52</v>
      </c>
      <c r="B2368" s="7">
        <v>40759</v>
      </c>
      <c r="C2368" s="1">
        <v>20</v>
      </c>
      <c r="D2368" s="1">
        <v>176</v>
      </c>
      <c r="E2368" s="1">
        <v>2</v>
      </c>
      <c r="F2368" s="1">
        <v>55</v>
      </c>
      <c r="I2368" s="1">
        <v>1</v>
      </c>
    </row>
    <row r="2369" spans="1:56" x14ac:dyDescent="0.3">
      <c r="A2369" s="1" t="s">
        <v>52</v>
      </c>
      <c r="B2369" s="7">
        <v>40759</v>
      </c>
      <c r="C2369" s="1">
        <v>20</v>
      </c>
      <c r="D2369" s="1">
        <v>176</v>
      </c>
      <c r="E2369" s="1">
        <v>2</v>
      </c>
      <c r="F2369" s="1">
        <v>56</v>
      </c>
      <c r="I2369" s="1">
        <v>1</v>
      </c>
      <c r="J2369" s="1">
        <v>1</v>
      </c>
    </row>
    <row r="2370" spans="1:56" x14ac:dyDescent="0.3">
      <c r="A2370" s="1" t="s">
        <v>52</v>
      </c>
      <c r="B2370" s="7">
        <v>40759</v>
      </c>
      <c r="C2370" s="1">
        <v>20</v>
      </c>
      <c r="D2370" s="1">
        <v>176</v>
      </c>
      <c r="E2370" s="1">
        <v>2</v>
      </c>
      <c r="F2370" s="1">
        <v>57</v>
      </c>
      <c r="I2370" s="1">
        <v>1</v>
      </c>
      <c r="BD2370" s="1">
        <v>1</v>
      </c>
    </row>
    <row r="2371" spans="1:56" x14ac:dyDescent="0.3">
      <c r="A2371" s="1" t="s">
        <v>52</v>
      </c>
      <c r="B2371" s="7">
        <v>40759</v>
      </c>
      <c r="C2371" s="1">
        <v>20</v>
      </c>
      <c r="D2371" s="1">
        <v>176</v>
      </c>
      <c r="E2371" s="1">
        <v>2</v>
      </c>
      <c r="F2371" s="1">
        <v>58</v>
      </c>
      <c r="J2371" s="3">
        <v>0</v>
      </c>
      <c r="K2371" s="3">
        <v>1</v>
      </c>
      <c r="BD2371" s="1">
        <v>1</v>
      </c>
    </row>
    <row r="2372" spans="1:56" x14ac:dyDescent="0.3">
      <c r="A2372" s="1" t="s">
        <v>52</v>
      </c>
      <c r="B2372" s="7">
        <v>40759</v>
      </c>
      <c r="C2372" s="1">
        <v>20</v>
      </c>
      <c r="D2372" s="1">
        <v>176</v>
      </c>
      <c r="E2372" s="1">
        <v>2</v>
      </c>
      <c r="F2372" s="1">
        <v>59</v>
      </c>
      <c r="I2372" s="1">
        <v>1</v>
      </c>
      <c r="L2372" s="8">
        <v>1</v>
      </c>
      <c r="M2372" s="8"/>
    </row>
    <row r="2373" spans="1:56" x14ac:dyDescent="0.3">
      <c r="A2373" s="1" t="s">
        <v>52</v>
      </c>
      <c r="B2373" s="7">
        <v>40759</v>
      </c>
      <c r="C2373" s="1">
        <v>20</v>
      </c>
      <c r="D2373" s="1">
        <v>176</v>
      </c>
      <c r="E2373" s="1">
        <v>2</v>
      </c>
      <c r="F2373" s="1">
        <v>60</v>
      </c>
      <c r="H2373" s="1">
        <v>1</v>
      </c>
      <c r="J2373" s="1">
        <v>1</v>
      </c>
    </row>
    <row r="2374" spans="1:56" x14ac:dyDescent="0.3">
      <c r="A2374" s="1" t="s">
        <v>52</v>
      </c>
      <c r="B2374" s="7">
        <v>40759</v>
      </c>
      <c r="C2374" s="1">
        <v>20</v>
      </c>
      <c r="D2374" s="1">
        <v>176</v>
      </c>
      <c r="E2374" s="1">
        <v>2</v>
      </c>
      <c r="F2374" s="1">
        <v>61</v>
      </c>
      <c r="H2374" s="1">
        <v>1</v>
      </c>
      <c r="J2374" s="3">
        <v>0</v>
      </c>
      <c r="K2374" s="3">
        <v>1</v>
      </c>
    </row>
    <row r="2375" spans="1:56" x14ac:dyDescent="0.3">
      <c r="A2375" s="1" t="s">
        <v>52</v>
      </c>
      <c r="B2375" s="7">
        <v>40759</v>
      </c>
      <c r="C2375" s="1">
        <v>20</v>
      </c>
      <c r="D2375" s="1">
        <v>176</v>
      </c>
      <c r="E2375" s="1">
        <v>2</v>
      </c>
      <c r="F2375" s="1">
        <v>62</v>
      </c>
      <c r="I2375" s="1">
        <v>1</v>
      </c>
      <c r="J2375" s="3">
        <v>0</v>
      </c>
      <c r="K2375" s="3">
        <v>1</v>
      </c>
    </row>
    <row r="2376" spans="1:56" x14ac:dyDescent="0.3">
      <c r="A2376" s="1" t="s">
        <v>52</v>
      </c>
      <c r="B2376" s="7">
        <v>40759</v>
      </c>
      <c r="C2376" s="1">
        <v>20</v>
      </c>
      <c r="D2376" s="1">
        <v>176</v>
      </c>
      <c r="E2376" s="1">
        <v>2</v>
      </c>
      <c r="F2376" s="1">
        <v>63</v>
      </c>
      <c r="J2376" s="1">
        <v>1</v>
      </c>
    </row>
    <row r="2377" spans="1:56" x14ac:dyDescent="0.3">
      <c r="A2377" s="1" t="s">
        <v>52</v>
      </c>
      <c r="B2377" s="7">
        <v>40759</v>
      </c>
      <c r="C2377" s="1">
        <v>20</v>
      </c>
      <c r="D2377" s="1">
        <v>176</v>
      </c>
      <c r="E2377" s="1">
        <v>2</v>
      </c>
      <c r="F2377" s="1">
        <v>64</v>
      </c>
      <c r="J2377" s="1">
        <v>1</v>
      </c>
    </row>
    <row r="2378" spans="1:56" x14ac:dyDescent="0.3">
      <c r="A2378" s="1" t="s">
        <v>52</v>
      </c>
      <c r="B2378" s="7">
        <v>40759</v>
      </c>
      <c r="C2378" s="1">
        <v>20</v>
      </c>
      <c r="D2378" s="1">
        <v>176</v>
      </c>
      <c r="E2378" s="1">
        <v>2</v>
      </c>
      <c r="F2378" s="1">
        <v>65</v>
      </c>
      <c r="J2378" s="1">
        <v>1</v>
      </c>
      <c r="L2378" s="1">
        <v>1</v>
      </c>
    </row>
    <row r="2379" spans="1:56" x14ac:dyDescent="0.3">
      <c r="A2379" s="1" t="s">
        <v>52</v>
      </c>
      <c r="B2379" s="7">
        <v>40759</v>
      </c>
      <c r="C2379" s="1">
        <v>20</v>
      </c>
      <c r="D2379" s="1">
        <v>176</v>
      </c>
      <c r="E2379" s="1">
        <v>2</v>
      </c>
      <c r="F2379" s="1">
        <v>66</v>
      </c>
      <c r="J2379" s="3">
        <v>0</v>
      </c>
      <c r="K2379" s="3">
        <v>1</v>
      </c>
      <c r="L2379" s="8">
        <v>1</v>
      </c>
      <c r="M2379" s="8"/>
    </row>
    <row r="2380" spans="1:56" x14ac:dyDescent="0.3">
      <c r="A2380" s="1" t="s">
        <v>52</v>
      </c>
      <c r="B2380" s="7">
        <v>40759</v>
      </c>
      <c r="C2380" s="1">
        <v>20</v>
      </c>
      <c r="D2380" s="1">
        <v>176</v>
      </c>
      <c r="E2380" s="1">
        <v>2</v>
      </c>
      <c r="F2380" s="1">
        <v>67</v>
      </c>
      <c r="I2380" s="1">
        <v>1</v>
      </c>
      <c r="J2380" s="3">
        <v>0</v>
      </c>
      <c r="K2380" s="3">
        <v>1</v>
      </c>
    </row>
    <row r="2381" spans="1:56" x14ac:dyDescent="0.3">
      <c r="A2381" s="1" t="s">
        <v>52</v>
      </c>
      <c r="B2381" s="7">
        <v>40759</v>
      </c>
      <c r="C2381" s="1">
        <v>20</v>
      </c>
      <c r="D2381" s="1">
        <v>176</v>
      </c>
      <c r="E2381" s="1">
        <v>2</v>
      </c>
      <c r="F2381" s="1">
        <v>68</v>
      </c>
      <c r="J2381" s="1">
        <v>1</v>
      </c>
    </row>
    <row r="2382" spans="1:56" x14ac:dyDescent="0.3">
      <c r="A2382" s="1" t="s">
        <v>52</v>
      </c>
      <c r="B2382" s="7">
        <v>40759</v>
      </c>
      <c r="C2382" s="1">
        <v>20</v>
      </c>
      <c r="D2382" s="1">
        <v>176</v>
      </c>
      <c r="E2382" s="1">
        <v>2</v>
      </c>
      <c r="F2382" s="1">
        <v>69</v>
      </c>
      <c r="J2382" s="1">
        <v>1</v>
      </c>
    </row>
    <row r="2383" spans="1:56" x14ac:dyDescent="0.3">
      <c r="A2383" s="1" t="s">
        <v>52</v>
      </c>
      <c r="B2383" s="7">
        <v>40759</v>
      </c>
      <c r="C2383" s="1">
        <v>20</v>
      </c>
      <c r="D2383" s="1">
        <v>176</v>
      </c>
      <c r="E2383" s="1">
        <v>2</v>
      </c>
      <c r="F2383" s="1">
        <v>70</v>
      </c>
      <c r="J2383" s="1">
        <v>1</v>
      </c>
      <c r="L2383" s="8">
        <v>1</v>
      </c>
      <c r="M2383" s="8"/>
    </row>
    <row r="2384" spans="1:56" x14ac:dyDescent="0.3">
      <c r="A2384" s="1" t="s">
        <v>52</v>
      </c>
      <c r="B2384" s="7">
        <v>40759</v>
      </c>
      <c r="C2384" s="1">
        <v>20</v>
      </c>
      <c r="D2384" s="1">
        <v>176</v>
      </c>
      <c r="E2384" s="1">
        <v>2</v>
      </c>
      <c r="F2384" s="1">
        <v>71</v>
      </c>
      <c r="J2384" s="3">
        <v>0</v>
      </c>
      <c r="K2384" s="3">
        <v>1</v>
      </c>
      <c r="L2384" s="1">
        <v>1</v>
      </c>
    </row>
    <row r="2385" spans="1:19" x14ac:dyDescent="0.3">
      <c r="A2385" s="1" t="s">
        <v>52</v>
      </c>
      <c r="B2385" s="7">
        <v>40759</v>
      </c>
      <c r="C2385" s="1">
        <v>20</v>
      </c>
      <c r="D2385" s="1">
        <v>176</v>
      </c>
      <c r="E2385" s="1">
        <v>2</v>
      </c>
      <c r="F2385" s="1">
        <v>72</v>
      </c>
      <c r="H2385" s="1">
        <v>1</v>
      </c>
      <c r="J2385" s="1">
        <v>1</v>
      </c>
    </row>
    <row r="2386" spans="1:19" x14ac:dyDescent="0.3">
      <c r="A2386" s="1" t="s">
        <v>52</v>
      </c>
      <c r="B2386" s="7">
        <v>40759</v>
      </c>
      <c r="C2386" s="1">
        <v>20</v>
      </c>
      <c r="D2386" s="1">
        <v>176</v>
      </c>
      <c r="E2386" s="1">
        <v>2</v>
      </c>
      <c r="F2386" s="1">
        <v>73</v>
      </c>
      <c r="I2386" s="1">
        <v>1</v>
      </c>
      <c r="L2386" s="1">
        <v>1</v>
      </c>
    </row>
    <row r="2387" spans="1:19" x14ac:dyDescent="0.3">
      <c r="A2387" s="1" t="s">
        <v>52</v>
      </c>
      <c r="B2387" s="7">
        <v>40759</v>
      </c>
      <c r="C2387" s="1">
        <v>20</v>
      </c>
      <c r="D2387" s="1">
        <v>176</v>
      </c>
      <c r="E2387" s="1">
        <v>2</v>
      </c>
      <c r="F2387" s="1">
        <v>74</v>
      </c>
      <c r="J2387" s="1">
        <v>1</v>
      </c>
    </row>
    <row r="2388" spans="1:19" x14ac:dyDescent="0.3">
      <c r="A2388" s="1" t="s">
        <v>52</v>
      </c>
      <c r="B2388" s="7">
        <v>40759</v>
      </c>
      <c r="C2388" s="1">
        <v>20</v>
      </c>
      <c r="D2388" s="1">
        <v>176</v>
      </c>
      <c r="E2388" s="1">
        <v>2</v>
      </c>
      <c r="F2388" s="1">
        <v>75</v>
      </c>
      <c r="I2388" s="1">
        <v>1</v>
      </c>
      <c r="J2388" s="1">
        <v>1</v>
      </c>
    </row>
    <row r="2389" spans="1:19" x14ac:dyDescent="0.3">
      <c r="A2389" s="1" t="s">
        <v>52</v>
      </c>
      <c r="B2389" s="7">
        <v>40759</v>
      </c>
      <c r="C2389" s="1">
        <v>20</v>
      </c>
      <c r="D2389" s="1">
        <v>176</v>
      </c>
      <c r="E2389" s="1">
        <v>2</v>
      </c>
      <c r="F2389" s="1">
        <v>76</v>
      </c>
      <c r="J2389" s="3">
        <v>0</v>
      </c>
      <c r="K2389" s="3">
        <v>1</v>
      </c>
    </row>
    <row r="2390" spans="1:19" x14ac:dyDescent="0.3">
      <c r="A2390" s="1" t="s">
        <v>52</v>
      </c>
      <c r="B2390" s="7">
        <v>40759</v>
      </c>
      <c r="C2390" s="1">
        <v>20</v>
      </c>
      <c r="D2390" s="1">
        <v>176</v>
      </c>
      <c r="E2390" s="1">
        <v>2</v>
      </c>
      <c r="F2390" s="1">
        <v>77</v>
      </c>
      <c r="J2390" s="3">
        <v>0</v>
      </c>
      <c r="K2390" s="3">
        <v>1</v>
      </c>
    </row>
    <row r="2391" spans="1:19" x14ac:dyDescent="0.3">
      <c r="A2391" s="1" t="s">
        <v>52</v>
      </c>
      <c r="B2391" s="7">
        <v>40759</v>
      </c>
      <c r="C2391" s="1">
        <v>20</v>
      </c>
      <c r="D2391" s="1">
        <v>176</v>
      </c>
      <c r="E2391" s="1">
        <v>2</v>
      </c>
      <c r="F2391" s="1">
        <v>78</v>
      </c>
      <c r="J2391" s="3">
        <v>0</v>
      </c>
      <c r="K2391" s="3">
        <v>1</v>
      </c>
      <c r="R2391" s="1">
        <v>1</v>
      </c>
    </row>
    <row r="2392" spans="1:19" x14ac:dyDescent="0.3">
      <c r="A2392" s="1" t="s">
        <v>52</v>
      </c>
      <c r="B2392" s="7">
        <v>40759</v>
      </c>
      <c r="C2392" s="1">
        <v>20</v>
      </c>
      <c r="D2392" s="1">
        <v>176</v>
      </c>
      <c r="E2392" s="1">
        <v>2</v>
      </c>
      <c r="F2392" s="1">
        <v>79</v>
      </c>
      <c r="J2392" s="1">
        <v>1</v>
      </c>
    </row>
    <row r="2393" spans="1:19" x14ac:dyDescent="0.3">
      <c r="A2393" s="1" t="s">
        <v>52</v>
      </c>
      <c r="B2393" s="7">
        <v>40759</v>
      </c>
      <c r="C2393" s="1">
        <v>20</v>
      </c>
      <c r="D2393" s="1">
        <v>176</v>
      </c>
      <c r="E2393" s="1">
        <v>2</v>
      </c>
      <c r="F2393" s="1">
        <v>80</v>
      </c>
      <c r="I2393" s="1">
        <v>1</v>
      </c>
      <c r="J2393" s="3">
        <v>0</v>
      </c>
      <c r="K2393" s="3">
        <v>1</v>
      </c>
    </row>
    <row r="2394" spans="1:19" x14ac:dyDescent="0.3">
      <c r="A2394" s="1" t="s">
        <v>52</v>
      </c>
      <c r="B2394" s="7">
        <v>40759</v>
      </c>
      <c r="C2394" s="1">
        <v>20</v>
      </c>
      <c r="D2394" s="1">
        <v>176</v>
      </c>
      <c r="E2394" s="1">
        <v>2</v>
      </c>
      <c r="F2394" s="1">
        <v>81</v>
      </c>
      <c r="I2394" s="1">
        <v>1</v>
      </c>
      <c r="J2394" s="1">
        <v>1</v>
      </c>
    </row>
    <row r="2395" spans="1:19" x14ac:dyDescent="0.3">
      <c r="A2395" s="1" t="s">
        <v>52</v>
      </c>
      <c r="B2395" s="7">
        <v>40759</v>
      </c>
      <c r="C2395" s="1">
        <v>20</v>
      </c>
      <c r="D2395" s="1">
        <v>176</v>
      </c>
      <c r="E2395" s="1">
        <v>2</v>
      </c>
      <c r="F2395" s="1">
        <v>82</v>
      </c>
      <c r="I2395" s="1">
        <v>1</v>
      </c>
      <c r="J2395" s="1">
        <v>1</v>
      </c>
    </row>
    <row r="2396" spans="1:19" x14ac:dyDescent="0.3">
      <c r="A2396" s="1" t="s">
        <v>52</v>
      </c>
      <c r="B2396" s="7">
        <v>40759</v>
      </c>
      <c r="C2396" s="1">
        <v>20</v>
      </c>
      <c r="D2396" s="1">
        <v>176</v>
      </c>
      <c r="E2396" s="1">
        <v>2</v>
      </c>
      <c r="F2396" s="1">
        <v>83</v>
      </c>
      <c r="J2396" s="1">
        <v>1</v>
      </c>
      <c r="L2396" s="1">
        <v>1</v>
      </c>
    </row>
    <row r="2397" spans="1:19" x14ac:dyDescent="0.3">
      <c r="A2397" s="1" t="s">
        <v>52</v>
      </c>
      <c r="B2397" s="7">
        <v>40759</v>
      </c>
      <c r="C2397" s="1">
        <v>20</v>
      </c>
      <c r="D2397" s="1">
        <v>176</v>
      </c>
      <c r="E2397" s="1">
        <v>2</v>
      </c>
      <c r="F2397" s="1">
        <v>84</v>
      </c>
      <c r="I2397" s="1">
        <v>1</v>
      </c>
      <c r="J2397" s="1">
        <v>1</v>
      </c>
    </row>
    <row r="2398" spans="1:19" x14ac:dyDescent="0.3">
      <c r="A2398" s="1" t="s">
        <v>52</v>
      </c>
      <c r="B2398" s="7">
        <v>40759</v>
      </c>
      <c r="C2398" s="1">
        <v>20</v>
      </c>
      <c r="D2398" s="1">
        <v>176</v>
      </c>
      <c r="E2398" s="1">
        <v>2</v>
      </c>
      <c r="F2398" s="1">
        <v>85</v>
      </c>
      <c r="I2398" s="1">
        <v>1</v>
      </c>
      <c r="L2398" s="1">
        <v>1</v>
      </c>
    </row>
    <row r="2399" spans="1:19" x14ac:dyDescent="0.3">
      <c r="A2399" s="1" t="s">
        <v>52</v>
      </c>
      <c r="B2399" s="7">
        <v>40759</v>
      </c>
      <c r="C2399" s="1">
        <v>20</v>
      </c>
      <c r="D2399" s="1">
        <v>176</v>
      </c>
      <c r="E2399" s="1">
        <v>2</v>
      </c>
      <c r="F2399" s="1">
        <v>86</v>
      </c>
      <c r="I2399" s="1">
        <v>1</v>
      </c>
      <c r="J2399" s="1">
        <v>1</v>
      </c>
    </row>
    <row r="2400" spans="1:19" x14ac:dyDescent="0.3">
      <c r="A2400" s="1" t="s">
        <v>52</v>
      </c>
      <c r="B2400" s="7">
        <v>40759</v>
      </c>
      <c r="C2400" s="1">
        <v>20</v>
      </c>
      <c r="D2400" s="1">
        <v>176</v>
      </c>
      <c r="E2400" s="1">
        <v>2</v>
      </c>
      <c r="F2400" s="1">
        <v>87</v>
      </c>
      <c r="J2400" s="1">
        <v>1</v>
      </c>
      <c r="R2400" s="3">
        <v>0</v>
      </c>
      <c r="S2400" s="3">
        <v>1</v>
      </c>
    </row>
    <row r="2401" spans="1:90" x14ac:dyDescent="0.3">
      <c r="A2401" s="1" t="s">
        <v>52</v>
      </c>
      <c r="B2401" s="7">
        <v>40759</v>
      </c>
      <c r="C2401" s="1">
        <v>20</v>
      </c>
      <c r="D2401" s="1">
        <v>176</v>
      </c>
      <c r="E2401" s="1">
        <v>2</v>
      </c>
      <c r="F2401" s="1">
        <v>88</v>
      </c>
      <c r="J2401" s="3">
        <v>0</v>
      </c>
      <c r="K2401" s="3">
        <v>1</v>
      </c>
      <c r="BD2401" s="1">
        <v>1</v>
      </c>
    </row>
    <row r="2402" spans="1:90" x14ac:dyDescent="0.3">
      <c r="A2402" s="1" t="s">
        <v>52</v>
      </c>
      <c r="B2402" s="7">
        <v>40759</v>
      </c>
      <c r="C2402" s="1">
        <v>20</v>
      </c>
      <c r="D2402" s="1">
        <v>176</v>
      </c>
      <c r="E2402" s="1">
        <v>2</v>
      </c>
      <c r="F2402" s="1">
        <v>89</v>
      </c>
      <c r="J2402" s="1">
        <v>1</v>
      </c>
    </row>
    <row r="2403" spans="1:90" x14ac:dyDescent="0.3">
      <c r="A2403" s="1" t="s">
        <v>52</v>
      </c>
      <c r="B2403" s="7">
        <v>40759</v>
      </c>
      <c r="C2403" s="1">
        <v>20</v>
      </c>
      <c r="D2403" s="1">
        <v>176</v>
      </c>
      <c r="E2403" s="1">
        <v>2</v>
      </c>
      <c r="F2403" s="1">
        <v>90</v>
      </c>
      <c r="J2403" s="1">
        <v>1</v>
      </c>
    </row>
    <row r="2404" spans="1:90" x14ac:dyDescent="0.3">
      <c r="A2404" s="1" t="s">
        <v>52</v>
      </c>
      <c r="B2404" s="7">
        <v>40759</v>
      </c>
      <c r="C2404" s="1">
        <v>20</v>
      </c>
      <c r="D2404" s="1">
        <v>176</v>
      </c>
      <c r="E2404" s="1">
        <v>2</v>
      </c>
      <c r="F2404" s="1">
        <v>91</v>
      </c>
      <c r="I2404" s="1">
        <v>1</v>
      </c>
      <c r="J2404" s="1">
        <v>1</v>
      </c>
      <c r="R2404" s="3">
        <v>0</v>
      </c>
      <c r="S2404" s="3">
        <v>1</v>
      </c>
    </row>
    <row r="2405" spans="1:90" x14ac:dyDescent="0.3">
      <c r="A2405" s="1" t="s">
        <v>52</v>
      </c>
      <c r="B2405" s="7">
        <v>40759</v>
      </c>
      <c r="C2405" s="1">
        <v>20</v>
      </c>
      <c r="D2405" s="1">
        <v>176</v>
      </c>
      <c r="E2405" s="1">
        <v>2</v>
      </c>
      <c r="F2405" s="1">
        <v>92</v>
      </c>
      <c r="J2405" s="1">
        <v>1</v>
      </c>
    </row>
    <row r="2406" spans="1:90" x14ac:dyDescent="0.3">
      <c r="A2406" s="1" t="s">
        <v>52</v>
      </c>
      <c r="B2406" s="7">
        <v>40759</v>
      </c>
      <c r="C2406" s="1">
        <v>20</v>
      </c>
      <c r="D2406" s="1">
        <v>176</v>
      </c>
      <c r="E2406" s="1">
        <v>2</v>
      </c>
      <c r="F2406" s="1">
        <v>93</v>
      </c>
      <c r="J2406" s="1">
        <v>1</v>
      </c>
      <c r="R2406" s="3">
        <v>0</v>
      </c>
      <c r="S2406" s="3">
        <v>1</v>
      </c>
    </row>
    <row r="2407" spans="1:90" x14ac:dyDescent="0.3">
      <c r="A2407" s="1" t="s">
        <v>52</v>
      </c>
      <c r="B2407" s="7">
        <v>40759</v>
      </c>
      <c r="C2407" s="1">
        <v>20</v>
      </c>
      <c r="D2407" s="1">
        <v>176</v>
      </c>
      <c r="E2407" s="1">
        <v>2</v>
      </c>
      <c r="F2407" s="1">
        <v>94</v>
      </c>
      <c r="J2407" s="1">
        <v>1</v>
      </c>
      <c r="L2407" s="1">
        <v>1</v>
      </c>
    </row>
    <row r="2408" spans="1:90" x14ac:dyDescent="0.3">
      <c r="A2408" s="1" t="s">
        <v>52</v>
      </c>
      <c r="B2408" s="7">
        <v>40759</v>
      </c>
      <c r="C2408" s="1">
        <v>20</v>
      </c>
      <c r="D2408" s="1">
        <v>176</v>
      </c>
      <c r="E2408" s="1">
        <v>2</v>
      </c>
      <c r="F2408" s="1">
        <v>95</v>
      </c>
      <c r="J2408" s="1">
        <v>1</v>
      </c>
    </row>
    <row r="2409" spans="1:90" x14ac:dyDescent="0.3">
      <c r="A2409" s="1" t="s">
        <v>52</v>
      </c>
      <c r="B2409" s="7">
        <v>40759</v>
      </c>
      <c r="C2409" s="1">
        <v>20</v>
      </c>
      <c r="D2409" s="1">
        <v>176</v>
      </c>
      <c r="E2409" s="1">
        <v>2</v>
      </c>
      <c r="F2409" s="1">
        <v>96</v>
      </c>
      <c r="J2409" s="1">
        <v>1</v>
      </c>
    </row>
    <row r="2410" spans="1:90" x14ac:dyDescent="0.3">
      <c r="A2410" s="1" t="s">
        <v>52</v>
      </c>
      <c r="B2410" s="7">
        <v>40759</v>
      </c>
      <c r="C2410" s="1">
        <v>20</v>
      </c>
      <c r="D2410" s="1">
        <v>176</v>
      </c>
      <c r="E2410" s="1">
        <v>2</v>
      </c>
      <c r="F2410" s="1">
        <v>97</v>
      </c>
      <c r="J2410" s="1">
        <v>1</v>
      </c>
      <c r="R2410" s="3">
        <v>0</v>
      </c>
      <c r="S2410" s="3">
        <v>1</v>
      </c>
    </row>
    <row r="2411" spans="1:90" x14ac:dyDescent="0.3">
      <c r="A2411" s="1" t="s">
        <v>52</v>
      </c>
      <c r="B2411" s="7">
        <v>40759</v>
      </c>
      <c r="C2411" s="1">
        <v>20</v>
      </c>
      <c r="D2411" s="1">
        <v>176</v>
      </c>
      <c r="E2411" s="1">
        <v>2</v>
      </c>
      <c r="F2411" s="1">
        <v>98</v>
      </c>
      <c r="J2411" s="1">
        <v>1</v>
      </c>
    </row>
    <row r="2412" spans="1:90" x14ac:dyDescent="0.3">
      <c r="A2412" s="1" t="s">
        <v>52</v>
      </c>
      <c r="B2412" s="7">
        <v>40759</v>
      </c>
      <c r="C2412" s="1">
        <v>20</v>
      </c>
      <c r="D2412" s="1">
        <v>176</v>
      </c>
      <c r="E2412" s="1">
        <v>2</v>
      </c>
      <c r="F2412" s="1">
        <v>99</v>
      </c>
      <c r="I2412" s="1">
        <v>1</v>
      </c>
      <c r="J2412" s="1">
        <v>1</v>
      </c>
    </row>
    <row r="2413" spans="1:90" x14ac:dyDescent="0.3">
      <c r="A2413" s="1" t="s">
        <v>52</v>
      </c>
      <c r="B2413" s="7">
        <v>40759</v>
      </c>
      <c r="C2413" s="1">
        <v>20</v>
      </c>
      <c r="D2413" s="1">
        <v>176</v>
      </c>
      <c r="E2413" s="1">
        <v>2</v>
      </c>
      <c r="F2413" s="1">
        <v>100</v>
      </c>
      <c r="J2413" s="1">
        <v>1</v>
      </c>
    </row>
    <row r="2414" spans="1:90" s="12" customFormat="1" x14ac:dyDescent="0.3">
      <c r="A2414" s="14" t="s">
        <v>52</v>
      </c>
      <c r="B2414" s="13"/>
      <c r="G2414" s="12">
        <f>SUM(G2214:G2413)</f>
        <v>0</v>
      </c>
      <c r="H2414" s="12">
        <f t="shared" ref="H2414" si="859">SUM(H2214:H2413)</f>
        <v>19</v>
      </c>
      <c r="I2414" s="12">
        <f t="shared" ref="I2414" si="860">SUM(I2214:I2413)</f>
        <v>56</v>
      </c>
      <c r="J2414" s="12">
        <f t="shared" ref="J2414" si="861">SUM(J2214:J2413)</f>
        <v>129</v>
      </c>
      <c r="K2414" s="12">
        <f t="shared" ref="K2414" si="862">SUM(K2214:K2413)</f>
        <v>24</v>
      </c>
      <c r="L2414" s="12">
        <f t="shared" ref="L2414" si="863">SUM(L2214:L2413)</f>
        <v>23</v>
      </c>
      <c r="M2414" s="12">
        <f t="shared" ref="M2414" si="864">SUM(M2214:M2413)</f>
        <v>0</v>
      </c>
      <c r="N2414" s="12">
        <f t="shared" ref="N2414" si="865">SUM(N2214:N2413)</f>
        <v>0</v>
      </c>
      <c r="O2414" s="12">
        <f t="shared" ref="O2414" si="866">SUM(O2214:O2413)</f>
        <v>0</v>
      </c>
      <c r="P2414" s="12">
        <f t="shared" ref="P2414" si="867">SUM(P2214:P2413)</f>
        <v>0</v>
      </c>
      <c r="Q2414" s="12">
        <f t="shared" ref="Q2414" si="868">SUM(Q2214:Q2413)</f>
        <v>0</v>
      </c>
      <c r="R2414" s="12">
        <f t="shared" ref="R2414" si="869">SUM(R2214:R2413)</f>
        <v>4</v>
      </c>
      <c r="S2414" s="12">
        <f t="shared" ref="S2414" si="870">SUM(S2214:S2413)</f>
        <v>6</v>
      </c>
      <c r="T2414" s="12">
        <f t="shared" ref="T2414" si="871">SUM(T2214:T2413)</f>
        <v>0</v>
      </c>
      <c r="U2414" s="12">
        <f t="shared" ref="U2414" si="872">SUM(U2214:U2413)</f>
        <v>0</v>
      </c>
      <c r="V2414" s="12">
        <f t="shared" ref="V2414" si="873">SUM(V2214:V2413)</f>
        <v>0</v>
      </c>
      <c r="W2414" s="12">
        <f t="shared" ref="W2414" si="874">SUM(W2214:W2413)</f>
        <v>0</v>
      </c>
      <c r="X2414" s="12">
        <f t="shared" ref="X2414" si="875">SUM(X2214:X2413)</f>
        <v>0</v>
      </c>
      <c r="Y2414" s="12">
        <f t="shared" ref="Y2414" si="876">SUM(Y2214:Y2413)</f>
        <v>0</v>
      </c>
      <c r="Z2414" s="12">
        <f t="shared" ref="Z2414" si="877">SUM(Z2214:Z2413)</f>
        <v>0</v>
      </c>
      <c r="AA2414" s="12">
        <f t="shared" ref="AA2414" si="878">SUM(AA2214:AA2413)</f>
        <v>4</v>
      </c>
      <c r="AB2414" s="12">
        <f t="shared" ref="AB2414" si="879">SUM(AB2214:AB2413)</f>
        <v>0</v>
      </c>
      <c r="AC2414" s="12">
        <f t="shared" ref="AC2414" si="880">SUM(AC2214:AC2413)</f>
        <v>0</v>
      </c>
      <c r="AD2414" s="12">
        <f t="shared" ref="AD2414" si="881">SUM(AD2214:AD2413)</f>
        <v>0</v>
      </c>
      <c r="AE2414" s="12">
        <f t="shared" ref="AE2414" si="882">SUM(AE2214:AE2413)</f>
        <v>0</v>
      </c>
      <c r="AF2414" s="12">
        <f t="shared" ref="AF2414" si="883">SUM(AF2214:AF2413)</f>
        <v>0</v>
      </c>
      <c r="AG2414" s="12">
        <f t="shared" ref="AG2414" si="884">SUM(AG2214:AG2413)</f>
        <v>0</v>
      </c>
      <c r="AH2414" s="12">
        <f t="shared" ref="AH2414" si="885">SUM(AH2214:AH2413)</f>
        <v>0</v>
      </c>
      <c r="AI2414" s="12">
        <f t="shared" ref="AI2414" si="886">SUM(AI2214:AI2413)</f>
        <v>2</v>
      </c>
      <c r="AJ2414" s="12">
        <f t="shared" ref="AJ2414" si="887">SUM(AJ2214:AJ2413)</f>
        <v>1</v>
      </c>
      <c r="AK2414" s="12">
        <f t="shared" ref="AK2414" si="888">SUM(AK2214:AK2413)</f>
        <v>0</v>
      </c>
      <c r="AL2414" s="12">
        <f t="shared" ref="AL2414" si="889">SUM(AL2214:AL2413)</f>
        <v>0</v>
      </c>
      <c r="AM2414" s="12">
        <f t="shared" ref="AM2414" si="890">SUM(AM2214:AM2413)</f>
        <v>0</v>
      </c>
      <c r="AN2414" s="12">
        <f t="shared" ref="AN2414" si="891">SUM(AN2214:AN2413)</f>
        <v>0</v>
      </c>
      <c r="AO2414" s="12">
        <f t="shared" ref="AO2414" si="892">SUM(AO2214:AO2413)</f>
        <v>0</v>
      </c>
      <c r="AP2414" s="12">
        <f t="shared" ref="AP2414" si="893">SUM(AP2214:AP2413)</f>
        <v>0</v>
      </c>
      <c r="AQ2414" s="12">
        <f t="shared" ref="AQ2414" si="894">SUM(AQ2214:AQ2413)</f>
        <v>0</v>
      </c>
      <c r="AR2414" s="12">
        <f t="shared" ref="AR2414" si="895">SUM(AR2214:AR2413)</f>
        <v>0</v>
      </c>
      <c r="AS2414" s="12">
        <f t="shared" ref="AS2414" si="896">SUM(AS2214:AS2413)</f>
        <v>11</v>
      </c>
      <c r="AT2414" s="12">
        <f t="shared" ref="AT2414" si="897">SUM(AT2214:AT2413)</f>
        <v>0</v>
      </c>
      <c r="AU2414" s="12">
        <f t="shared" ref="AU2414" si="898">SUM(AU2214:AU2413)</f>
        <v>0</v>
      </c>
      <c r="AV2414" s="12">
        <f t="shared" ref="AV2414" si="899">SUM(AV2214:AV2413)</f>
        <v>0</v>
      </c>
      <c r="AW2414" s="12">
        <f t="shared" ref="AW2414" si="900">SUM(AW2214:AW2413)</f>
        <v>0</v>
      </c>
      <c r="AX2414" s="12">
        <f t="shared" ref="AX2414" si="901">SUM(AX2214:AX2413)</f>
        <v>0</v>
      </c>
      <c r="AY2414" s="12">
        <f t="shared" ref="AY2414" si="902">SUM(AY2214:AY2413)</f>
        <v>0</v>
      </c>
      <c r="AZ2414" s="12">
        <f t="shared" ref="AZ2414" si="903">SUM(AZ2214:AZ2413)</f>
        <v>0</v>
      </c>
      <c r="BA2414" s="12">
        <f t="shared" ref="BA2414" si="904">SUM(BA2214:BA2413)</f>
        <v>0</v>
      </c>
      <c r="BB2414" s="12">
        <f t="shared" ref="BB2414" si="905">SUM(BB2214:BB2413)</f>
        <v>0</v>
      </c>
      <c r="BC2414" s="12">
        <f t="shared" ref="BC2414" si="906">SUM(BC2214:BC2413)</f>
        <v>0</v>
      </c>
      <c r="BD2414" s="12">
        <f t="shared" ref="BD2414" si="907">SUM(BD2214:BD2413)</f>
        <v>5</v>
      </c>
      <c r="BE2414" s="12">
        <f t="shared" ref="BE2414" si="908">SUM(BE2214:BE2413)</f>
        <v>0</v>
      </c>
      <c r="BF2414" s="12">
        <f t="shared" ref="BF2414" si="909">SUM(BF2214:BF2413)</f>
        <v>0</v>
      </c>
      <c r="BG2414" s="12">
        <f t="shared" ref="BG2414" si="910">SUM(BG2214:BG2413)</f>
        <v>0</v>
      </c>
      <c r="BH2414" s="12">
        <f t="shared" ref="BH2414" si="911">SUM(BH2214:BH2413)</f>
        <v>0</v>
      </c>
      <c r="BI2414" s="12">
        <f t="shared" ref="BI2414" si="912">SUM(BI2214:BI2413)</f>
        <v>0</v>
      </c>
      <c r="BJ2414" s="12">
        <f t="shared" ref="BJ2414" si="913">SUM(BJ2214:BJ2413)</f>
        <v>0</v>
      </c>
      <c r="BK2414" s="12">
        <f t="shared" ref="BK2414" si="914">SUM(BK2214:BK2413)</f>
        <v>1</v>
      </c>
      <c r="BL2414" s="12">
        <f t="shared" ref="BL2414" si="915">SUM(BL2214:BL2413)</f>
        <v>0</v>
      </c>
      <c r="BM2414" s="12">
        <f t="shared" ref="BM2414" si="916">SUM(BM2214:BM2413)</f>
        <v>2</v>
      </c>
      <c r="BN2414" s="12">
        <f t="shared" ref="BN2414" si="917">SUM(BN2214:BN2413)</f>
        <v>0</v>
      </c>
      <c r="BO2414" s="12">
        <f t="shared" ref="BO2414" si="918">SUM(BO2214:BO2413)</f>
        <v>0</v>
      </c>
      <c r="BP2414" s="12">
        <f t="shared" ref="BP2414" si="919">SUM(BP2214:BP2413)</f>
        <v>0</v>
      </c>
      <c r="BQ2414" s="12">
        <f t="shared" ref="BQ2414" si="920">SUM(BQ2214:BQ2413)</f>
        <v>0</v>
      </c>
      <c r="BR2414" s="12">
        <f t="shared" ref="BR2414" si="921">SUM(BR2214:BR2413)</f>
        <v>0</v>
      </c>
      <c r="BS2414" s="12">
        <f t="shared" ref="BS2414" si="922">SUM(BS2214:BS2413)</f>
        <v>0</v>
      </c>
      <c r="BT2414" s="12">
        <f t="shared" ref="BT2414" si="923">SUM(BT2214:BT2413)</f>
        <v>0</v>
      </c>
      <c r="BU2414" s="12">
        <f t="shared" ref="BU2414" si="924">SUM(BU2214:BU2413)</f>
        <v>0</v>
      </c>
      <c r="BV2414" s="12">
        <f t="shared" ref="BV2414" si="925">SUM(BV2214:BV2413)</f>
        <v>0</v>
      </c>
      <c r="BW2414" s="12">
        <f t="shared" ref="BW2414" si="926">SUM(BW2214:BW2413)</f>
        <v>0</v>
      </c>
      <c r="BX2414" s="12">
        <f t="shared" ref="BX2414" si="927">SUM(BX2214:BX2413)</f>
        <v>0</v>
      </c>
      <c r="BY2414" s="12">
        <f t="shared" ref="BY2414" si="928">SUM(BY2214:BY2413)</f>
        <v>1</v>
      </c>
      <c r="BZ2414" s="12">
        <f t="shared" ref="BZ2414" si="929">SUM(BZ2214:BZ2413)</f>
        <v>0</v>
      </c>
      <c r="CA2414" s="12">
        <f t="shared" ref="CA2414" si="930">SUM(CA2214:CA2413)</f>
        <v>0</v>
      </c>
      <c r="CB2414" s="12">
        <f t="shared" ref="CB2414" si="931">SUM(CB2214:CB2413)</f>
        <v>0</v>
      </c>
      <c r="CC2414" s="12">
        <f t="shared" ref="CC2414" si="932">SUM(CC2214:CC2413)</f>
        <v>0</v>
      </c>
      <c r="CD2414" s="12">
        <f t="shared" ref="CD2414" si="933">SUM(CD2214:CD2413)</f>
        <v>0</v>
      </c>
      <c r="CE2414" s="12">
        <f t="shared" ref="CE2414" si="934">SUM(CE2214:CE2413)</f>
        <v>0</v>
      </c>
      <c r="CF2414" s="12">
        <f t="shared" ref="CF2414" si="935">SUM(CF2214:CF2413)</f>
        <v>0</v>
      </c>
      <c r="CG2414" s="12">
        <f t="shared" ref="CG2414" si="936">SUM(CG2214:CG2413)</f>
        <v>0</v>
      </c>
      <c r="CH2414" s="12">
        <f t="shared" ref="CH2414" si="937">SUM(CH2214:CH2413)</f>
        <v>0</v>
      </c>
      <c r="CI2414" s="12">
        <f t="shared" ref="CI2414" si="938">SUM(CI2214:CI2413)</f>
        <v>0</v>
      </c>
      <c r="CJ2414" s="12">
        <f t="shared" ref="CJ2414" si="939">SUM(CJ2214:CJ2413)</f>
        <v>0</v>
      </c>
      <c r="CK2414" s="12">
        <f t="shared" ref="CK2414" si="940">SUM(CK2214:CK2413)</f>
        <v>0</v>
      </c>
      <c r="CL2414" s="12">
        <f t="shared" ref="CL2414" si="941">SUM(CL2214:CL2413)</f>
        <v>0</v>
      </c>
    </row>
    <row r="2415" spans="1:90" x14ac:dyDescent="0.3">
      <c r="A2415" s="1" t="s">
        <v>54</v>
      </c>
      <c r="B2415" s="7">
        <v>40764</v>
      </c>
      <c r="C2415" s="1">
        <v>11.5</v>
      </c>
      <c r="D2415" s="1">
        <v>182</v>
      </c>
      <c r="E2415" s="1">
        <v>2</v>
      </c>
      <c r="F2415" s="1">
        <v>1</v>
      </c>
      <c r="L2415" s="8">
        <v>1</v>
      </c>
      <c r="M2415" s="8"/>
      <c r="AA2415" s="1">
        <v>1</v>
      </c>
    </row>
    <row r="2416" spans="1:90" x14ac:dyDescent="0.3">
      <c r="A2416" s="1" t="s">
        <v>54</v>
      </c>
      <c r="B2416" s="7">
        <v>40764</v>
      </c>
      <c r="C2416" s="1">
        <v>11.5</v>
      </c>
      <c r="D2416" s="1">
        <v>182</v>
      </c>
      <c r="E2416" s="1">
        <v>2</v>
      </c>
      <c r="F2416" s="1">
        <v>2</v>
      </c>
      <c r="I2416" s="1">
        <v>1</v>
      </c>
    </row>
    <row r="2417" spans="1:71" x14ac:dyDescent="0.3">
      <c r="A2417" s="1" t="s">
        <v>54</v>
      </c>
      <c r="B2417" s="7">
        <v>40764</v>
      </c>
      <c r="C2417" s="1">
        <v>11.5</v>
      </c>
      <c r="D2417" s="1">
        <v>182</v>
      </c>
      <c r="E2417" s="1">
        <v>2</v>
      </c>
      <c r="F2417" s="1">
        <v>3</v>
      </c>
      <c r="H2417" s="1">
        <v>1</v>
      </c>
      <c r="R2417" s="1">
        <v>1</v>
      </c>
    </row>
    <row r="2418" spans="1:71" x14ac:dyDescent="0.3">
      <c r="A2418" s="1" t="s">
        <v>54</v>
      </c>
      <c r="B2418" s="7">
        <v>40764</v>
      </c>
      <c r="C2418" s="1">
        <v>11.5</v>
      </c>
      <c r="D2418" s="1">
        <v>182</v>
      </c>
      <c r="E2418" s="1">
        <v>2</v>
      </c>
      <c r="F2418" s="1">
        <v>4</v>
      </c>
    </row>
    <row r="2419" spans="1:71" x14ac:dyDescent="0.3">
      <c r="A2419" s="1" t="s">
        <v>54</v>
      </c>
      <c r="B2419" s="7">
        <v>40764</v>
      </c>
      <c r="C2419" s="1">
        <v>11.5</v>
      </c>
      <c r="D2419" s="1">
        <v>182</v>
      </c>
      <c r="E2419" s="1">
        <v>2</v>
      </c>
      <c r="F2419" s="1">
        <v>5</v>
      </c>
      <c r="R2419" s="3">
        <v>0</v>
      </c>
      <c r="S2419" s="3">
        <v>1</v>
      </c>
    </row>
    <row r="2420" spans="1:71" x14ac:dyDescent="0.3">
      <c r="A2420" s="1" t="s">
        <v>54</v>
      </c>
      <c r="B2420" s="7">
        <v>40764</v>
      </c>
      <c r="C2420" s="1">
        <v>11.5</v>
      </c>
      <c r="D2420" s="1">
        <v>182</v>
      </c>
      <c r="E2420" s="1">
        <v>2</v>
      </c>
      <c r="F2420" s="1">
        <v>6</v>
      </c>
      <c r="J2420" s="1">
        <v>1</v>
      </c>
      <c r="BS2420" s="1">
        <v>1</v>
      </c>
    </row>
    <row r="2421" spans="1:71" x14ac:dyDescent="0.3">
      <c r="A2421" s="1" t="s">
        <v>54</v>
      </c>
      <c r="B2421" s="7">
        <v>40764</v>
      </c>
      <c r="C2421" s="1">
        <v>11.5</v>
      </c>
      <c r="D2421" s="1">
        <v>182</v>
      </c>
      <c r="E2421" s="1">
        <v>2</v>
      </c>
      <c r="F2421" s="1">
        <v>7</v>
      </c>
      <c r="I2421" s="1">
        <v>1</v>
      </c>
    </row>
    <row r="2422" spans="1:71" x14ac:dyDescent="0.3">
      <c r="A2422" s="1" t="s">
        <v>54</v>
      </c>
      <c r="B2422" s="7">
        <v>40764</v>
      </c>
      <c r="C2422" s="1">
        <v>11.5</v>
      </c>
      <c r="D2422" s="1">
        <v>182</v>
      </c>
      <c r="E2422" s="1">
        <v>2</v>
      </c>
      <c r="F2422" s="1">
        <v>8</v>
      </c>
      <c r="AI2422" s="3">
        <v>0</v>
      </c>
      <c r="AJ2422" s="3">
        <v>1</v>
      </c>
      <c r="BR2422" s="1">
        <v>1</v>
      </c>
    </row>
    <row r="2423" spans="1:71" x14ac:dyDescent="0.3">
      <c r="A2423" s="1" t="s">
        <v>54</v>
      </c>
      <c r="B2423" s="7">
        <v>40764</v>
      </c>
      <c r="C2423" s="1">
        <v>11.5</v>
      </c>
      <c r="D2423" s="1">
        <v>182</v>
      </c>
      <c r="E2423" s="1">
        <v>2</v>
      </c>
      <c r="F2423" s="1">
        <v>9</v>
      </c>
      <c r="I2423" s="1">
        <v>1</v>
      </c>
      <c r="J2423" s="1">
        <v>1</v>
      </c>
    </row>
    <row r="2424" spans="1:71" x14ac:dyDescent="0.3">
      <c r="A2424" s="1" t="s">
        <v>54</v>
      </c>
      <c r="B2424" s="7">
        <v>40764</v>
      </c>
      <c r="C2424" s="1">
        <v>11.5</v>
      </c>
      <c r="D2424" s="1">
        <v>182</v>
      </c>
      <c r="E2424" s="1">
        <v>2</v>
      </c>
      <c r="F2424" s="1">
        <v>10</v>
      </c>
      <c r="I2424" s="1">
        <v>1</v>
      </c>
      <c r="J2424" s="1">
        <v>1</v>
      </c>
    </row>
    <row r="2425" spans="1:71" x14ac:dyDescent="0.3">
      <c r="A2425" s="1" t="s">
        <v>54</v>
      </c>
      <c r="B2425" s="7">
        <v>40764</v>
      </c>
      <c r="C2425" s="1">
        <v>11.5</v>
      </c>
      <c r="D2425" s="1">
        <v>182</v>
      </c>
      <c r="E2425" s="1">
        <v>2</v>
      </c>
      <c r="F2425" s="1">
        <v>11</v>
      </c>
      <c r="L2425" s="1">
        <v>1</v>
      </c>
      <c r="AA2425" s="1">
        <v>1</v>
      </c>
    </row>
    <row r="2426" spans="1:71" x14ac:dyDescent="0.3">
      <c r="A2426" s="1" t="s">
        <v>54</v>
      </c>
      <c r="B2426" s="7">
        <v>40764</v>
      </c>
      <c r="C2426" s="1">
        <v>11.5</v>
      </c>
      <c r="D2426" s="1">
        <v>182</v>
      </c>
      <c r="E2426" s="1">
        <v>2</v>
      </c>
      <c r="F2426" s="1">
        <v>12</v>
      </c>
      <c r="H2426" s="1">
        <v>1</v>
      </c>
      <c r="AA2426" s="1">
        <v>1</v>
      </c>
    </row>
    <row r="2427" spans="1:71" x14ac:dyDescent="0.3">
      <c r="A2427" s="1" t="s">
        <v>54</v>
      </c>
      <c r="B2427" s="7">
        <v>40764</v>
      </c>
      <c r="C2427" s="1">
        <v>11.5</v>
      </c>
      <c r="D2427" s="1">
        <v>182</v>
      </c>
      <c r="E2427" s="1">
        <v>2</v>
      </c>
      <c r="F2427" s="1">
        <v>13</v>
      </c>
      <c r="R2427" s="1">
        <v>1</v>
      </c>
    </row>
    <row r="2428" spans="1:71" x14ac:dyDescent="0.3">
      <c r="A2428" s="1" t="s">
        <v>54</v>
      </c>
      <c r="B2428" s="7">
        <v>40764</v>
      </c>
      <c r="C2428" s="1">
        <v>11.5</v>
      </c>
      <c r="D2428" s="1">
        <v>182</v>
      </c>
      <c r="E2428" s="1">
        <v>2</v>
      </c>
      <c r="F2428" s="1">
        <v>14</v>
      </c>
    </row>
    <row r="2429" spans="1:71" x14ac:dyDescent="0.3">
      <c r="A2429" s="1" t="s">
        <v>54</v>
      </c>
      <c r="B2429" s="7">
        <v>40764</v>
      </c>
      <c r="C2429" s="1">
        <v>11.5</v>
      </c>
      <c r="D2429" s="1">
        <v>182</v>
      </c>
      <c r="E2429" s="1">
        <v>2</v>
      </c>
      <c r="F2429" s="1">
        <v>15</v>
      </c>
      <c r="BS2429" s="1">
        <v>1</v>
      </c>
    </row>
    <row r="2430" spans="1:71" x14ac:dyDescent="0.3">
      <c r="A2430" s="1" t="s">
        <v>54</v>
      </c>
      <c r="B2430" s="7">
        <v>40764</v>
      </c>
      <c r="C2430" s="1">
        <v>11.5</v>
      </c>
      <c r="D2430" s="1">
        <v>182</v>
      </c>
      <c r="E2430" s="1">
        <v>2</v>
      </c>
      <c r="F2430" s="1">
        <v>16</v>
      </c>
      <c r="I2430" s="1">
        <v>1</v>
      </c>
    </row>
    <row r="2431" spans="1:71" x14ac:dyDescent="0.3">
      <c r="A2431" s="1" t="s">
        <v>54</v>
      </c>
      <c r="B2431" s="7">
        <v>40764</v>
      </c>
      <c r="C2431" s="1">
        <v>11.5</v>
      </c>
      <c r="D2431" s="1">
        <v>182</v>
      </c>
      <c r="E2431" s="1">
        <v>2</v>
      </c>
      <c r="F2431" s="1">
        <v>17</v>
      </c>
      <c r="I2431" s="1">
        <v>1</v>
      </c>
    </row>
    <row r="2432" spans="1:71" x14ac:dyDescent="0.3">
      <c r="A2432" s="1" t="s">
        <v>54</v>
      </c>
      <c r="B2432" s="7">
        <v>40764</v>
      </c>
      <c r="C2432" s="1">
        <v>11.5</v>
      </c>
      <c r="D2432" s="1">
        <v>182</v>
      </c>
      <c r="E2432" s="1">
        <v>2</v>
      </c>
      <c r="F2432" s="1">
        <v>18</v>
      </c>
      <c r="J2432" s="1">
        <v>1</v>
      </c>
      <c r="AO2432" s="1">
        <v>1</v>
      </c>
    </row>
    <row r="2433" spans="1:41" x14ac:dyDescent="0.3">
      <c r="A2433" s="1" t="s">
        <v>54</v>
      </c>
      <c r="B2433" s="7">
        <v>40764</v>
      </c>
      <c r="C2433" s="1">
        <v>11.5</v>
      </c>
      <c r="D2433" s="1">
        <v>182</v>
      </c>
      <c r="E2433" s="1">
        <v>2</v>
      </c>
      <c r="F2433" s="1">
        <v>19</v>
      </c>
      <c r="I2433" s="1">
        <v>1</v>
      </c>
      <c r="L2433" s="1">
        <v>1</v>
      </c>
    </row>
    <row r="2434" spans="1:41" x14ac:dyDescent="0.3">
      <c r="A2434" s="1" t="s">
        <v>54</v>
      </c>
      <c r="B2434" s="7">
        <v>40764</v>
      </c>
      <c r="C2434" s="1">
        <v>11.5</v>
      </c>
      <c r="D2434" s="1">
        <v>182</v>
      </c>
      <c r="E2434" s="1">
        <v>2</v>
      </c>
      <c r="F2434" s="1">
        <v>20</v>
      </c>
      <c r="J2434" s="3">
        <v>0</v>
      </c>
      <c r="K2434" s="3">
        <v>1</v>
      </c>
      <c r="L2434" s="1">
        <v>1</v>
      </c>
    </row>
    <row r="2435" spans="1:41" x14ac:dyDescent="0.3">
      <c r="A2435" s="1" t="s">
        <v>54</v>
      </c>
      <c r="B2435" s="7">
        <v>40764</v>
      </c>
      <c r="C2435" s="1">
        <v>11.5</v>
      </c>
      <c r="D2435" s="1">
        <v>182</v>
      </c>
      <c r="E2435" s="1">
        <v>2</v>
      </c>
      <c r="F2435" s="1">
        <v>21</v>
      </c>
      <c r="R2435" s="3">
        <v>0</v>
      </c>
      <c r="S2435" s="3">
        <v>1</v>
      </c>
      <c r="AA2435" s="1">
        <v>1</v>
      </c>
    </row>
    <row r="2436" spans="1:41" x14ac:dyDescent="0.3">
      <c r="A2436" s="1" t="s">
        <v>54</v>
      </c>
      <c r="B2436" s="7">
        <v>40764</v>
      </c>
      <c r="C2436" s="1">
        <v>11.5</v>
      </c>
      <c r="D2436" s="1">
        <v>182</v>
      </c>
      <c r="E2436" s="1">
        <v>2</v>
      </c>
      <c r="F2436" s="1">
        <v>22</v>
      </c>
      <c r="AA2436" s="1">
        <v>1</v>
      </c>
    </row>
    <row r="2437" spans="1:41" x14ac:dyDescent="0.3">
      <c r="A2437" s="1" t="s">
        <v>54</v>
      </c>
      <c r="B2437" s="7">
        <v>40764</v>
      </c>
      <c r="C2437" s="1">
        <v>11.5</v>
      </c>
      <c r="D2437" s="1">
        <v>182</v>
      </c>
      <c r="E2437" s="1">
        <v>2</v>
      </c>
      <c r="F2437" s="1">
        <v>23</v>
      </c>
    </row>
    <row r="2438" spans="1:41" x14ac:dyDescent="0.3">
      <c r="A2438" s="1" t="s">
        <v>54</v>
      </c>
      <c r="B2438" s="7">
        <v>40764</v>
      </c>
      <c r="C2438" s="1">
        <v>11.5</v>
      </c>
      <c r="D2438" s="1">
        <v>182</v>
      </c>
      <c r="E2438" s="1">
        <v>2</v>
      </c>
      <c r="F2438" s="1">
        <v>24</v>
      </c>
      <c r="J2438" s="1">
        <v>1</v>
      </c>
      <c r="L2438" s="1">
        <v>1</v>
      </c>
    </row>
    <row r="2439" spans="1:41" x14ac:dyDescent="0.3">
      <c r="A2439" s="1" t="s">
        <v>54</v>
      </c>
      <c r="B2439" s="7">
        <v>40764</v>
      </c>
      <c r="C2439" s="1">
        <v>11.5</v>
      </c>
      <c r="D2439" s="1">
        <v>182</v>
      </c>
      <c r="E2439" s="1">
        <v>2</v>
      </c>
      <c r="F2439" s="1">
        <v>25</v>
      </c>
      <c r="AO2439" s="1">
        <v>1</v>
      </c>
    </row>
    <row r="2440" spans="1:41" x14ac:dyDescent="0.3">
      <c r="A2440" s="1" t="s">
        <v>54</v>
      </c>
      <c r="B2440" s="7">
        <v>40764</v>
      </c>
      <c r="C2440" s="1">
        <v>11.5</v>
      </c>
      <c r="D2440" s="1">
        <v>182</v>
      </c>
      <c r="E2440" s="1">
        <v>2</v>
      </c>
      <c r="F2440" s="1">
        <v>26</v>
      </c>
      <c r="L2440" s="1">
        <v>1</v>
      </c>
      <c r="AO2440" s="1">
        <v>1</v>
      </c>
    </row>
    <row r="2441" spans="1:41" x14ac:dyDescent="0.3">
      <c r="A2441" s="1" t="s">
        <v>54</v>
      </c>
      <c r="B2441" s="7">
        <v>40764</v>
      </c>
      <c r="C2441" s="1">
        <v>11.5</v>
      </c>
      <c r="D2441" s="1">
        <v>182</v>
      </c>
      <c r="E2441" s="1">
        <v>2</v>
      </c>
      <c r="F2441" s="1">
        <v>27</v>
      </c>
    </row>
    <row r="2442" spans="1:41" x14ac:dyDescent="0.3">
      <c r="A2442" s="1" t="s">
        <v>54</v>
      </c>
      <c r="B2442" s="7">
        <v>40764</v>
      </c>
      <c r="C2442" s="1">
        <v>11.5</v>
      </c>
      <c r="D2442" s="1">
        <v>182</v>
      </c>
      <c r="E2442" s="1">
        <v>2</v>
      </c>
      <c r="F2442" s="1">
        <v>28</v>
      </c>
      <c r="R2442" s="1">
        <v>1</v>
      </c>
    </row>
    <row r="2443" spans="1:41" x14ac:dyDescent="0.3">
      <c r="A2443" s="1" t="s">
        <v>54</v>
      </c>
      <c r="B2443" s="7">
        <v>40764</v>
      </c>
      <c r="C2443" s="1">
        <v>11.5</v>
      </c>
      <c r="D2443" s="1">
        <v>182</v>
      </c>
      <c r="E2443" s="1">
        <v>2</v>
      </c>
      <c r="F2443" s="1">
        <v>29</v>
      </c>
      <c r="J2443" s="1">
        <v>1</v>
      </c>
    </row>
    <row r="2444" spans="1:41" x14ac:dyDescent="0.3">
      <c r="A2444" s="1" t="s">
        <v>54</v>
      </c>
      <c r="B2444" s="7">
        <v>40764</v>
      </c>
      <c r="C2444" s="1">
        <v>11.5</v>
      </c>
      <c r="D2444" s="1">
        <v>182</v>
      </c>
      <c r="E2444" s="1">
        <v>2</v>
      </c>
      <c r="F2444" s="1">
        <v>30</v>
      </c>
      <c r="J2444" s="1">
        <v>1</v>
      </c>
      <c r="AO2444" s="1">
        <v>1</v>
      </c>
    </row>
    <row r="2445" spans="1:41" x14ac:dyDescent="0.3">
      <c r="A2445" s="1" t="s">
        <v>54</v>
      </c>
      <c r="B2445" s="7">
        <v>40764</v>
      </c>
      <c r="C2445" s="1">
        <v>11.5</v>
      </c>
      <c r="D2445" s="1">
        <v>182</v>
      </c>
      <c r="E2445" s="1">
        <v>2</v>
      </c>
      <c r="F2445" s="1">
        <v>31</v>
      </c>
      <c r="L2445" s="1">
        <v>1</v>
      </c>
      <c r="AA2445" s="1">
        <v>1</v>
      </c>
    </row>
    <row r="2446" spans="1:41" x14ac:dyDescent="0.3">
      <c r="A2446" s="1" t="s">
        <v>54</v>
      </c>
      <c r="B2446" s="7">
        <v>40764</v>
      </c>
      <c r="C2446" s="1">
        <v>11.5</v>
      </c>
      <c r="D2446" s="1">
        <v>182</v>
      </c>
      <c r="E2446" s="1">
        <v>2</v>
      </c>
      <c r="F2446" s="1">
        <v>32</v>
      </c>
      <c r="H2446" s="1">
        <v>1</v>
      </c>
      <c r="AA2446" s="1">
        <v>1</v>
      </c>
    </row>
    <row r="2447" spans="1:41" x14ac:dyDescent="0.3">
      <c r="A2447" s="1" t="s">
        <v>54</v>
      </c>
      <c r="B2447" s="7">
        <v>40764</v>
      </c>
      <c r="C2447" s="1">
        <v>11.5</v>
      </c>
      <c r="D2447" s="1">
        <v>182</v>
      </c>
      <c r="E2447" s="1">
        <v>2</v>
      </c>
      <c r="F2447" s="1">
        <v>33</v>
      </c>
      <c r="H2447" s="1">
        <v>1</v>
      </c>
      <c r="J2447" s="1">
        <v>1</v>
      </c>
    </row>
    <row r="2448" spans="1:41" x14ac:dyDescent="0.3">
      <c r="A2448" s="1" t="s">
        <v>54</v>
      </c>
      <c r="B2448" s="7">
        <v>40764</v>
      </c>
      <c r="C2448" s="1">
        <v>11.5</v>
      </c>
      <c r="D2448" s="1">
        <v>182</v>
      </c>
      <c r="E2448" s="1">
        <v>2</v>
      </c>
      <c r="F2448" s="1">
        <v>34</v>
      </c>
      <c r="G2448" s="1">
        <v>1</v>
      </c>
      <c r="AO2448" s="1">
        <v>1</v>
      </c>
    </row>
    <row r="2449" spans="1:55" x14ac:dyDescent="0.3">
      <c r="A2449" s="1" t="s">
        <v>54</v>
      </c>
      <c r="B2449" s="7">
        <v>40764</v>
      </c>
      <c r="C2449" s="1">
        <v>11.5</v>
      </c>
      <c r="D2449" s="1">
        <v>182</v>
      </c>
      <c r="E2449" s="1">
        <v>2</v>
      </c>
      <c r="F2449" s="1">
        <v>35</v>
      </c>
      <c r="H2449" s="1">
        <v>1</v>
      </c>
    </row>
    <row r="2450" spans="1:55" x14ac:dyDescent="0.3">
      <c r="A2450" s="1" t="s">
        <v>54</v>
      </c>
      <c r="B2450" s="7">
        <v>40764</v>
      </c>
      <c r="C2450" s="1">
        <v>11.5</v>
      </c>
      <c r="D2450" s="1">
        <v>182</v>
      </c>
      <c r="E2450" s="1">
        <v>2</v>
      </c>
      <c r="F2450" s="1">
        <v>36</v>
      </c>
      <c r="J2450" s="1">
        <v>1</v>
      </c>
    </row>
    <row r="2451" spans="1:55" x14ac:dyDescent="0.3">
      <c r="A2451" s="1" t="s">
        <v>54</v>
      </c>
      <c r="B2451" s="7">
        <v>40764</v>
      </c>
      <c r="C2451" s="1">
        <v>11.5</v>
      </c>
      <c r="D2451" s="1">
        <v>182</v>
      </c>
      <c r="E2451" s="1">
        <v>2</v>
      </c>
      <c r="F2451" s="1">
        <v>37</v>
      </c>
      <c r="AO2451" s="1">
        <v>1</v>
      </c>
    </row>
    <row r="2452" spans="1:55" x14ac:dyDescent="0.3">
      <c r="A2452" s="1" t="s">
        <v>54</v>
      </c>
      <c r="B2452" s="7">
        <v>40764</v>
      </c>
      <c r="C2452" s="1">
        <v>11.5</v>
      </c>
      <c r="D2452" s="1">
        <v>182</v>
      </c>
      <c r="E2452" s="1">
        <v>2</v>
      </c>
      <c r="F2452" s="1">
        <v>38</v>
      </c>
      <c r="J2452" s="1">
        <v>1</v>
      </c>
      <c r="AO2452" s="1">
        <v>1</v>
      </c>
    </row>
    <row r="2453" spans="1:55" x14ac:dyDescent="0.3">
      <c r="A2453" s="1" t="s">
        <v>54</v>
      </c>
      <c r="B2453" s="7">
        <v>40764</v>
      </c>
      <c r="C2453" s="1">
        <v>11.5</v>
      </c>
      <c r="D2453" s="1">
        <v>182</v>
      </c>
      <c r="E2453" s="1">
        <v>2</v>
      </c>
      <c r="F2453" s="1">
        <v>39</v>
      </c>
      <c r="J2453" s="3">
        <v>0</v>
      </c>
      <c r="K2453" s="3">
        <v>1</v>
      </c>
    </row>
    <row r="2454" spans="1:55" x14ac:dyDescent="0.3">
      <c r="A2454" s="1" t="s">
        <v>54</v>
      </c>
      <c r="B2454" s="7">
        <v>40764</v>
      </c>
      <c r="C2454" s="1">
        <v>11.5</v>
      </c>
      <c r="D2454" s="1">
        <v>182</v>
      </c>
      <c r="E2454" s="1">
        <v>2</v>
      </c>
      <c r="F2454" s="1">
        <v>40</v>
      </c>
      <c r="I2454" s="1">
        <v>1</v>
      </c>
      <c r="J2454" s="1">
        <v>1</v>
      </c>
    </row>
    <row r="2455" spans="1:55" x14ac:dyDescent="0.3">
      <c r="A2455" s="1" t="s">
        <v>54</v>
      </c>
      <c r="B2455" s="7">
        <v>40764</v>
      </c>
      <c r="C2455" s="1">
        <v>11.5</v>
      </c>
      <c r="D2455" s="1">
        <v>182</v>
      </c>
      <c r="E2455" s="1">
        <v>2</v>
      </c>
      <c r="F2455" s="1">
        <v>41</v>
      </c>
      <c r="L2455" s="1">
        <v>1</v>
      </c>
      <c r="AA2455" s="1">
        <v>1</v>
      </c>
      <c r="AO2455" s="1">
        <v>1</v>
      </c>
    </row>
    <row r="2456" spans="1:55" x14ac:dyDescent="0.3">
      <c r="A2456" s="1" t="s">
        <v>54</v>
      </c>
      <c r="B2456" s="7">
        <v>40764</v>
      </c>
      <c r="C2456" s="1">
        <v>11.5</v>
      </c>
      <c r="D2456" s="1">
        <v>182</v>
      </c>
      <c r="E2456" s="1">
        <v>2</v>
      </c>
      <c r="F2456" s="1">
        <v>42</v>
      </c>
      <c r="AO2456" s="1">
        <v>1</v>
      </c>
    </row>
    <row r="2457" spans="1:55" x14ac:dyDescent="0.3">
      <c r="A2457" s="1" t="s">
        <v>54</v>
      </c>
      <c r="B2457" s="7">
        <v>40764</v>
      </c>
      <c r="C2457" s="1">
        <v>11.5</v>
      </c>
      <c r="D2457" s="1">
        <v>182</v>
      </c>
      <c r="E2457" s="1">
        <v>2</v>
      </c>
      <c r="F2457" s="1">
        <v>43</v>
      </c>
      <c r="J2457" s="1">
        <v>1</v>
      </c>
    </row>
    <row r="2458" spans="1:55" x14ac:dyDescent="0.3">
      <c r="A2458" s="1" t="s">
        <v>54</v>
      </c>
      <c r="B2458" s="7">
        <v>40764</v>
      </c>
      <c r="C2458" s="1">
        <v>11.5</v>
      </c>
      <c r="D2458" s="1">
        <v>182</v>
      </c>
      <c r="E2458" s="1">
        <v>2</v>
      </c>
      <c r="F2458" s="1">
        <v>44</v>
      </c>
      <c r="AO2458" s="1">
        <v>1</v>
      </c>
    </row>
    <row r="2459" spans="1:55" x14ac:dyDescent="0.3">
      <c r="A2459" s="1" t="s">
        <v>54</v>
      </c>
      <c r="B2459" s="7">
        <v>40764</v>
      </c>
      <c r="C2459" s="1">
        <v>11.5</v>
      </c>
      <c r="D2459" s="1">
        <v>182</v>
      </c>
      <c r="E2459" s="1">
        <v>2</v>
      </c>
      <c r="F2459" s="1">
        <v>45</v>
      </c>
      <c r="J2459" s="1">
        <v>1</v>
      </c>
    </row>
    <row r="2460" spans="1:55" x14ac:dyDescent="0.3">
      <c r="A2460" s="1" t="s">
        <v>54</v>
      </c>
      <c r="B2460" s="7">
        <v>40764</v>
      </c>
      <c r="C2460" s="1">
        <v>11.5</v>
      </c>
      <c r="D2460" s="1">
        <v>182</v>
      </c>
      <c r="E2460" s="1">
        <v>2</v>
      </c>
      <c r="F2460" s="1">
        <v>46</v>
      </c>
      <c r="I2460" s="1">
        <v>1</v>
      </c>
      <c r="J2460" s="1">
        <v>1</v>
      </c>
      <c r="BC2460" s="1">
        <v>1</v>
      </c>
    </row>
    <row r="2461" spans="1:55" x14ac:dyDescent="0.3">
      <c r="A2461" s="1" t="s">
        <v>54</v>
      </c>
      <c r="B2461" s="7">
        <v>40764</v>
      </c>
      <c r="C2461" s="1">
        <v>11.5</v>
      </c>
      <c r="D2461" s="1">
        <v>182</v>
      </c>
      <c r="E2461" s="1">
        <v>2</v>
      </c>
      <c r="F2461" s="1">
        <v>47</v>
      </c>
      <c r="I2461" s="1">
        <v>1</v>
      </c>
    </row>
    <row r="2462" spans="1:55" x14ac:dyDescent="0.3">
      <c r="A2462" s="1" t="s">
        <v>54</v>
      </c>
      <c r="B2462" s="7">
        <v>40764</v>
      </c>
      <c r="C2462" s="1">
        <v>11.5</v>
      </c>
      <c r="D2462" s="1">
        <v>182</v>
      </c>
      <c r="E2462" s="1">
        <v>2</v>
      </c>
      <c r="F2462" s="1">
        <v>48</v>
      </c>
      <c r="J2462" s="1">
        <v>1</v>
      </c>
    </row>
    <row r="2463" spans="1:55" x14ac:dyDescent="0.3">
      <c r="A2463" s="1" t="s">
        <v>54</v>
      </c>
      <c r="B2463" s="7">
        <v>40764</v>
      </c>
      <c r="C2463" s="1">
        <v>11.5</v>
      </c>
      <c r="D2463" s="1">
        <v>182</v>
      </c>
      <c r="E2463" s="1">
        <v>2</v>
      </c>
      <c r="F2463" s="1">
        <v>49</v>
      </c>
      <c r="J2463" s="1">
        <v>1</v>
      </c>
      <c r="L2463" s="1">
        <v>1</v>
      </c>
    </row>
    <row r="2464" spans="1:55" x14ac:dyDescent="0.3">
      <c r="A2464" s="1" t="s">
        <v>54</v>
      </c>
      <c r="B2464" s="7">
        <v>40764</v>
      </c>
      <c r="C2464" s="1">
        <v>11.5</v>
      </c>
      <c r="D2464" s="1">
        <v>182</v>
      </c>
      <c r="E2464" s="1">
        <v>2</v>
      </c>
      <c r="F2464" s="1">
        <v>50</v>
      </c>
      <c r="I2464" s="1">
        <v>1</v>
      </c>
      <c r="L2464" s="1">
        <v>1</v>
      </c>
    </row>
    <row r="2465" spans="1:59" x14ac:dyDescent="0.3">
      <c r="A2465" s="1" t="s">
        <v>54</v>
      </c>
      <c r="B2465" s="7">
        <v>40764</v>
      </c>
      <c r="C2465" s="1">
        <v>11.5</v>
      </c>
      <c r="D2465" s="1">
        <v>182</v>
      </c>
      <c r="E2465" s="1">
        <v>2</v>
      </c>
      <c r="F2465" s="1">
        <v>51</v>
      </c>
      <c r="J2465" s="3">
        <v>0</v>
      </c>
      <c r="K2465" s="3">
        <v>1</v>
      </c>
    </row>
    <row r="2466" spans="1:59" x14ac:dyDescent="0.3">
      <c r="A2466" s="1" t="s">
        <v>54</v>
      </c>
      <c r="B2466" s="7">
        <v>40764</v>
      </c>
      <c r="C2466" s="1">
        <v>11.5</v>
      </c>
      <c r="D2466" s="1">
        <v>182</v>
      </c>
      <c r="E2466" s="1">
        <v>2</v>
      </c>
      <c r="F2466" s="1">
        <v>52</v>
      </c>
      <c r="H2466" s="1">
        <v>1</v>
      </c>
      <c r="BG2466" s="1">
        <v>1</v>
      </c>
    </row>
    <row r="2467" spans="1:59" x14ac:dyDescent="0.3">
      <c r="A2467" s="1" t="s">
        <v>54</v>
      </c>
      <c r="B2467" s="7">
        <v>40764</v>
      </c>
      <c r="C2467" s="1">
        <v>11.5</v>
      </c>
      <c r="D2467" s="1">
        <v>182</v>
      </c>
      <c r="E2467" s="1">
        <v>2</v>
      </c>
      <c r="F2467" s="1">
        <v>53</v>
      </c>
      <c r="J2467" s="1">
        <v>1</v>
      </c>
      <c r="BG2467" s="1">
        <v>1</v>
      </c>
    </row>
    <row r="2468" spans="1:59" x14ac:dyDescent="0.3">
      <c r="A2468" s="1" t="s">
        <v>54</v>
      </c>
      <c r="B2468" s="7">
        <v>40764</v>
      </c>
      <c r="C2468" s="1">
        <v>11.5</v>
      </c>
      <c r="D2468" s="1">
        <v>182</v>
      </c>
      <c r="E2468" s="1">
        <v>2</v>
      </c>
      <c r="F2468" s="1">
        <v>54</v>
      </c>
      <c r="J2468" s="1">
        <v>1</v>
      </c>
      <c r="AO2468" s="1">
        <v>1</v>
      </c>
    </row>
    <row r="2469" spans="1:59" x14ac:dyDescent="0.3">
      <c r="A2469" s="1" t="s">
        <v>54</v>
      </c>
      <c r="B2469" s="7">
        <v>40764</v>
      </c>
      <c r="C2469" s="1">
        <v>11.5</v>
      </c>
      <c r="D2469" s="1">
        <v>182</v>
      </c>
      <c r="E2469" s="1">
        <v>2</v>
      </c>
      <c r="F2469" s="1">
        <v>55</v>
      </c>
      <c r="H2469" s="1">
        <v>1</v>
      </c>
      <c r="J2469" s="1">
        <v>1</v>
      </c>
    </row>
    <row r="2470" spans="1:59" x14ac:dyDescent="0.3">
      <c r="A2470" s="1" t="s">
        <v>54</v>
      </c>
      <c r="B2470" s="7">
        <v>40764</v>
      </c>
      <c r="C2470" s="1">
        <v>11.5</v>
      </c>
      <c r="D2470" s="1">
        <v>182</v>
      </c>
      <c r="E2470" s="1">
        <v>2</v>
      </c>
      <c r="F2470" s="1">
        <v>56</v>
      </c>
      <c r="AO2470" s="1">
        <v>1</v>
      </c>
    </row>
    <row r="2471" spans="1:59" x14ac:dyDescent="0.3">
      <c r="A2471" s="1" t="s">
        <v>54</v>
      </c>
      <c r="B2471" s="7">
        <v>40764</v>
      </c>
      <c r="C2471" s="1">
        <v>11.5</v>
      </c>
      <c r="D2471" s="1">
        <v>182</v>
      </c>
      <c r="E2471" s="1">
        <v>2</v>
      </c>
      <c r="F2471" s="1">
        <v>57</v>
      </c>
      <c r="J2471" s="3">
        <v>0</v>
      </c>
      <c r="K2471" s="3">
        <v>1</v>
      </c>
    </row>
    <row r="2472" spans="1:59" x14ac:dyDescent="0.3">
      <c r="A2472" s="1" t="s">
        <v>54</v>
      </c>
      <c r="B2472" s="7">
        <v>40764</v>
      </c>
      <c r="C2472" s="1">
        <v>11.5</v>
      </c>
      <c r="D2472" s="1">
        <v>182</v>
      </c>
      <c r="E2472" s="1">
        <v>2</v>
      </c>
      <c r="F2472" s="1">
        <v>58</v>
      </c>
      <c r="J2472" s="1">
        <v>1</v>
      </c>
      <c r="AO2472" s="1">
        <v>1</v>
      </c>
    </row>
    <row r="2473" spans="1:59" x14ac:dyDescent="0.3">
      <c r="A2473" s="1" t="s">
        <v>54</v>
      </c>
      <c r="B2473" s="7">
        <v>40764</v>
      </c>
      <c r="C2473" s="1">
        <v>11.5</v>
      </c>
      <c r="D2473" s="1">
        <v>182</v>
      </c>
      <c r="E2473" s="1">
        <v>2</v>
      </c>
      <c r="F2473" s="1">
        <v>59</v>
      </c>
      <c r="J2473" s="1">
        <v>1</v>
      </c>
      <c r="R2473" s="1">
        <v>1</v>
      </c>
    </row>
    <row r="2474" spans="1:59" x14ac:dyDescent="0.3">
      <c r="A2474" s="1" t="s">
        <v>54</v>
      </c>
      <c r="B2474" s="7">
        <v>40764</v>
      </c>
      <c r="C2474" s="1">
        <v>11.5</v>
      </c>
      <c r="D2474" s="1">
        <v>182</v>
      </c>
      <c r="E2474" s="1">
        <v>2</v>
      </c>
      <c r="F2474" s="1">
        <v>60</v>
      </c>
      <c r="J2474" s="1">
        <v>1</v>
      </c>
      <c r="L2474" s="1">
        <v>1</v>
      </c>
    </row>
    <row r="2475" spans="1:59" x14ac:dyDescent="0.3">
      <c r="A2475" s="1" t="s">
        <v>54</v>
      </c>
      <c r="B2475" s="7">
        <v>40764</v>
      </c>
      <c r="C2475" s="1">
        <v>11.5</v>
      </c>
      <c r="D2475" s="1">
        <v>182</v>
      </c>
      <c r="E2475" s="1">
        <v>2</v>
      </c>
      <c r="F2475" s="1">
        <v>61</v>
      </c>
      <c r="J2475" s="1">
        <v>1</v>
      </c>
      <c r="L2475" s="1">
        <v>1</v>
      </c>
    </row>
    <row r="2476" spans="1:59" x14ac:dyDescent="0.3">
      <c r="A2476" s="1" t="s">
        <v>54</v>
      </c>
      <c r="B2476" s="7">
        <v>40764</v>
      </c>
      <c r="C2476" s="1">
        <v>11.5</v>
      </c>
      <c r="D2476" s="1">
        <v>182</v>
      </c>
      <c r="E2476" s="1">
        <v>2</v>
      </c>
      <c r="F2476" s="1">
        <v>62</v>
      </c>
      <c r="J2476" s="1">
        <v>1</v>
      </c>
      <c r="AO2476" s="1">
        <v>1</v>
      </c>
    </row>
    <row r="2477" spans="1:59" x14ac:dyDescent="0.3">
      <c r="A2477" s="1" t="s">
        <v>54</v>
      </c>
      <c r="B2477" s="7">
        <v>40764</v>
      </c>
      <c r="C2477" s="1">
        <v>11.5</v>
      </c>
      <c r="D2477" s="1">
        <v>182</v>
      </c>
      <c r="E2477" s="1">
        <v>2</v>
      </c>
      <c r="F2477" s="1">
        <v>63</v>
      </c>
      <c r="H2477" s="1">
        <v>1</v>
      </c>
      <c r="J2477" s="1">
        <v>1</v>
      </c>
    </row>
    <row r="2478" spans="1:59" x14ac:dyDescent="0.3">
      <c r="A2478" s="1" t="s">
        <v>54</v>
      </c>
      <c r="B2478" s="7">
        <v>40764</v>
      </c>
      <c r="C2478" s="1">
        <v>11.5</v>
      </c>
      <c r="D2478" s="1">
        <v>182</v>
      </c>
      <c r="E2478" s="1">
        <v>2</v>
      </c>
      <c r="F2478" s="1">
        <v>64</v>
      </c>
      <c r="BG2478" s="1">
        <v>1</v>
      </c>
    </row>
    <row r="2479" spans="1:59" x14ac:dyDescent="0.3">
      <c r="A2479" s="1" t="s">
        <v>54</v>
      </c>
      <c r="B2479" s="7">
        <v>40764</v>
      </c>
      <c r="C2479" s="1">
        <v>11.5</v>
      </c>
      <c r="D2479" s="1">
        <v>182</v>
      </c>
      <c r="E2479" s="1">
        <v>2</v>
      </c>
      <c r="F2479" s="1">
        <v>65</v>
      </c>
      <c r="H2479" s="1">
        <v>1</v>
      </c>
      <c r="J2479" s="8">
        <v>1</v>
      </c>
      <c r="K2479" s="8"/>
    </row>
    <row r="2480" spans="1:59" x14ac:dyDescent="0.3">
      <c r="A2480" s="1" t="s">
        <v>54</v>
      </c>
      <c r="B2480" s="7">
        <v>40764</v>
      </c>
      <c r="C2480" s="1">
        <v>11.5</v>
      </c>
      <c r="D2480" s="1">
        <v>182</v>
      </c>
      <c r="E2480" s="1">
        <v>2</v>
      </c>
      <c r="F2480" s="1">
        <v>66</v>
      </c>
      <c r="J2480" s="3">
        <v>0</v>
      </c>
      <c r="K2480" s="3">
        <v>1</v>
      </c>
    </row>
    <row r="2481" spans="1:41" x14ac:dyDescent="0.3">
      <c r="A2481" s="1" t="s">
        <v>54</v>
      </c>
      <c r="B2481" s="7">
        <v>40764</v>
      </c>
      <c r="C2481" s="1">
        <v>11.5</v>
      </c>
      <c r="D2481" s="1">
        <v>182</v>
      </c>
      <c r="E2481" s="1">
        <v>2</v>
      </c>
      <c r="F2481" s="1">
        <v>67</v>
      </c>
      <c r="J2481" s="1">
        <v>1</v>
      </c>
      <c r="AF2481" s="1">
        <v>1</v>
      </c>
    </row>
    <row r="2482" spans="1:41" x14ac:dyDescent="0.3">
      <c r="A2482" s="1" t="s">
        <v>54</v>
      </c>
      <c r="B2482" s="7">
        <v>40764</v>
      </c>
      <c r="C2482" s="1">
        <v>11.5</v>
      </c>
      <c r="D2482" s="1">
        <v>182</v>
      </c>
      <c r="E2482" s="1">
        <v>2</v>
      </c>
      <c r="F2482" s="1">
        <v>68</v>
      </c>
      <c r="L2482" s="1">
        <v>1</v>
      </c>
      <c r="AO2482" s="1">
        <v>1</v>
      </c>
    </row>
    <row r="2483" spans="1:41" x14ac:dyDescent="0.3">
      <c r="A2483" s="1" t="s">
        <v>54</v>
      </c>
      <c r="B2483" s="7">
        <v>40764</v>
      </c>
      <c r="C2483" s="1">
        <v>11.5</v>
      </c>
      <c r="D2483" s="1">
        <v>182</v>
      </c>
      <c r="E2483" s="1">
        <v>2</v>
      </c>
      <c r="F2483" s="1">
        <v>69</v>
      </c>
      <c r="J2483" s="1">
        <v>1</v>
      </c>
    </row>
    <row r="2484" spans="1:41" x14ac:dyDescent="0.3">
      <c r="A2484" s="1" t="s">
        <v>54</v>
      </c>
      <c r="B2484" s="7">
        <v>40764</v>
      </c>
      <c r="C2484" s="1">
        <v>11.5</v>
      </c>
      <c r="D2484" s="1">
        <v>182</v>
      </c>
      <c r="E2484" s="1">
        <v>2</v>
      </c>
      <c r="F2484" s="1">
        <v>70</v>
      </c>
      <c r="J2484" s="1">
        <v>1</v>
      </c>
    </row>
    <row r="2485" spans="1:41" x14ac:dyDescent="0.3">
      <c r="A2485" s="1" t="s">
        <v>54</v>
      </c>
      <c r="B2485" s="7">
        <v>40764</v>
      </c>
      <c r="C2485" s="1">
        <v>11.5</v>
      </c>
      <c r="D2485" s="1">
        <v>182</v>
      </c>
      <c r="E2485" s="1">
        <v>2</v>
      </c>
      <c r="F2485" s="1">
        <v>71</v>
      </c>
      <c r="AO2485" s="1">
        <v>1</v>
      </c>
    </row>
    <row r="2486" spans="1:41" x14ac:dyDescent="0.3">
      <c r="A2486" s="1" t="s">
        <v>54</v>
      </c>
      <c r="B2486" s="7">
        <v>40764</v>
      </c>
      <c r="C2486" s="1">
        <v>11.5</v>
      </c>
      <c r="D2486" s="1">
        <v>182</v>
      </c>
      <c r="E2486" s="1">
        <v>2</v>
      </c>
      <c r="F2486" s="1">
        <v>72</v>
      </c>
      <c r="L2486" s="8">
        <v>1</v>
      </c>
      <c r="M2486" s="8"/>
      <c r="AO2486" s="1">
        <v>1</v>
      </c>
    </row>
    <row r="2487" spans="1:41" x14ac:dyDescent="0.3">
      <c r="A2487" s="1" t="s">
        <v>54</v>
      </c>
      <c r="B2487" s="7">
        <v>40764</v>
      </c>
      <c r="C2487" s="1">
        <v>11.5</v>
      </c>
      <c r="D2487" s="1">
        <v>182</v>
      </c>
      <c r="E2487" s="1">
        <v>2</v>
      </c>
      <c r="F2487" s="1">
        <v>73</v>
      </c>
      <c r="H2487" s="1">
        <v>1</v>
      </c>
      <c r="J2487" s="1">
        <v>1</v>
      </c>
    </row>
    <row r="2488" spans="1:41" x14ac:dyDescent="0.3">
      <c r="A2488" s="1" t="s">
        <v>54</v>
      </c>
      <c r="B2488" s="7">
        <v>40764</v>
      </c>
      <c r="C2488" s="1">
        <v>11.5</v>
      </c>
      <c r="D2488" s="1">
        <v>182</v>
      </c>
      <c r="E2488" s="1">
        <v>2</v>
      </c>
      <c r="F2488" s="1">
        <v>74</v>
      </c>
      <c r="H2488" s="1">
        <v>1</v>
      </c>
    </row>
    <row r="2489" spans="1:41" x14ac:dyDescent="0.3">
      <c r="A2489" s="1" t="s">
        <v>54</v>
      </c>
      <c r="B2489" s="7">
        <v>40764</v>
      </c>
      <c r="C2489" s="1">
        <v>11.5</v>
      </c>
      <c r="D2489" s="1">
        <v>182</v>
      </c>
      <c r="E2489" s="1">
        <v>2</v>
      </c>
      <c r="F2489" s="1">
        <v>75</v>
      </c>
      <c r="H2489" s="1">
        <v>1</v>
      </c>
      <c r="J2489" s="1">
        <v>1</v>
      </c>
    </row>
    <row r="2490" spans="1:41" x14ac:dyDescent="0.3">
      <c r="A2490" s="1" t="s">
        <v>54</v>
      </c>
      <c r="B2490" s="7">
        <v>40764</v>
      </c>
      <c r="C2490" s="1">
        <v>11.5</v>
      </c>
      <c r="D2490" s="1">
        <v>182</v>
      </c>
      <c r="E2490" s="1">
        <v>2</v>
      </c>
      <c r="F2490" s="1">
        <v>76</v>
      </c>
      <c r="J2490" s="3">
        <v>0</v>
      </c>
      <c r="K2490" s="3">
        <v>1</v>
      </c>
    </row>
    <row r="2491" spans="1:41" x14ac:dyDescent="0.3">
      <c r="A2491" s="1" t="s">
        <v>54</v>
      </c>
      <c r="B2491" s="7">
        <v>40764</v>
      </c>
      <c r="C2491" s="1">
        <v>11.5</v>
      </c>
      <c r="D2491" s="1">
        <v>182</v>
      </c>
      <c r="E2491" s="1">
        <v>2</v>
      </c>
      <c r="F2491" s="1">
        <v>77</v>
      </c>
      <c r="H2491" s="1">
        <v>1</v>
      </c>
      <c r="J2491" s="3">
        <v>0</v>
      </c>
      <c r="K2491" s="3">
        <v>1</v>
      </c>
      <c r="N2491" s="1">
        <v>1</v>
      </c>
    </row>
    <row r="2492" spans="1:41" x14ac:dyDescent="0.3">
      <c r="A2492" s="1" t="s">
        <v>54</v>
      </c>
      <c r="B2492" s="7">
        <v>40764</v>
      </c>
      <c r="C2492" s="1">
        <v>11.5</v>
      </c>
      <c r="D2492" s="1">
        <v>182</v>
      </c>
      <c r="E2492" s="1">
        <v>2</v>
      </c>
      <c r="F2492" s="1">
        <v>78</v>
      </c>
      <c r="J2492" s="1">
        <v>1</v>
      </c>
      <c r="L2492" s="1">
        <v>1</v>
      </c>
    </row>
    <row r="2493" spans="1:41" x14ac:dyDescent="0.3">
      <c r="A2493" s="1" t="s">
        <v>54</v>
      </c>
      <c r="B2493" s="7">
        <v>40764</v>
      </c>
      <c r="C2493" s="1">
        <v>11.5</v>
      </c>
      <c r="D2493" s="1">
        <v>182</v>
      </c>
      <c r="E2493" s="1">
        <v>2</v>
      </c>
      <c r="F2493" s="1">
        <v>79</v>
      </c>
      <c r="AO2493" s="1">
        <v>1</v>
      </c>
    </row>
    <row r="2494" spans="1:41" x14ac:dyDescent="0.3">
      <c r="A2494" s="1" t="s">
        <v>54</v>
      </c>
      <c r="B2494" s="7">
        <v>40764</v>
      </c>
      <c r="C2494" s="1">
        <v>11.5</v>
      </c>
      <c r="D2494" s="1">
        <v>182</v>
      </c>
      <c r="E2494" s="1">
        <v>2</v>
      </c>
      <c r="F2494" s="1">
        <v>80</v>
      </c>
      <c r="AO2494" s="1">
        <v>1</v>
      </c>
    </row>
    <row r="2495" spans="1:41" x14ac:dyDescent="0.3">
      <c r="A2495" s="1" t="s">
        <v>54</v>
      </c>
      <c r="B2495" s="7">
        <v>40764</v>
      </c>
      <c r="C2495" s="1">
        <v>11.5</v>
      </c>
      <c r="D2495" s="1">
        <v>182</v>
      </c>
      <c r="E2495" s="1">
        <v>2</v>
      </c>
      <c r="F2495" s="1">
        <v>81</v>
      </c>
      <c r="L2495" s="1">
        <v>1</v>
      </c>
      <c r="AO2495" s="1">
        <v>1</v>
      </c>
    </row>
    <row r="2496" spans="1:41" x14ac:dyDescent="0.3">
      <c r="A2496" s="1" t="s">
        <v>54</v>
      </c>
      <c r="B2496" s="7">
        <v>40764</v>
      </c>
      <c r="C2496" s="1">
        <v>11.5</v>
      </c>
      <c r="D2496" s="1">
        <v>182</v>
      </c>
      <c r="E2496" s="1">
        <v>2</v>
      </c>
      <c r="F2496" s="1">
        <v>82</v>
      </c>
      <c r="H2496" s="1">
        <v>1</v>
      </c>
      <c r="J2496" s="1">
        <v>1</v>
      </c>
    </row>
    <row r="2497" spans="1:41" x14ac:dyDescent="0.3">
      <c r="A2497" s="1" t="s">
        <v>54</v>
      </c>
      <c r="B2497" s="7">
        <v>40764</v>
      </c>
      <c r="C2497" s="1">
        <v>11.5</v>
      </c>
      <c r="D2497" s="1">
        <v>182</v>
      </c>
      <c r="E2497" s="1">
        <v>2</v>
      </c>
      <c r="F2497" s="1">
        <v>83</v>
      </c>
      <c r="H2497" s="1">
        <v>1</v>
      </c>
      <c r="J2497" s="1">
        <v>1</v>
      </c>
    </row>
    <row r="2498" spans="1:41" x14ac:dyDescent="0.3">
      <c r="A2498" s="1" t="s">
        <v>54</v>
      </c>
      <c r="B2498" s="7">
        <v>40764</v>
      </c>
      <c r="C2498" s="1">
        <v>11.5</v>
      </c>
      <c r="D2498" s="1">
        <v>182</v>
      </c>
      <c r="E2498" s="1">
        <v>2</v>
      </c>
      <c r="F2498" s="1">
        <v>84</v>
      </c>
      <c r="H2498" s="1">
        <v>1</v>
      </c>
      <c r="J2498" s="3">
        <v>0</v>
      </c>
      <c r="K2498" s="3">
        <v>1</v>
      </c>
    </row>
    <row r="2499" spans="1:41" x14ac:dyDescent="0.3">
      <c r="A2499" s="1" t="s">
        <v>54</v>
      </c>
      <c r="B2499" s="7">
        <v>40764</v>
      </c>
      <c r="C2499" s="1">
        <v>11.5</v>
      </c>
      <c r="D2499" s="1">
        <v>182</v>
      </c>
      <c r="E2499" s="1">
        <v>2</v>
      </c>
      <c r="F2499" s="1">
        <v>85</v>
      </c>
      <c r="H2499" s="1">
        <v>1</v>
      </c>
      <c r="AO2499" s="1">
        <v>1</v>
      </c>
    </row>
    <row r="2500" spans="1:41" x14ac:dyDescent="0.3">
      <c r="A2500" s="1" t="s">
        <v>54</v>
      </c>
      <c r="B2500" s="7">
        <v>40764</v>
      </c>
      <c r="C2500" s="1">
        <v>11.5</v>
      </c>
      <c r="D2500" s="1">
        <v>182</v>
      </c>
      <c r="E2500" s="1">
        <v>2</v>
      </c>
      <c r="F2500" s="1">
        <v>86</v>
      </c>
      <c r="J2500" s="1">
        <v>1</v>
      </c>
      <c r="N2500" s="1">
        <v>1</v>
      </c>
    </row>
    <row r="2501" spans="1:41" x14ac:dyDescent="0.3">
      <c r="A2501" s="1" t="s">
        <v>54</v>
      </c>
      <c r="B2501" s="7">
        <v>40764</v>
      </c>
      <c r="C2501" s="1">
        <v>11.5</v>
      </c>
      <c r="D2501" s="1">
        <v>182</v>
      </c>
      <c r="E2501" s="1">
        <v>2</v>
      </c>
      <c r="F2501" s="1">
        <v>87</v>
      </c>
      <c r="J2501" s="1">
        <v>1</v>
      </c>
      <c r="L2501" s="1">
        <v>1</v>
      </c>
    </row>
    <row r="2502" spans="1:41" x14ac:dyDescent="0.3">
      <c r="A2502" s="1" t="s">
        <v>54</v>
      </c>
      <c r="B2502" s="7">
        <v>40764</v>
      </c>
      <c r="C2502" s="1">
        <v>11.5</v>
      </c>
      <c r="D2502" s="1">
        <v>182</v>
      </c>
      <c r="E2502" s="1">
        <v>2</v>
      </c>
      <c r="F2502" s="1">
        <v>88</v>
      </c>
      <c r="J2502" s="3">
        <v>0</v>
      </c>
      <c r="K2502" s="3">
        <v>1</v>
      </c>
      <c r="L2502" s="1">
        <v>1</v>
      </c>
    </row>
    <row r="2503" spans="1:41" x14ac:dyDescent="0.3">
      <c r="A2503" s="1" t="s">
        <v>54</v>
      </c>
      <c r="B2503" s="7">
        <v>40764</v>
      </c>
      <c r="C2503" s="1">
        <v>11.5</v>
      </c>
      <c r="D2503" s="1">
        <v>182</v>
      </c>
      <c r="E2503" s="1">
        <v>2</v>
      </c>
      <c r="F2503" s="1">
        <v>89</v>
      </c>
      <c r="J2503" s="1">
        <v>1</v>
      </c>
    </row>
    <row r="2504" spans="1:41" x14ac:dyDescent="0.3">
      <c r="A2504" s="1" t="s">
        <v>54</v>
      </c>
      <c r="B2504" s="7">
        <v>40764</v>
      </c>
      <c r="C2504" s="1">
        <v>11.5</v>
      </c>
      <c r="D2504" s="1">
        <v>182</v>
      </c>
      <c r="E2504" s="1">
        <v>2</v>
      </c>
      <c r="F2504" s="1">
        <v>90</v>
      </c>
      <c r="J2504" s="1">
        <v>1</v>
      </c>
      <c r="L2504" s="1">
        <v>1</v>
      </c>
      <c r="AO2504" s="1">
        <v>1</v>
      </c>
    </row>
    <row r="2505" spans="1:41" x14ac:dyDescent="0.3">
      <c r="A2505" s="1" t="s">
        <v>54</v>
      </c>
      <c r="B2505" s="7">
        <v>40764</v>
      </c>
      <c r="C2505" s="1">
        <v>11.5</v>
      </c>
      <c r="D2505" s="1">
        <v>182</v>
      </c>
      <c r="E2505" s="1">
        <v>2</v>
      </c>
      <c r="F2505" s="1">
        <v>91</v>
      </c>
      <c r="H2505" s="1">
        <v>1</v>
      </c>
      <c r="J2505" s="1">
        <v>1</v>
      </c>
    </row>
    <row r="2506" spans="1:41" x14ac:dyDescent="0.3">
      <c r="A2506" s="1" t="s">
        <v>54</v>
      </c>
      <c r="B2506" s="7">
        <v>40764</v>
      </c>
      <c r="C2506" s="1">
        <v>11.5</v>
      </c>
      <c r="D2506" s="1">
        <v>182</v>
      </c>
      <c r="E2506" s="1">
        <v>2</v>
      </c>
      <c r="F2506" s="1">
        <v>92</v>
      </c>
      <c r="I2506" s="1">
        <v>1</v>
      </c>
      <c r="J2506" s="1">
        <v>1</v>
      </c>
      <c r="L2506" s="1">
        <v>1</v>
      </c>
    </row>
    <row r="2507" spans="1:41" x14ac:dyDescent="0.3">
      <c r="A2507" s="1" t="s">
        <v>54</v>
      </c>
      <c r="B2507" s="7">
        <v>40764</v>
      </c>
      <c r="C2507" s="1">
        <v>11.5</v>
      </c>
      <c r="D2507" s="1">
        <v>182</v>
      </c>
      <c r="E2507" s="1">
        <v>2</v>
      </c>
      <c r="F2507" s="1">
        <v>93</v>
      </c>
      <c r="H2507" s="1">
        <v>1</v>
      </c>
      <c r="L2507" s="1">
        <v>1</v>
      </c>
      <c r="N2507" s="1">
        <v>1</v>
      </c>
    </row>
    <row r="2508" spans="1:41" x14ac:dyDescent="0.3">
      <c r="A2508" s="1" t="s">
        <v>54</v>
      </c>
      <c r="B2508" s="7">
        <v>40764</v>
      </c>
      <c r="C2508" s="1">
        <v>11.5</v>
      </c>
      <c r="D2508" s="1">
        <v>182</v>
      </c>
      <c r="E2508" s="1">
        <v>2</v>
      </c>
      <c r="F2508" s="1">
        <v>94</v>
      </c>
      <c r="H2508" s="1">
        <v>1</v>
      </c>
      <c r="N2508" s="1">
        <v>1</v>
      </c>
    </row>
    <row r="2509" spans="1:41" x14ac:dyDescent="0.3">
      <c r="A2509" s="1" t="s">
        <v>54</v>
      </c>
      <c r="B2509" s="7">
        <v>40764</v>
      </c>
      <c r="C2509" s="1">
        <v>11.5</v>
      </c>
      <c r="D2509" s="1">
        <v>182</v>
      </c>
      <c r="E2509" s="1">
        <v>2</v>
      </c>
      <c r="F2509" s="1">
        <v>95</v>
      </c>
      <c r="H2509" s="1">
        <v>1</v>
      </c>
    </row>
    <row r="2510" spans="1:41" x14ac:dyDescent="0.3">
      <c r="A2510" s="1" t="s">
        <v>54</v>
      </c>
      <c r="B2510" s="7">
        <v>40764</v>
      </c>
      <c r="C2510" s="1">
        <v>11.5</v>
      </c>
      <c r="D2510" s="1">
        <v>182</v>
      </c>
      <c r="E2510" s="1">
        <v>2</v>
      </c>
      <c r="F2510" s="1">
        <v>96</v>
      </c>
      <c r="H2510" s="1">
        <v>1</v>
      </c>
      <c r="J2510" s="3">
        <v>0</v>
      </c>
      <c r="K2510" s="3">
        <v>1</v>
      </c>
    </row>
    <row r="2511" spans="1:41" x14ac:dyDescent="0.3">
      <c r="A2511" s="1" t="s">
        <v>54</v>
      </c>
      <c r="B2511" s="7">
        <v>40764</v>
      </c>
      <c r="C2511" s="1">
        <v>11.5</v>
      </c>
      <c r="D2511" s="1">
        <v>182</v>
      </c>
      <c r="E2511" s="1">
        <v>2</v>
      </c>
      <c r="F2511" s="1">
        <v>97</v>
      </c>
      <c r="J2511" s="1">
        <v>1</v>
      </c>
    </row>
    <row r="2512" spans="1:41" x14ac:dyDescent="0.3">
      <c r="A2512" s="1" t="s">
        <v>54</v>
      </c>
      <c r="B2512" s="7">
        <v>40764</v>
      </c>
      <c r="C2512" s="1">
        <v>11.5</v>
      </c>
      <c r="D2512" s="1">
        <v>182</v>
      </c>
      <c r="E2512" s="1">
        <v>2</v>
      </c>
      <c r="F2512" s="1">
        <v>98</v>
      </c>
      <c r="J2512" s="1">
        <v>1</v>
      </c>
      <c r="L2512" s="1">
        <v>1</v>
      </c>
    </row>
    <row r="2513" spans="1:70" x14ac:dyDescent="0.3">
      <c r="A2513" s="1" t="s">
        <v>54</v>
      </c>
      <c r="B2513" s="7">
        <v>40764</v>
      </c>
      <c r="C2513" s="1">
        <v>11.5</v>
      </c>
      <c r="D2513" s="1">
        <v>182</v>
      </c>
      <c r="E2513" s="1">
        <v>2</v>
      </c>
      <c r="F2513" s="1">
        <v>99</v>
      </c>
      <c r="J2513" s="1">
        <v>1</v>
      </c>
      <c r="BR2513" s="1">
        <v>1</v>
      </c>
    </row>
    <row r="2514" spans="1:70" x14ac:dyDescent="0.3">
      <c r="A2514" s="1" t="s">
        <v>54</v>
      </c>
      <c r="B2514" s="7">
        <v>40764</v>
      </c>
      <c r="C2514" s="1">
        <v>11.5</v>
      </c>
      <c r="D2514" s="1">
        <v>182</v>
      </c>
      <c r="E2514" s="1">
        <v>2</v>
      </c>
      <c r="F2514" s="1">
        <v>100</v>
      </c>
      <c r="J2514" s="1">
        <v>1</v>
      </c>
    </row>
    <row r="2515" spans="1:70" x14ac:dyDescent="0.3">
      <c r="A2515" s="1" t="s">
        <v>54</v>
      </c>
      <c r="B2515" s="7">
        <v>40764</v>
      </c>
      <c r="C2515" s="1">
        <v>23</v>
      </c>
      <c r="D2515" s="1">
        <v>74</v>
      </c>
      <c r="E2515" s="1">
        <v>4</v>
      </c>
      <c r="F2515" s="1">
        <v>1</v>
      </c>
      <c r="R2515" s="1">
        <v>1</v>
      </c>
    </row>
    <row r="2516" spans="1:70" x14ac:dyDescent="0.3">
      <c r="A2516" s="1" t="s">
        <v>54</v>
      </c>
      <c r="B2516" s="7">
        <v>40764</v>
      </c>
      <c r="C2516" s="1">
        <v>23</v>
      </c>
      <c r="D2516" s="1">
        <v>74</v>
      </c>
      <c r="E2516" s="1">
        <v>4</v>
      </c>
      <c r="F2516" s="1">
        <v>2</v>
      </c>
      <c r="R2516" s="1">
        <v>1</v>
      </c>
      <c r="T2516" s="1">
        <v>1</v>
      </c>
    </row>
    <row r="2517" spans="1:70" x14ac:dyDescent="0.3">
      <c r="A2517" s="1" t="s">
        <v>54</v>
      </c>
      <c r="B2517" s="7">
        <v>40764</v>
      </c>
      <c r="C2517" s="1">
        <v>23</v>
      </c>
      <c r="D2517" s="1">
        <v>74</v>
      </c>
      <c r="E2517" s="1">
        <v>4</v>
      </c>
      <c r="F2517" s="1">
        <v>3</v>
      </c>
      <c r="J2517" s="1">
        <v>1</v>
      </c>
      <c r="T2517" s="1">
        <v>1</v>
      </c>
    </row>
    <row r="2518" spans="1:70" x14ac:dyDescent="0.3">
      <c r="A2518" s="1" t="s">
        <v>54</v>
      </c>
      <c r="B2518" s="7">
        <v>40764</v>
      </c>
      <c r="C2518" s="1">
        <v>23</v>
      </c>
      <c r="D2518" s="1">
        <v>74</v>
      </c>
      <c r="E2518" s="1">
        <v>4</v>
      </c>
      <c r="F2518" s="1">
        <v>4</v>
      </c>
      <c r="L2518" s="1">
        <v>1</v>
      </c>
      <c r="R2518" s="1">
        <v>1</v>
      </c>
    </row>
    <row r="2519" spans="1:70" x14ac:dyDescent="0.3">
      <c r="A2519" s="1" t="s">
        <v>54</v>
      </c>
      <c r="B2519" s="7">
        <v>40764</v>
      </c>
      <c r="C2519" s="1">
        <v>23</v>
      </c>
      <c r="D2519" s="1">
        <v>74</v>
      </c>
      <c r="E2519" s="1">
        <v>4</v>
      </c>
      <c r="F2519" s="1">
        <v>5</v>
      </c>
      <c r="J2519" s="1">
        <v>1</v>
      </c>
    </row>
    <row r="2520" spans="1:70" x14ac:dyDescent="0.3">
      <c r="A2520" s="1" t="s">
        <v>54</v>
      </c>
      <c r="B2520" s="7">
        <v>40764</v>
      </c>
      <c r="C2520" s="1">
        <v>23</v>
      </c>
      <c r="D2520" s="1">
        <v>74</v>
      </c>
      <c r="E2520" s="1">
        <v>4</v>
      </c>
      <c r="F2520" s="1">
        <v>6</v>
      </c>
      <c r="J2520" s="1">
        <v>1</v>
      </c>
    </row>
    <row r="2521" spans="1:70" x14ac:dyDescent="0.3">
      <c r="A2521" s="1" t="s">
        <v>54</v>
      </c>
      <c r="B2521" s="7">
        <v>40764</v>
      </c>
      <c r="C2521" s="1">
        <v>23</v>
      </c>
      <c r="D2521" s="1">
        <v>74</v>
      </c>
      <c r="E2521" s="1">
        <v>4</v>
      </c>
      <c r="F2521" s="1">
        <v>7</v>
      </c>
      <c r="R2521" s="1">
        <v>1</v>
      </c>
    </row>
    <row r="2522" spans="1:70" x14ac:dyDescent="0.3">
      <c r="A2522" s="1" t="s">
        <v>54</v>
      </c>
      <c r="B2522" s="7">
        <v>40764</v>
      </c>
      <c r="C2522" s="1">
        <v>23</v>
      </c>
      <c r="D2522" s="1">
        <v>74</v>
      </c>
      <c r="E2522" s="1">
        <v>4</v>
      </c>
      <c r="F2522" s="1">
        <v>8</v>
      </c>
      <c r="J2522" s="1">
        <v>1</v>
      </c>
      <c r="L2522" s="1">
        <v>1</v>
      </c>
    </row>
    <row r="2523" spans="1:70" x14ac:dyDescent="0.3">
      <c r="A2523" s="1" t="s">
        <v>54</v>
      </c>
      <c r="B2523" s="7">
        <v>40764</v>
      </c>
      <c r="C2523" s="1">
        <v>23</v>
      </c>
      <c r="D2523" s="1">
        <v>74</v>
      </c>
      <c r="E2523" s="1">
        <v>4</v>
      </c>
      <c r="F2523" s="1">
        <v>9</v>
      </c>
      <c r="J2523" s="1">
        <v>1</v>
      </c>
      <c r="BA2523" s="1">
        <v>1</v>
      </c>
    </row>
    <row r="2524" spans="1:70" x14ac:dyDescent="0.3">
      <c r="A2524" s="1" t="s">
        <v>54</v>
      </c>
      <c r="B2524" s="7">
        <v>40764</v>
      </c>
      <c r="C2524" s="1">
        <v>23</v>
      </c>
      <c r="D2524" s="1">
        <v>74</v>
      </c>
      <c r="E2524" s="1">
        <v>4</v>
      </c>
      <c r="F2524" s="1">
        <v>10</v>
      </c>
      <c r="J2524" s="1">
        <v>1</v>
      </c>
      <c r="R2524" s="3">
        <v>0</v>
      </c>
      <c r="S2524" s="3">
        <v>1</v>
      </c>
    </row>
    <row r="2525" spans="1:70" x14ac:dyDescent="0.3">
      <c r="A2525" s="1" t="s">
        <v>54</v>
      </c>
      <c r="B2525" s="7">
        <v>40764</v>
      </c>
      <c r="C2525" s="1">
        <v>23</v>
      </c>
      <c r="D2525" s="1">
        <v>74</v>
      </c>
      <c r="E2525" s="1">
        <v>4</v>
      </c>
      <c r="F2525" s="1">
        <v>11</v>
      </c>
      <c r="L2525" s="1">
        <v>1</v>
      </c>
      <c r="BR2525" s="1">
        <v>1</v>
      </c>
    </row>
    <row r="2526" spans="1:70" x14ac:dyDescent="0.3">
      <c r="A2526" s="1" t="s">
        <v>54</v>
      </c>
      <c r="B2526" s="7">
        <v>40764</v>
      </c>
      <c r="C2526" s="1">
        <v>23</v>
      </c>
      <c r="D2526" s="1">
        <v>74</v>
      </c>
      <c r="E2526" s="1">
        <v>4</v>
      </c>
      <c r="F2526" s="1">
        <v>12</v>
      </c>
      <c r="R2526" s="1">
        <v>1</v>
      </c>
    </row>
    <row r="2527" spans="1:70" x14ac:dyDescent="0.3">
      <c r="A2527" s="1" t="s">
        <v>54</v>
      </c>
      <c r="B2527" s="7">
        <v>40764</v>
      </c>
      <c r="C2527" s="1">
        <v>23</v>
      </c>
      <c r="D2527" s="1">
        <v>74</v>
      </c>
      <c r="E2527" s="1">
        <v>4</v>
      </c>
      <c r="F2527" s="1">
        <v>13</v>
      </c>
      <c r="R2527" s="1">
        <v>1</v>
      </c>
      <c r="AS2527" s="1">
        <v>1</v>
      </c>
    </row>
    <row r="2528" spans="1:70" x14ac:dyDescent="0.3">
      <c r="A2528" s="1" t="s">
        <v>54</v>
      </c>
      <c r="B2528" s="7">
        <v>40764</v>
      </c>
      <c r="C2528" s="1">
        <v>23</v>
      </c>
      <c r="D2528" s="1">
        <v>74</v>
      </c>
      <c r="E2528" s="1">
        <v>4</v>
      </c>
      <c r="F2528" s="1">
        <v>14</v>
      </c>
      <c r="J2528" s="1">
        <v>1</v>
      </c>
      <c r="BI2528" s="1">
        <v>1</v>
      </c>
    </row>
    <row r="2529" spans="1:70" x14ac:dyDescent="0.3">
      <c r="A2529" s="1" t="s">
        <v>54</v>
      </c>
      <c r="B2529" s="7">
        <v>40764</v>
      </c>
      <c r="C2529" s="1">
        <v>23</v>
      </c>
      <c r="D2529" s="1">
        <v>74</v>
      </c>
      <c r="E2529" s="1">
        <v>4</v>
      </c>
      <c r="F2529" s="1">
        <v>15</v>
      </c>
      <c r="J2529" s="1">
        <v>1</v>
      </c>
      <c r="L2529" s="1">
        <v>1</v>
      </c>
    </row>
    <row r="2530" spans="1:70" x14ac:dyDescent="0.3">
      <c r="A2530" s="1" t="s">
        <v>54</v>
      </c>
      <c r="B2530" s="7">
        <v>40764</v>
      </c>
      <c r="C2530" s="1">
        <v>23</v>
      </c>
      <c r="D2530" s="1">
        <v>74</v>
      </c>
      <c r="E2530" s="1">
        <v>4</v>
      </c>
      <c r="F2530" s="1">
        <v>16</v>
      </c>
      <c r="J2530" s="1">
        <v>1</v>
      </c>
      <c r="L2530" s="1">
        <v>1</v>
      </c>
    </row>
    <row r="2531" spans="1:70" x14ac:dyDescent="0.3">
      <c r="A2531" s="1" t="s">
        <v>54</v>
      </c>
      <c r="B2531" s="7">
        <v>40764</v>
      </c>
      <c r="C2531" s="1">
        <v>23</v>
      </c>
      <c r="D2531" s="1">
        <v>74</v>
      </c>
      <c r="E2531" s="1">
        <v>4</v>
      </c>
      <c r="F2531" s="1">
        <v>17</v>
      </c>
      <c r="J2531" s="1">
        <v>1</v>
      </c>
    </row>
    <row r="2532" spans="1:70" x14ac:dyDescent="0.3">
      <c r="A2532" s="1" t="s">
        <v>54</v>
      </c>
      <c r="B2532" s="7">
        <v>40764</v>
      </c>
      <c r="C2532" s="1">
        <v>23</v>
      </c>
      <c r="D2532" s="1">
        <v>74</v>
      </c>
      <c r="E2532" s="1">
        <v>4</v>
      </c>
      <c r="F2532" s="1">
        <v>18</v>
      </c>
      <c r="J2532" s="1">
        <v>1</v>
      </c>
      <c r="L2532" s="1">
        <v>1</v>
      </c>
    </row>
    <row r="2533" spans="1:70" x14ac:dyDescent="0.3">
      <c r="A2533" s="1" t="s">
        <v>54</v>
      </c>
      <c r="B2533" s="7">
        <v>40764</v>
      </c>
      <c r="C2533" s="1">
        <v>23</v>
      </c>
      <c r="D2533" s="1">
        <v>74</v>
      </c>
      <c r="E2533" s="1">
        <v>4</v>
      </c>
      <c r="F2533" s="1">
        <v>19</v>
      </c>
      <c r="J2533" s="1">
        <v>1</v>
      </c>
      <c r="BR2533" s="1">
        <v>1</v>
      </c>
    </row>
    <row r="2534" spans="1:70" x14ac:dyDescent="0.3">
      <c r="A2534" s="1" t="s">
        <v>54</v>
      </c>
      <c r="B2534" s="7">
        <v>40764</v>
      </c>
      <c r="C2534" s="1">
        <v>23</v>
      </c>
      <c r="D2534" s="1">
        <v>74</v>
      </c>
      <c r="E2534" s="1">
        <v>4</v>
      </c>
      <c r="F2534" s="1">
        <v>20</v>
      </c>
      <c r="J2534" s="1">
        <v>1</v>
      </c>
      <c r="R2534" s="1">
        <v>1</v>
      </c>
    </row>
    <row r="2535" spans="1:70" x14ac:dyDescent="0.3">
      <c r="A2535" s="1" t="s">
        <v>54</v>
      </c>
      <c r="B2535" s="7">
        <v>40764</v>
      </c>
      <c r="C2535" s="1">
        <v>23</v>
      </c>
      <c r="D2535" s="1">
        <v>74</v>
      </c>
      <c r="E2535" s="1">
        <v>4</v>
      </c>
      <c r="F2535" s="1">
        <v>21</v>
      </c>
      <c r="L2535" s="1">
        <v>1</v>
      </c>
    </row>
    <row r="2536" spans="1:70" x14ac:dyDescent="0.3">
      <c r="A2536" s="1" t="s">
        <v>54</v>
      </c>
      <c r="B2536" s="7">
        <v>40764</v>
      </c>
      <c r="C2536" s="1">
        <v>23</v>
      </c>
      <c r="D2536" s="1">
        <v>74</v>
      </c>
      <c r="E2536" s="1">
        <v>4</v>
      </c>
      <c r="F2536" s="1">
        <v>22</v>
      </c>
      <c r="R2536" s="1">
        <v>1</v>
      </c>
      <c r="BR2536" s="1">
        <v>1</v>
      </c>
    </row>
    <row r="2537" spans="1:70" x14ac:dyDescent="0.3">
      <c r="A2537" s="1" t="s">
        <v>54</v>
      </c>
      <c r="B2537" s="7">
        <v>40764</v>
      </c>
      <c r="C2537" s="1">
        <v>23</v>
      </c>
      <c r="D2537" s="1">
        <v>74</v>
      </c>
      <c r="E2537" s="1">
        <v>4</v>
      </c>
      <c r="F2537" s="1">
        <v>23</v>
      </c>
      <c r="R2537" s="1">
        <v>1</v>
      </c>
      <c r="BR2537" s="1">
        <v>1</v>
      </c>
    </row>
    <row r="2538" spans="1:70" x14ac:dyDescent="0.3">
      <c r="A2538" s="1" t="s">
        <v>54</v>
      </c>
      <c r="B2538" s="7">
        <v>40764</v>
      </c>
      <c r="C2538" s="1">
        <v>23</v>
      </c>
      <c r="D2538" s="1">
        <v>74</v>
      </c>
      <c r="E2538" s="1">
        <v>4</v>
      </c>
      <c r="F2538" s="1">
        <v>24</v>
      </c>
      <c r="R2538" s="1">
        <v>1</v>
      </c>
      <c r="BR2538" s="1">
        <v>1</v>
      </c>
    </row>
    <row r="2539" spans="1:70" x14ac:dyDescent="0.3">
      <c r="A2539" s="1" t="s">
        <v>54</v>
      </c>
      <c r="B2539" s="7">
        <v>40764</v>
      </c>
      <c r="C2539" s="1">
        <v>23</v>
      </c>
      <c r="D2539" s="1">
        <v>74</v>
      </c>
      <c r="E2539" s="1">
        <v>4</v>
      </c>
      <c r="F2539" s="1">
        <v>25</v>
      </c>
      <c r="AI2539" s="1">
        <v>1</v>
      </c>
    </row>
    <row r="2540" spans="1:70" x14ac:dyDescent="0.3">
      <c r="A2540" s="1" t="s">
        <v>54</v>
      </c>
      <c r="B2540" s="7">
        <v>40764</v>
      </c>
      <c r="C2540" s="1">
        <v>23</v>
      </c>
      <c r="D2540" s="1">
        <v>74</v>
      </c>
      <c r="E2540" s="1">
        <v>4</v>
      </c>
      <c r="F2540" s="1">
        <v>26</v>
      </c>
      <c r="J2540" s="3">
        <v>0</v>
      </c>
      <c r="K2540" s="3">
        <v>1</v>
      </c>
      <c r="L2540" s="1">
        <v>1</v>
      </c>
    </row>
    <row r="2541" spans="1:70" x14ac:dyDescent="0.3">
      <c r="A2541" s="1" t="s">
        <v>54</v>
      </c>
      <c r="B2541" s="7">
        <v>40764</v>
      </c>
      <c r="C2541" s="1">
        <v>23</v>
      </c>
      <c r="D2541" s="1">
        <v>74</v>
      </c>
      <c r="E2541" s="1">
        <v>4</v>
      </c>
      <c r="F2541" s="1">
        <v>27</v>
      </c>
      <c r="J2541" s="1">
        <v>1</v>
      </c>
      <c r="L2541" s="1">
        <v>1</v>
      </c>
    </row>
    <row r="2542" spans="1:70" x14ac:dyDescent="0.3">
      <c r="A2542" s="1" t="s">
        <v>54</v>
      </c>
      <c r="B2542" s="7">
        <v>40764</v>
      </c>
      <c r="C2542" s="1">
        <v>23</v>
      </c>
      <c r="D2542" s="1">
        <v>74</v>
      </c>
      <c r="E2542" s="1">
        <v>4</v>
      </c>
      <c r="F2542" s="1">
        <v>28</v>
      </c>
      <c r="J2542" s="1">
        <v>1</v>
      </c>
      <c r="L2542" s="1">
        <v>1</v>
      </c>
    </row>
    <row r="2543" spans="1:70" x14ac:dyDescent="0.3">
      <c r="A2543" s="1" t="s">
        <v>54</v>
      </c>
      <c r="B2543" s="7">
        <v>40764</v>
      </c>
      <c r="C2543" s="1">
        <v>23</v>
      </c>
      <c r="D2543" s="1">
        <v>74</v>
      </c>
      <c r="E2543" s="1">
        <v>4</v>
      </c>
      <c r="F2543" s="1">
        <v>29</v>
      </c>
      <c r="J2543" s="3">
        <v>0</v>
      </c>
      <c r="K2543" s="3">
        <v>1</v>
      </c>
      <c r="L2543" s="1">
        <v>1</v>
      </c>
    </row>
    <row r="2544" spans="1:70" x14ac:dyDescent="0.3">
      <c r="A2544" s="1" t="s">
        <v>54</v>
      </c>
      <c r="B2544" s="7">
        <v>40764</v>
      </c>
      <c r="C2544" s="1">
        <v>23</v>
      </c>
      <c r="D2544" s="1">
        <v>74</v>
      </c>
      <c r="E2544" s="1">
        <v>4</v>
      </c>
      <c r="F2544" s="1">
        <v>30</v>
      </c>
      <c r="J2544" s="1">
        <v>1</v>
      </c>
      <c r="R2544" s="1">
        <v>1</v>
      </c>
    </row>
    <row r="2545" spans="1:61" x14ac:dyDescent="0.3">
      <c r="A2545" s="1" t="s">
        <v>54</v>
      </c>
      <c r="B2545" s="7">
        <v>40764</v>
      </c>
      <c r="C2545" s="1">
        <v>23</v>
      </c>
      <c r="D2545" s="1">
        <v>74</v>
      </c>
      <c r="E2545" s="1">
        <v>4</v>
      </c>
      <c r="F2545" s="1">
        <v>31</v>
      </c>
      <c r="L2545" s="1">
        <v>1</v>
      </c>
      <c r="AI2545" s="3">
        <v>0</v>
      </c>
      <c r="AJ2545" s="3">
        <v>1</v>
      </c>
    </row>
    <row r="2546" spans="1:61" x14ac:dyDescent="0.3">
      <c r="A2546" s="1" t="s">
        <v>54</v>
      </c>
      <c r="B2546" s="7">
        <v>40764</v>
      </c>
      <c r="C2546" s="1">
        <v>23</v>
      </c>
      <c r="D2546" s="1">
        <v>74</v>
      </c>
      <c r="E2546" s="1">
        <v>4</v>
      </c>
      <c r="F2546" s="1">
        <v>32</v>
      </c>
      <c r="R2546" s="1">
        <v>1</v>
      </c>
      <c r="AI2546" s="1">
        <v>1</v>
      </c>
    </row>
    <row r="2547" spans="1:61" x14ac:dyDescent="0.3">
      <c r="A2547" s="1" t="s">
        <v>54</v>
      </c>
      <c r="B2547" s="7">
        <v>40764</v>
      </c>
      <c r="C2547" s="1">
        <v>23</v>
      </c>
      <c r="D2547" s="1">
        <v>74</v>
      </c>
      <c r="E2547" s="1">
        <v>4</v>
      </c>
      <c r="F2547" s="1">
        <v>33</v>
      </c>
      <c r="L2547" s="1">
        <v>1</v>
      </c>
    </row>
    <row r="2548" spans="1:61" x14ac:dyDescent="0.3">
      <c r="A2548" s="1" t="s">
        <v>54</v>
      </c>
      <c r="B2548" s="7">
        <v>40764</v>
      </c>
      <c r="C2548" s="1">
        <v>23</v>
      </c>
      <c r="D2548" s="1">
        <v>74</v>
      </c>
      <c r="E2548" s="1">
        <v>4</v>
      </c>
      <c r="F2548" s="1">
        <v>34</v>
      </c>
      <c r="R2548" s="3">
        <v>0</v>
      </c>
      <c r="S2548" s="3">
        <v>1</v>
      </c>
    </row>
    <row r="2549" spans="1:61" x14ac:dyDescent="0.3">
      <c r="A2549" s="1" t="s">
        <v>54</v>
      </c>
      <c r="B2549" s="7">
        <v>40764</v>
      </c>
      <c r="C2549" s="1">
        <v>23</v>
      </c>
      <c r="D2549" s="1">
        <v>74</v>
      </c>
      <c r="E2549" s="1">
        <v>4</v>
      </c>
      <c r="F2549" s="1">
        <v>35</v>
      </c>
      <c r="R2549" s="1">
        <v>1</v>
      </c>
    </row>
    <row r="2550" spans="1:61" x14ac:dyDescent="0.3">
      <c r="A2550" s="1" t="s">
        <v>54</v>
      </c>
      <c r="B2550" s="7">
        <v>40764</v>
      </c>
      <c r="C2550" s="1">
        <v>23</v>
      </c>
      <c r="D2550" s="1">
        <v>74</v>
      </c>
      <c r="E2550" s="1">
        <v>4</v>
      </c>
      <c r="F2550" s="1">
        <v>36</v>
      </c>
      <c r="J2550" s="3">
        <v>0</v>
      </c>
      <c r="K2550" s="3">
        <v>1</v>
      </c>
      <c r="BG2550" s="3">
        <v>0</v>
      </c>
      <c r="BH2550" s="3">
        <v>1</v>
      </c>
    </row>
    <row r="2551" spans="1:61" x14ac:dyDescent="0.3">
      <c r="A2551" s="1" t="s">
        <v>54</v>
      </c>
      <c r="B2551" s="7">
        <v>40764</v>
      </c>
      <c r="C2551" s="1">
        <v>23</v>
      </c>
      <c r="D2551" s="1">
        <v>74</v>
      </c>
      <c r="E2551" s="1">
        <v>4</v>
      </c>
      <c r="F2551" s="1">
        <v>37</v>
      </c>
      <c r="J2551" s="1">
        <v>1</v>
      </c>
      <c r="R2551" s="8">
        <v>1</v>
      </c>
      <c r="S2551" s="8"/>
    </row>
    <row r="2552" spans="1:61" x14ac:dyDescent="0.3">
      <c r="A2552" s="1" t="s">
        <v>54</v>
      </c>
      <c r="B2552" s="7">
        <v>40764</v>
      </c>
      <c r="C2552" s="1">
        <v>23</v>
      </c>
      <c r="D2552" s="1">
        <v>74</v>
      </c>
      <c r="E2552" s="1">
        <v>4</v>
      </c>
      <c r="F2552" s="1">
        <v>38</v>
      </c>
      <c r="J2552" s="3">
        <v>0</v>
      </c>
      <c r="K2552" s="3">
        <v>1</v>
      </c>
      <c r="BI2552" s="1">
        <v>1</v>
      </c>
    </row>
    <row r="2553" spans="1:61" x14ac:dyDescent="0.3">
      <c r="A2553" s="1" t="s">
        <v>54</v>
      </c>
      <c r="B2553" s="7">
        <v>40764</v>
      </c>
      <c r="C2553" s="1">
        <v>23</v>
      </c>
      <c r="D2553" s="1">
        <v>74</v>
      </c>
      <c r="E2553" s="1">
        <v>4</v>
      </c>
      <c r="F2553" s="1">
        <v>39</v>
      </c>
      <c r="J2553" s="1">
        <v>1</v>
      </c>
    </row>
    <row r="2554" spans="1:61" x14ac:dyDescent="0.3">
      <c r="A2554" s="1" t="s">
        <v>54</v>
      </c>
      <c r="B2554" s="7">
        <v>40764</v>
      </c>
      <c r="C2554" s="1">
        <v>23</v>
      </c>
      <c r="D2554" s="1">
        <v>74</v>
      </c>
      <c r="E2554" s="1">
        <v>4</v>
      </c>
      <c r="F2554" s="1">
        <v>40</v>
      </c>
      <c r="J2554" s="1">
        <v>1</v>
      </c>
      <c r="R2554" s="3">
        <v>0</v>
      </c>
      <c r="S2554" s="3">
        <v>1</v>
      </c>
    </row>
    <row r="2555" spans="1:61" x14ac:dyDescent="0.3">
      <c r="A2555" s="1" t="s">
        <v>54</v>
      </c>
      <c r="B2555" s="7">
        <v>40764</v>
      </c>
      <c r="C2555" s="1">
        <v>23</v>
      </c>
      <c r="D2555" s="1">
        <v>74</v>
      </c>
      <c r="E2555" s="1">
        <v>4</v>
      </c>
      <c r="F2555" s="1">
        <v>41</v>
      </c>
      <c r="L2555" s="1">
        <v>1</v>
      </c>
      <c r="R2555" s="3">
        <v>0</v>
      </c>
      <c r="S2555" s="3">
        <v>1</v>
      </c>
    </row>
    <row r="2556" spans="1:61" x14ac:dyDescent="0.3">
      <c r="A2556" s="1" t="s">
        <v>54</v>
      </c>
      <c r="B2556" s="7">
        <v>40764</v>
      </c>
      <c r="C2556" s="1">
        <v>23</v>
      </c>
      <c r="D2556" s="1">
        <v>74</v>
      </c>
      <c r="E2556" s="1">
        <v>4</v>
      </c>
      <c r="F2556" s="1">
        <v>42</v>
      </c>
      <c r="R2556" s="3">
        <v>0</v>
      </c>
      <c r="S2556" s="3">
        <v>1</v>
      </c>
      <c r="T2556" s="1">
        <v>1</v>
      </c>
    </row>
    <row r="2557" spans="1:61" x14ac:dyDescent="0.3">
      <c r="A2557" s="1" t="s">
        <v>54</v>
      </c>
      <c r="B2557" s="7">
        <v>40764</v>
      </c>
      <c r="C2557" s="1">
        <v>23</v>
      </c>
      <c r="D2557" s="1">
        <v>74</v>
      </c>
      <c r="E2557" s="1">
        <v>4</v>
      </c>
      <c r="F2557" s="1">
        <v>43</v>
      </c>
      <c r="R2557" s="3">
        <v>0</v>
      </c>
      <c r="S2557" s="3">
        <v>1</v>
      </c>
      <c r="AI2557" s="1">
        <v>1</v>
      </c>
    </row>
    <row r="2558" spans="1:61" x14ac:dyDescent="0.3">
      <c r="A2558" s="1" t="s">
        <v>54</v>
      </c>
      <c r="B2558" s="7">
        <v>40764</v>
      </c>
      <c r="C2558" s="1">
        <v>23</v>
      </c>
      <c r="D2558" s="1">
        <v>74</v>
      </c>
      <c r="E2558" s="1">
        <v>4</v>
      </c>
      <c r="F2558" s="1">
        <v>44</v>
      </c>
      <c r="H2558" s="1">
        <v>1</v>
      </c>
      <c r="L2558" s="1">
        <v>1</v>
      </c>
      <c r="R2558" s="3">
        <v>0</v>
      </c>
      <c r="S2558" s="3">
        <v>1</v>
      </c>
    </row>
    <row r="2559" spans="1:61" x14ac:dyDescent="0.3">
      <c r="A2559" s="1" t="s">
        <v>54</v>
      </c>
      <c r="B2559" s="7">
        <v>40764</v>
      </c>
      <c r="C2559" s="1">
        <v>23</v>
      </c>
      <c r="D2559" s="1">
        <v>74</v>
      </c>
      <c r="E2559" s="1">
        <v>4</v>
      </c>
      <c r="F2559" s="1">
        <v>45</v>
      </c>
      <c r="H2559" s="1">
        <v>1</v>
      </c>
      <c r="N2559" s="1">
        <v>1</v>
      </c>
    </row>
    <row r="2560" spans="1:61" x14ac:dyDescent="0.3">
      <c r="A2560" s="1" t="s">
        <v>54</v>
      </c>
      <c r="B2560" s="7">
        <v>40764</v>
      </c>
      <c r="C2560" s="1">
        <v>23</v>
      </c>
      <c r="D2560" s="1">
        <v>74</v>
      </c>
      <c r="E2560" s="1">
        <v>4</v>
      </c>
      <c r="F2560" s="1">
        <v>46</v>
      </c>
      <c r="H2560" s="1">
        <v>1</v>
      </c>
      <c r="L2560" s="1">
        <v>1</v>
      </c>
    </row>
    <row r="2561" spans="1:70" x14ac:dyDescent="0.3">
      <c r="A2561" s="1" t="s">
        <v>54</v>
      </c>
      <c r="B2561" s="7">
        <v>40764</v>
      </c>
      <c r="C2561" s="1">
        <v>23</v>
      </c>
      <c r="D2561" s="1">
        <v>74</v>
      </c>
      <c r="E2561" s="1">
        <v>4</v>
      </c>
      <c r="F2561" s="1">
        <v>47</v>
      </c>
      <c r="J2561" s="1">
        <v>1</v>
      </c>
      <c r="R2561" s="3">
        <v>0</v>
      </c>
      <c r="S2561" s="3">
        <v>1</v>
      </c>
    </row>
    <row r="2562" spans="1:70" x14ac:dyDescent="0.3">
      <c r="A2562" s="1" t="s">
        <v>54</v>
      </c>
      <c r="B2562" s="7">
        <v>40764</v>
      </c>
      <c r="C2562" s="1">
        <v>23</v>
      </c>
      <c r="D2562" s="1">
        <v>74</v>
      </c>
      <c r="E2562" s="1">
        <v>4</v>
      </c>
      <c r="F2562" s="1">
        <v>48</v>
      </c>
      <c r="J2562" s="1">
        <v>1</v>
      </c>
      <c r="R2562" s="1">
        <v>1</v>
      </c>
    </row>
    <row r="2563" spans="1:70" x14ac:dyDescent="0.3">
      <c r="A2563" s="1" t="s">
        <v>54</v>
      </c>
      <c r="B2563" s="7">
        <v>40764</v>
      </c>
      <c r="C2563" s="1">
        <v>23</v>
      </c>
      <c r="D2563" s="1">
        <v>74</v>
      </c>
      <c r="E2563" s="1">
        <v>4</v>
      </c>
      <c r="F2563" s="1">
        <v>49</v>
      </c>
      <c r="J2563" s="1">
        <v>1</v>
      </c>
      <c r="L2563" s="1">
        <v>1</v>
      </c>
      <c r="BA2563" s="1">
        <v>1</v>
      </c>
    </row>
    <row r="2564" spans="1:70" x14ac:dyDescent="0.3">
      <c r="A2564" s="1" t="s">
        <v>54</v>
      </c>
      <c r="B2564" s="7">
        <v>40764</v>
      </c>
      <c r="C2564" s="1">
        <v>23</v>
      </c>
      <c r="D2564" s="1">
        <v>74</v>
      </c>
      <c r="E2564" s="1">
        <v>4</v>
      </c>
      <c r="F2564" s="1">
        <v>50</v>
      </c>
      <c r="J2564" s="1">
        <v>1</v>
      </c>
      <c r="L2564" s="1">
        <v>1</v>
      </c>
    </row>
    <row r="2565" spans="1:70" x14ac:dyDescent="0.3">
      <c r="A2565" s="1" t="s">
        <v>54</v>
      </c>
      <c r="B2565" s="7">
        <v>40764</v>
      </c>
      <c r="C2565" s="1">
        <v>23</v>
      </c>
      <c r="D2565" s="1">
        <v>74</v>
      </c>
      <c r="E2565" s="1">
        <v>4</v>
      </c>
      <c r="F2565" s="1">
        <v>51</v>
      </c>
      <c r="I2565" s="1">
        <v>1</v>
      </c>
      <c r="L2565" s="1">
        <v>1</v>
      </c>
    </row>
    <row r="2566" spans="1:70" x14ac:dyDescent="0.3">
      <c r="A2566" s="1" t="s">
        <v>54</v>
      </c>
      <c r="B2566" s="7">
        <v>40764</v>
      </c>
      <c r="C2566" s="1">
        <v>23</v>
      </c>
      <c r="D2566" s="1">
        <v>74</v>
      </c>
      <c r="E2566" s="1">
        <v>4</v>
      </c>
      <c r="F2566" s="1">
        <v>52</v>
      </c>
      <c r="BR2566" s="1">
        <v>1</v>
      </c>
    </row>
    <row r="2567" spans="1:70" x14ac:dyDescent="0.3">
      <c r="A2567" s="1" t="s">
        <v>54</v>
      </c>
      <c r="B2567" s="7">
        <v>40764</v>
      </c>
      <c r="C2567" s="1">
        <v>23</v>
      </c>
      <c r="D2567" s="1">
        <v>74</v>
      </c>
      <c r="E2567" s="1">
        <v>4</v>
      </c>
      <c r="F2567" s="1">
        <v>53</v>
      </c>
      <c r="AI2567" s="1">
        <v>1</v>
      </c>
    </row>
    <row r="2568" spans="1:70" x14ac:dyDescent="0.3">
      <c r="A2568" s="1" t="s">
        <v>54</v>
      </c>
      <c r="B2568" s="7">
        <v>40764</v>
      </c>
      <c r="C2568" s="1">
        <v>23</v>
      </c>
      <c r="D2568" s="1">
        <v>74</v>
      </c>
      <c r="E2568" s="1">
        <v>4</v>
      </c>
      <c r="F2568" s="1">
        <v>54</v>
      </c>
      <c r="J2568" s="1">
        <v>1</v>
      </c>
    </row>
    <row r="2569" spans="1:70" x14ac:dyDescent="0.3">
      <c r="A2569" s="1" t="s">
        <v>54</v>
      </c>
      <c r="B2569" s="7">
        <v>40764</v>
      </c>
      <c r="C2569" s="1">
        <v>23</v>
      </c>
      <c r="D2569" s="1">
        <v>74</v>
      </c>
      <c r="E2569" s="1">
        <v>4</v>
      </c>
      <c r="F2569" s="1">
        <v>55</v>
      </c>
      <c r="L2569" s="1">
        <v>1</v>
      </c>
      <c r="R2569" s="1">
        <v>1</v>
      </c>
    </row>
    <row r="2570" spans="1:70" x14ac:dyDescent="0.3">
      <c r="A2570" s="1" t="s">
        <v>54</v>
      </c>
      <c r="B2570" s="7">
        <v>40764</v>
      </c>
      <c r="C2570" s="1">
        <v>23</v>
      </c>
      <c r="D2570" s="1">
        <v>74</v>
      </c>
      <c r="E2570" s="1">
        <v>4</v>
      </c>
      <c r="F2570" s="1">
        <v>56</v>
      </c>
      <c r="J2570" s="1">
        <v>1</v>
      </c>
    </row>
    <row r="2571" spans="1:70" x14ac:dyDescent="0.3">
      <c r="A2571" s="1" t="s">
        <v>54</v>
      </c>
      <c r="B2571" s="7">
        <v>40764</v>
      </c>
      <c r="C2571" s="1">
        <v>23</v>
      </c>
      <c r="D2571" s="1">
        <v>74</v>
      </c>
      <c r="E2571" s="1">
        <v>4</v>
      </c>
      <c r="F2571" s="1">
        <v>57</v>
      </c>
      <c r="J2571" s="1">
        <v>1</v>
      </c>
      <c r="L2571" s="1">
        <v>1</v>
      </c>
    </row>
    <row r="2572" spans="1:70" x14ac:dyDescent="0.3">
      <c r="A2572" s="1" t="s">
        <v>54</v>
      </c>
      <c r="B2572" s="7">
        <v>40764</v>
      </c>
      <c r="C2572" s="1">
        <v>23</v>
      </c>
      <c r="D2572" s="1">
        <v>74</v>
      </c>
      <c r="E2572" s="1">
        <v>4</v>
      </c>
      <c r="F2572" s="1">
        <v>58</v>
      </c>
      <c r="N2572" s="1">
        <v>1</v>
      </c>
      <c r="R2572" s="1">
        <v>1</v>
      </c>
    </row>
    <row r="2573" spans="1:70" x14ac:dyDescent="0.3">
      <c r="A2573" s="1" t="s">
        <v>54</v>
      </c>
      <c r="B2573" s="7">
        <v>40764</v>
      </c>
      <c r="C2573" s="1">
        <v>23</v>
      </c>
      <c r="D2573" s="1">
        <v>74</v>
      </c>
      <c r="E2573" s="1">
        <v>4</v>
      </c>
      <c r="F2573" s="1">
        <v>59</v>
      </c>
      <c r="J2573" s="1">
        <v>1</v>
      </c>
      <c r="L2573" s="1">
        <v>1</v>
      </c>
    </row>
    <row r="2574" spans="1:70" x14ac:dyDescent="0.3">
      <c r="A2574" s="1" t="s">
        <v>54</v>
      </c>
      <c r="B2574" s="7">
        <v>40764</v>
      </c>
      <c r="C2574" s="1">
        <v>23</v>
      </c>
      <c r="D2574" s="1">
        <v>74</v>
      </c>
      <c r="E2574" s="1">
        <v>4</v>
      </c>
      <c r="F2574" s="1">
        <v>60</v>
      </c>
      <c r="L2574" s="1">
        <v>1</v>
      </c>
      <c r="R2574" s="3">
        <v>0</v>
      </c>
      <c r="S2574" s="3">
        <v>1</v>
      </c>
    </row>
    <row r="2575" spans="1:70" x14ac:dyDescent="0.3">
      <c r="A2575" s="1" t="s">
        <v>54</v>
      </c>
      <c r="B2575" s="7">
        <v>40764</v>
      </c>
      <c r="C2575" s="1">
        <v>23</v>
      </c>
      <c r="D2575" s="1">
        <v>74</v>
      </c>
      <c r="E2575" s="1">
        <v>4</v>
      </c>
      <c r="F2575" s="1">
        <v>61</v>
      </c>
      <c r="R2575" s="1">
        <v>1</v>
      </c>
      <c r="AS2575" s="1">
        <v>1</v>
      </c>
    </row>
    <row r="2576" spans="1:70" x14ac:dyDescent="0.3">
      <c r="A2576" s="1" t="s">
        <v>54</v>
      </c>
      <c r="B2576" s="7">
        <v>40764</v>
      </c>
      <c r="C2576" s="1">
        <v>23</v>
      </c>
      <c r="D2576" s="1">
        <v>74</v>
      </c>
      <c r="E2576" s="1">
        <v>4</v>
      </c>
      <c r="F2576" s="1">
        <v>62</v>
      </c>
      <c r="T2576" s="1">
        <v>1</v>
      </c>
    </row>
    <row r="2577" spans="1:70" x14ac:dyDescent="0.3">
      <c r="A2577" s="1" t="s">
        <v>54</v>
      </c>
      <c r="B2577" s="7">
        <v>40764</v>
      </c>
      <c r="C2577" s="1">
        <v>23</v>
      </c>
      <c r="D2577" s="1">
        <v>74</v>
      </c>
      <c r="E2577" s="1">
        <v>4</v>
      </c>
      <c r="F2577" s="1">
        <v>63</v>
      </c>
      <c r="L2577" s="1">
        <v>1</v>
      </c>
      <c r="R2577" s="1">
        <v>1</v>
      </c>
    </row>
    <row r="2578" spans="1:70" x14ac:dyDescent="0.3">
      <c r="A2578" s="1" t="s">
        <v>54</v>
      </c>
      <c r="B2578" s="7">
        <v>40764</v>
      </c>
      <c r="C2578" s="1">
        <v>23</v>
      </c>
      <c r="D2578" s="1">
        <v>74</v>
      </c>
      <c r="E2578" s="1">
        <v>4</v>
      </c>
      <c r="F2578" s="1">
        <v>64</v>
      </c>
      <c r="H2578" s="1">
        <v>1</v>
      </c>
      <c r="J2578" s="3">
        <v>0</v>
      </c>
      <c r="K2578" s="3">
        <v>1</v>
      </c>
    </row>
    <row r="2579" spans="1:70" x14ac:dyDescent="0.3">
      <c r="A2579" s="1" t="s">
        <v>54</v>
      </c>
      <c r="B2579" s="7">
        <v>40764</v>
      </c>
      <c r="C2579" s="1">
        <v>23</v>
      </c>
      <c r="D2579" s="1">
        <v>74</v>
      </c>
      <c r="E2579" s="1">
        <v>4</v>
      </c>
      <c r="F2579" s="1">
        <v>65</v>
      </c>
      <c r="J2579" s="1">
        <v>1</v>
      </c>
      <c r="L2579" s="1">
        <v>1</v>
      </c>
    </row>
    <row r="2580" spans="1:70" x14ac:dyDescent="0.3">
      <c r="A2580" s="1" t="s">
        <v>54</v>
      </c>
      <c r="B2580" s="7">
        <v>40764</v>
      </c>
      <c r="C2580" s="1">
        <v>23</v>
      </c>
      <c r="D2580" s="1">
        <v>74</v>
      </c>
      <c r="E2580" s="1">
        <v>4</v>
      </c>
      <c r="F2580" s="1">
        <v>66</v>
      </c>
      <c r="J2580" s="3">
        <v>0</v>
      </c>
      <c r="K2580" s="3">
        <v>1</v>
      </c>
      <c r="BA2580" s="1">
        <v>1</v>
      </c>
    </row>
    <row r="2581" spans="1:70" x14ac:dyDescent="0.3">
      <c r="A2581" s="1" t="s">
        <v>54</v>
      </c>
      <c r="B2581" s="7">
        <v>40764</v>
      </c>
      <c r="C2581" s="1">
        <v>23</v>
      </c>
      <c r="D2581" s="1">
        <v>74</v>
      </c>
      <c r="E2581" s="1">
        <v>4</v>
      </c>
      <c r="F2581" s="1">
        <v>67</v>
      </c>
      <c r="H2581" s="1">
        <v>1</v>
      </c>
      <c r="R2581" s="1">
        <v>1</v>
      </c>
      <c r="BA2581" s="1">
        <v>1</v>
      </c>
    </row>
    <row r="2582" spans="1:70" x14ac:dyDescent="0.3">
      <c r="A2582" s="1" t="s">
        <v>54</v>
      </c>
      <c r="B2582" s="7">
        <v>40764</v>
      </c>
      <c r="C2582" s="1">
        <v>23</v>
      </c>
      <c r="D2582" s="1">
        <v>74</v>
      </c>
      <c r="E2582" s="1">
        <v>4</v>
      </c>
      <c r="F2582" s="1">
        <v>68</v>
      </c>
      <c r="J2582" s="1">
        <v>1</v>
      </c>
      <c r="L2582" s="8">
        <v>1</v>
      </c>
      <c r="M2582" s="8"/>
    </row>
    <row r="2583" spans="1:70" x14ac:dyDescent="0.3">
      <c r="A2583" s="1" t="s">
        <v>54</v>
      </c>
      <c r="B2583" s="7">
        <v>40764</v>
      </c>
      <c r="C2583" s="1">
        <v>23</v>
      </c>
      <c r="D2583" s="1">
        <v>74</v>
      </c>
      <c r="E2583" s="1">
        <v>4</v>
      </c>
      <c r="F2583" s="1">
        <v>69</v>
      </c>
      <c r="N2583" s="1">
        <v>1</v>
      </c>
      <c r="R2583" s="3">
        <v>0</v>
      </c>
      <c r="S2583" s="3">
        <v>1</v>
      </c>
    </row>
    <row r="2584" spans="1:70" x14ac:dyDescent="0.3">
      <c r="A2584" s="1" t="s">
        <v>54</v>
      </c>
      <c r="B2584" s="7">
        <v>40764</v>
      </c>
      <c r="C2584" s="1">
        <v>23</v>
      </c>
      <c r="D2584" s="1">
        <v>74</v>
      </c>
      <c r="E2584" s="1">
        <v>4</v>
      </c>
      <c r="F2584" s="1">
        <v>70</v>
      </c>
      <c r="L2584" s="1">
        <v>1</v>
      </c>
    </row>
    <row r="2585" spans="1:70" x14ac:dyDescent="0.3">
      <c r="A2585" s="1" t="s">
        <v>54</v>
      </c>
      <c r="B2585" s="7">
        <v>40764</v>
      </c>
      <c r="C2585" s="1">
        <v>23</v>
      </c>
      <c r="D2585" s="1">
        <v>74</v>
      </c>
      <c r="E2585" s="1">
        <v>4</v>
      </c>
      <c r="F2585" s="1">
        <v>71</v>
      </c>
      <c r="T2585" s="1">
        <v>1</v>
      </c>
    </row>
    <row r="2586" spans="1:70" x14ac:dyDescent="0.3">
      <c r="A2586" s="1" t="s">
        <v>54</v>
      </c>
      <c r="B2586" s="7">
        <v>40764</v>
      </c>
      <c r="C2586" s="1">
        <v>23</v>
      </c>
      <c r="D2586" s="1">
        <v>74</v>
      </c>
      <c r="E2586" s="1">
        <v>4</v>
      </c>
      <c r="F2586" s="1">
        <v>72</v>
      </c>
      <c r="H2586" s="1">
        <v>1</v>
      </c>
      <c r="T2586" s="1">
        <v>1</v>
      </c>
    </row>
    <row r="2587" spans="1:70" x14ac:dyDescent="0.3">
      <c r="A2587" s="1" t="s">
        <v>54</v>
      </c>
      <c r="B2587" s="7">
        <v>40764</v>
      </c>
      <c r="C2587" s="1">
        <v>23</v>
      </c>
      <c r="D2587" s="1">
        <v>74</v>
      </c>
      <c r="E2587" s="1">
        <v>4</v>
      </c>
      <c r="F2587" s="1">
        <v>73</v>
      </c>
      <c r="J2587" s="1">
        <v>1</v>
      </c>
      <c r="R2587" s="3">
        <v>0</v>
      </c>
      <c r="S2587" s="3">
        <v>1</v>
      </c>
    </row>
    <row r="2588" spans="1:70" x14ac:dyDescent="0.3">
      <c r="A2588" s="1" t="s">
        <v>54</v>
      </c>
      <c r="B2588" s="7">
        <v>40764</v>
      </c>
      <c r="C2588" s="1">
        <v>23</v>
      </c>
      <c r="D2588" s="1">
        <v>74</v>
      </c>
      <c r="E2588" s="1">
        <v>4</v>
      </c>
      <c r="F2588" s="1">
        <v>74</v>
      </c>
      <c r="R2588" s="1">
        <v>1</v>
      </c>
      <c r="T2588" s="1">
        <v>1</v>
      </c>
    </row>
    <row r="2589" spans="1:70" x14ac:dyDescent="0.3">
      <c r="A2589" s="1" t="s">
        <v>54</v>
      </c>
      <c r="B2589" s="7">
        <v>40764</v>
      </c>
      <c r="C2589" s="1">
        <v>23</v>
      </c>
      <c r="D2589" s="1">
        <v>74</v>
      </c>
      <c r="E2589" s="1">
        <v>4</v>
      </c>
      <c r="F2589" s="1">
        <v>75</v>
      </c>
      <c r="J2589" s="1">
        <v>1</v>
      </c>
      <c r="BR2589" s="1">
        <v>1</v>
      </c>
    </row>
    <row r="2590" spans="1:70" x14ac:dyDescent="0.3">
      <c r="A2590" s="1" t="s">
        <v>54</v>
      </c>
      <c r="B2590" s="7">
        <v>40764</v>
      </c>
      <c r="C2590" s="1">
        <v>23</v>
      </c>
      <c r="D2590" s="1">
        <v>74</v>
      </c>
      <c r="E2590" s="1">
        <v>4</v>
      </c>
      <c r="F2590" s="1">
        <v>76</v>
      </c>
      <c r="J2590" s="1">
        <v>1</v>
      </c>
      <c r="BR2590" s="1">
        <v>1</v>
      </c>
    </row>
    <row r="2591" spans="1:70" x14ac:dyDescent="0.3">
      <c r="A2591" s="1" t="s">
        <v>54</v>
      </c>
      <c r="B2591" s="7">
        <v>40764</v>
      </c>
      <c r="C2591" s="1">
        <v>23</v>
      </c>
      <c r="D2591" s="1">
        <v>74</v>
      </c>
      <c r="E2591" s="1">
        <v>4</v>
      </c>
      <c r="F2591" s="1">
        <v>77</v>
      </c>
      <c r="J2591" s="1">
        <v>1</v>
      </c>
      <c r="L2591" s="1">
        <v>1</v>
      </c>
    </row>
    <row r="2592" spans="1:70" x14ac:dyDescent="0.3">
      <c r="A2592" s="1" t="s">
        <v>54</v>
      </c>
      <c r="B2592" s="7">
        <v>40764</v>
      </c>
      <c r="C2592" s="1">
        <v>23</v>
      </c>
      <c r="D2592" s="1">
        <v>74</v>
      </c>
      <c r="E2592" s="1">
        <v>4</v>
      </c>
      <c r="F2592" s="1">
        <v>78</v>
      </c>
      <c r="J2592" s="1">
        <v>1</v>
      </c>
      <c r="L2592" s="1">
        <v>1</v>
      </c>
    </row>
    <row r="2593" spans="1:70" x14ac:dyDescent="0.3">
      <c r="A2593" s="1" t="s">
        <v>54</v>
      </c>
      <c r="B2593" s="7">
        <v>40764</v>
      </c>
      <c r="C2593" s="1">
        <v>23</v>
      </c>
      <c r="D2593" s="1">
        <v>74</v>
      </c>
      <c r="E2593" s="1">
        <v>4</v>
      </c>
      <c r="F2593" s="1">
        <v>79</v>
      </c>
      <c r="J2593" s="1">
        <v>1</v>
      </c>
      <c r="L2593" s="1">
        <v>1</v>
      </c>
      <c r="R2593" s="3">
        <v>0</v>
      </c>
      <c r="S2593" s="3">
        <v>1</v>
      </c>
    </row>
    <row r="2594" spans="1:70" x14ac:dyDescent="0.3">
      <c r="A2594" s="1" t="s">
        <v>54</v>
      </c>
      <c r="B2594" s="7">
        <v>40764</v>
      </c>
      <c r="C2594" s="1">
        <v>23</v>
      </c>
      <c r="D2594" s="1">
        <v>74</v>
      </c>
      <c r="E2594" s="1">
        <v>4</v>
      </c>
      <c r="F2594" s="1">
        <v>80</v>
      </c>
      <c r="J2594" s="3">
        <v>0</v>
      </c>
      <c r="K2594" s="3">
        <v>1</v>
      </c>
      <c r="L2594" s="1">
        <v>1</v>
      </c>
    </row>
    <row r="2595" spans="1:70" x14ac:dyDescent="0.3">
      <c r="A2595" s="1" t="s">
        <v>54</v>
      </c>
      <c r="B2595" s="7">
        <v>40764</v>
      </c>
      <c r="C2595" s="1">
        <v>23</v>
      </c>
      <c r="D2595" s="1">
        <v>74</v>
      </c>
      <c r="E2595" s="1">
        <v>4</v>
      </c>
      <c r="F2595" s="1">
        <v>81</v>
      </c>
      <c r="R2595" s="3">
        <v>0</v>
      </c>
      <c r="S2595" s="3">
        <v>1</v>
      </c>
      <c r="AI2595" s="1">
        <v>1</v>
      </c>
    </row>
    <row r="2596" spans="1:70" x14ac:dyDescent="0.3">
      <c r="A2596" s="1" t="s">
        <v>54</v>
      </c>
      <c r="B2596" s="7">
        <v>40764</v>
      </c>
      <c r="C2596" s="1">
        <v>23</v>
      </c>
      <c r="D2596" s="1">
        <v>74</v>
      </c>
      <c r="E2596" s="1">
        <v>4</v>
      </c>
      <c r="F2596" s="1">
        <v>82</v>
      </c>
      <c r="R2596" s="3">
        <v>0</v>
      </c>
      <c r="S2596" s="3">
        <v>1</v>
      </c>
    </row>
    <row r="2597" spans="1:70" x14ac:dyDescent="0.3">
      <c r="A2597" s="1" t="s">
        <v>54</v>
      </c>
      <c r="B2597" s="7">
        <v>40764</v>
      </c>
      <c r="C2597" s="1">
        <v>23</v>
      </c>
      <c r="D2597" s="1">
        <v>74</v>
      </c>
      <c r="E2597" s="1">
        <v>4</v>
      </c>
      <c r="F2597" s="1">
        <v>83</v>
      </c>
      <c r="L2597" s="1">
        <v>1</v>
      </c>
      <c r="T2597" s="1">
        <v>1</v>
      </c>
    </row>
    <row r="2598" spans="1:70" x14ac:dyDescent="0.3">
      <c r="A2598" s="1" t="s">
        <v>54</v>
      </c>
      <c r="B2598" s="7">
        <v>40764</v>
      </c>
      <c r="C2598" s="1">
        <v>23</v>
      </c>
      <c r="D2598" s="1">
        <v>74</v>
      </c>
      <c r="E2598" s="1">
        <v>4</v>
      </c>
      <c r="F2598" s="1">
        <v>84</v>
      </c>
      <c r="J2598" s="3">
        <v>0</v>
      </c>
      <c r="K2598" s="3">
        <v>1</v>
      </c>
      <c r="L2598" s="1">
        <v>1</v>
      </c>
      <c r="T2598" s="1">
        <v>1</v>
      </c>
    </row>
    <row r="2599" spans="1:70" x14ac:dyDescent="0.3">
      <c r="A2599" s="1" t="s">
        <v>54</v>
      </c>
      <c r="B2599" s="7">
        <v>40764</v>
      </c>
      <c r="C2599" s="1">
        <v>23</v>
      </c>
      <c r="D2599" s="1">
        <v>74</v>
      </c>
      <c r="E2599" s="1">
        <v>4</v>
      </c>
      <c r="F2599" s="1">
        <v>85</v>
      </c>
      <c r="J2599" s="3">
        <v>0</v>
      </c>
      <c r="K2599" s="3">
        <v>1</v>
      </c>
      <c r="L2599" s="1">
        <v>1</v>
      </c>
    </row>
    <row r="2600" spans="1:70" x14ac:dyDescent="0.3">
      <c r="A2600" s="1" t="s">
        <v>54</v>
      </c>
      <c r="B2600" s="7">
        <v>40764</v>
      </c>
      <c r="C2600" s="1">
        <v>23</v>
      </c>
      <c r="D2600" s="1">
        <v>74</v>
      </c>
      <c r="E2600" s="1">
        <v>4</v>
      </c>
      <c r="F2600" s="1">
        <v>86</v>
      </c>
      <c r="J2600" s="1">
        <v>1</v>
      </c>
      <c r="BA2600" s="1">
        <v>1</v>
      </c>
    </row>
    <row r="2601" spans="1:70" x14ac:dyDescent="0.3">
      <c r="A2601" s="1" t="s">
        <v>54</v>
      </c>
      <c r="B2601" s="7">
        <v>40764</v>
      </c>
      <c r="C2601" s="1">
        <v>23</v>
      </c>
      <c r="D2601" s="1">
        <v>74</v>
      </c>
      <c r="E2601" s="1">
        <v>4</v>
      </c>
      <c r="F2601" s="1">
        <v>87</v>
      </c>
      <c r="J2601" s="3">
        <v>0</v>
      </c>
      <c r="K2601" s="3">
        <v>1</v>
      </c>
    </row>
    <row r="2602" spans="1:70" x14ac:dyDescent="0.3">
      <c r="A2602" s="1" t="s">
        <v>54</v>
      </c>
      <c r="B2602" s="7">
        <v>40764</v>
      </c>
      <c r="C2602" s="1">
        <v>23</v>
      </c>
      <c r="D2602" s="1">
        <v>74</v>
      </c>
      <c r="E2602" s="1">
        <v>4</v>
      </c>
      <c r="F2602" s="1">
        <v>88</v>
      </c>
      <c r="J2602" s="3">
        <v>0</v>
      </c>
      <c r="K2602" s="3">
        <v>1</v>
      </c>
      <c r="R2602" s="1">
        <v>1</v>
      </c>
    </row>
    <row r="2603" spans="1:70" x14ac:dyDescent="0.3">
      <c r="A2603" s="1" t="s">
        <v>54</v>
      </c>
      <c r="B2603" s="7">
        <v>40764</v>
      </c>
      <c r="C2603" s="1">
        <v>23</v>
      </c>
      <c r="D2603" s="1">
        <v>74</v>
      </c>
      <c r="E2603" s="1">
        <v>4</v>
      </c>
      <c r="F2603" s="1">
        <v>89</v>
      </c>
      <c r="J2603" s="1">
        <v>1</v>
      </c>
      <c r="AS2603" s="1">
        <v>1</v>
      </c>
    </row>
    <row r="2604" spans="1:70" x14ac:dyDescent="0.3">
      <c r="A2604" s="1" t="s">
        <v>54</v>
      </c>
      <c r="B2604" s="7">
        <v>40764</v>
      </c>
      <c r="C2604" s="1">
        <v>23</v>
      </c>
      <c r="D2604" s="1">
        <v>74</v>
      </c>
      <c r="E2604" s="1">
        <v>4</v>
      </c>
      <c r="F2604" s="1">
        <v>90</v>
      </c>
      <c r="AS2604" s="1">
        <v>1</v>
      </c>
      <c r="BR2604" s="1">
        <v>1</v>
      </c>
    </row>
    <row r="2605" spans="1:70" x14ac:dyDescent="0.3">
      <c r="A2605" s="1" t="s">
        <v>54</v>
      </c>
      <c r="B2605" s="7">
        <v>40764</v>
      </c>
      <c r="C2605" s="1">
        <v>23</v>
      </c>
      <c r="D2605" s="1">
        <v>74</v>
      </c>
      <c r="E2605" s="1">
        <v>4</v>
      </c>
      <c r="F2605" s="1">
        <v>91</v>
      </c>
      <c r="J2605" s="1">
        <v>1</v>
      </c>
      <c r="L2605" s="1">
        <v>1</v>
      </c>
    </row>
    <row r="2606" spans="1:70" x14ac:dyDescent="0.3">
      <c r="A2606" s="1" t="s">
        <v>54</v>
      </c>
      <c r="B2606" s="7">
        <v>40764</v>
      </c>
      <c r="C2606" s="1">
        <v>23</v>
      </c>
      <c r="D2606" s="1">
        <v>74</v>
      </c>
      <c r="E2606" s="1">
        <v>4</v>
      </c>
      <c r="F2606" s="1">
        <v>92</v>
      </c>
      <c r="J2606" s="1">
        <v>1</v>
      </c>
      <c r="L2606" s="1">
        <v>1</v>
      </c>
    </row>
    <row r="2607" spans="1:70" x14ac:dyDescent="0.3">
      <c r="A2607" s="1" t="s">
        <v>54</v>
      </c>
      <c r="B2607" s="7">
        <v>40764</v>
      </c>
      <c r="C2607" s="1">
        <v>23</v>
      </c>
      <c r="D2607" s="1">
        <v>74</v>
      </c>
      <c r="E2607" s="1">
        <v>4</v>
      </c>
      <c r="F2607" s="1">
        <v>93</v>
      </c>
      <c r="J2607" s="1">
        <v>1</v>
      </c>
      <c r="AF2607" s="1">
        <v>1</v>
      </c>
    </row>
    <row r="2608" spans="1:70" x14ac:dyDescent="0.3">
      <c r="A2608" s="1" t="s">
        <v>54</v>
      </c>
      <c r="B2608" s="7">
        <v>40764</v>
      </c>
      <c r="C2608" s="1">
        <v>23</v>
      </c>
      <c r="D2608" s="1">
        <v>74</v>
      </c>
      <c r="E2608" s="1">
        <v>4</v>
      </c>
      <c r="F2608" s="1">
        <v>94</v>
      </c>
      <c r="J2608" s="3">
        <v>0</v>
      </c>
      <c r="K2608" s="3">
        <v>1</v>
      </c>
      <c r="AI2608" s="1">
        <v>1</v>
      </c>
    </row>
    <row r="2609" spans="1:90" x14ac:dyDescent="0.3">
      <c r="A2609" s="1" t="s">
        <v>54</v>
      </c>
      <c r="B2609" s="7">
        <v>40764</v>
      </c>
      <c r="C2609" s="1">
        <v>23</v>
      </c>
      <c r="D2609" s="1">
        <v>74</v>
      </c>
      <c r="E2609" s="1">
        <v>4</v>
      </c>
      <c r="F2609" s="1">
        <v>95</v>
      </c>
      <c r="J2609" s="1">
        <v>1</v>
      </c>
      <c r="AS2609" s="1">
        <v>1</v>
      </c>
    </row>
    <row r="2610" spans="1:90" x14ac:dyDescent="0.3">
      <c r="A2610" s="1" t="s">
        <v>54</v>
      </c>
      <c r="B2610" s="7">
        <v>40764</v>
      </c>
      <c r="C2610" s="1">
        <v>23</v>
      </c>
      <c r="D2610" s="1">
        <v>74</v>
      </c>
      <c r="E2610" s="1">
        <v>4</v>
      </c>
      <c r="F2610" s="1">
        <v>96</v>
      </c>
      <c r="J2610" s="1">
        <v>1</v>
      </c>
      <c r="L2610" s="1">
        <v>1</v>
      </c>
      <c r="AI2610" s="3">
        <v>0</v>
      </c>
      <c r="AJ2610" s="3">
        <v>1</v>
      </c>
    </row>
    <row r="2611" spans="1:90" x14ac:dyDescent="0.3">
      <c r="A2611" s="1" t="s">
        <v>54</v>
      </c>
      <c r="B2611" s="7">
        <v>40764</v>
      </c>
      <c r="C2611" s="1">
        <v>23</v>
      </c>
      <c r="D2611" s="1">
        <v>74</v>
      </c>
      <c r="E2611" s="1">
        <v>4</v>
      </c>
      <c r="F2611" s="1">
        <v>97</v>
      </c>
      <c r="L2611" s="1">
        <v>1</v>
      </c>
      <c r="BA2611" s="1">
        <v>1</v>
      </c>
    </row>
    <row r="2612" spans="1:90" x14ac:dyDescent="0.3">
      <c r="A2612" s="1" t="s">
        <v>54</v>
      </c>
      <c r="B2612" s="7">
        <v>40764</v>
      </c>
      <c r="C2612" s="1">
        <v>23</v>
      </c>
      <c r="D2612" s="1">
        <v>74</v>
      </c>
      <c r="E2612" s="1">
        <v>4</v>
      </c>
      <c r="F2612" s="1">
        <v>98</v>
      </c>
      <c r="J2612" s="1">
        <v>1</v>
      </c>
      <c r="R2612" s="1">
        <v>1</v>
      </c>
    </row>
    <row r="2613" spans="1:90" x14ac:dyDescent="0.3">
      <c r="A2613" s="1" t="s">
        <v>54</v>
      </c>
      <c r="B2613" s="7">
        <v>40764</v>
      </c>
      <c r="C2613" s="1">
        <v>23</v>
      </c>
      <c r="D2613" s="1">
        <v>74</v>
      </c>
      <c r="E2613" s="1">
        <v>4</v>
      </c>
      <c r="F2613" s="1">
        <v>99</v>
      </c>
      <c r="J2613" s="1">
        <v>1</v>
      </c>
      <c r="L2613" s="1">
        <v>1</v>
      </c>
      <c r="R2613" s="1">
        <v>1</v>
      </c>
      <c r="AS2613" s="1">
        <v>1</v>
      </c>
    </row>
    <row r="2614" spans="1:90" x14ac:dyDescent="0.3">
      <c r="A2614" s="1" t="s">
        <v>54</v>
      </c>
      <c r="B2614" s="7">
        <v>40764</v>
      </c>
      <c r="C2614" s="1">
        <v>23</v>
      </c>
      <c r="D2614" s="1">
        <v>74</v>
      </c>
      <c r="E2614" s="1">
        <v>4</v>
      </c>
      <c r="F2614" s="1">
        <v>100</v>
      </c>
      <c r="J2614" s="1">
        <v>1</v>
      </c>
      <c r="L2614" s="1">
        <v>1</v>
      </c>
    </row>
    <row r="2615" spans="1:90" s="12" customFormat="1" x14ac:dyDescent="0.3">
      <c r="A2615" s="14" t="s">
        <v>54</v>
      </c>
      <c r="B2615" s="13"/>
      <c r="G2615" s="12">
        <f>SUM(G2415:G2614)</f>
        <v>1</v>
      </c>
      <c r="H2615" s="12">
        <f t="shared" ref="H2615" si="942">SUM(H2415:H2614)</f>
        <v>28</v>
      </c>
      <c r="I2615" s="12">
        <f t="shared" ref="I2615" si="943">SUM(I2415:I2614)</f>
        <v>13</v>
      </c>
      <c r="J2615" s="12">
        <f t="shared" ref="J2615" si="944">SUM(J2415:J2614)</f>
        <v>89</v>
      </c>
      <c r="K2615" s="12">
        <f t="shared" ref="K2615" si="945">SUM(K2415:K2614)</f>
        <v>22</v>
      </c>
      <c r="L2615" s="12">
        <f t="shared" ref="L2615" si="946">SUM(L2415:L2614)</f>
        <v>62</v>
      </c>
      <c r="M2615" s="12">
        <f t="shared" ref="M2615" si="947">SUM(M2415:M2614)</f>
        <v>0</v>
      </c>
      <c r="N2615" s="12">
        <f t="shared" ref="N2615" si="948">SUM(N2415:N2614)</f>
        <v>7</v>
      </c>
      <c r="O2615" s="12">
        <f t="shared" ref="O2615" si="949">SUM(O2415:O2614)</f>
        <v>0</v>
      </c>
      <c r="P2615" s="12">
        <f t="shared" ref="P2615" si="950">SUM(P2415:P2614)</f>
        <v>0</v>
      </c>
      <c r="Q2615" s="12">
        <f t="shared" ref="Q2615" si="951">SUM(Q2415:Q2614)</f>
        <v>0</v>
      </c>
      <c r="R2615" s="12">
        <f t="shared" ref="R2615" si="952">SUM(R2415:R2614)</f>
        <v>28</v>
      </c>
      <c r="S2615" s="12">
        <f t="shared" ref="S2615" si="953">SUM(S2415:S2614)</f>
        <v>16</v>
      </c>
      <c r="T2615" s="12">
        <f t="shared" ref="T2615" si="954">SUM(T2415:T2614)</f>
        <v>9</v>
      </c>
      <c r="U2615" s="12">
        <f t="shared" ref="U2615" si="955">SUM(U2415:U2614)</f>
        <v>0</v>
      </c>
      <c r="V2615" s="12">
        <f t="shared" ref="V2615" si="956">SUM(V2415:V2614)</f>
        <v>0</v>
      </c>
      <c r="W2615" s="12">
        <f t="shared" ref="W2615" si="957">SUM(W2415:W2614)</f>
        <v>0</v>
      </c>
      <c r="X2615" s="12">
        <f t="shared" ref="X2615" si="958">SUM(X2415:X2614)</f>
        <v>0</v>
      </c>
      <c r="Y2615" s="12">
        <f t="shared" ref="Y2615" si="959">SUM(Y2415:Y2614)</f>
        <v>0</v>
      </c>
      <c r="Z2615" s="12">
        <f t="shared" ref="Z2615" si="960">SUM(Z2415:Z2614)</f>
        <v>0</v>
      </c>
      <c r="AA2615" s="12">
        <f t="shared" ref="AA2615" si="961">SUM(AA2415:AA2614)</f>
        <v>8</v>
      </c>
      <c r="AB2615" s="12">
        <f t="shared" ref="AB2615" si="962">SUM(AB2415:AB2614)</f>
        <v>0</v>
      </c>
      <c r="AC2615" s="12">
        <f t="shared" ref="AC2615" si="963">SUM(AC2415:AC2614)</f>
        <v>0</v>
      </c>
      <c r="AD2615" s="12">
        <f t="shared" ref="AD2615" si="964">SUM(AD2415:AD2614)</f>
        <v>0</v>
      </c>
      <c r="AE2615" s="12">
        <f t="shared" ref="AE2615" si="965">SUM(AE2415:AE2614)</f>
        <v>0</v>
      </c>
      <c r="AF2615" s="12">
        <f t="shared" ref="AF2615" si="966">SUM(AF2415:AF2614)</f>
        <v>2</v>
      </c>
      <c r="AG2615" s="12">
        <f t="shared" ref="AG2615" si="967">SUM(AG2415:AG2614)</f>
        <v>0</v>
      </c>
      <c r="AH2615" s="12">
        <f t="shared" ref="AH2615" si="968">SUM(AH2415:AH2614)</f>
        <v>0</v>
      </c>
      <c r="AI2615" s="12">
        <f t="shared" ref="AI2615" si="969">SUM(AI2415:AI2614)</f>
        <v>6</v>
      </c>
      <c r="AJ2615" s="12">
        <f t="shared" ref="AJ2615" si="970">SUM(AJ2415:AJ2614)</f>
        <v>3</v>
      </c>
      <c r="AK2615" s="12">
        <f t="shared" ref="AK2615" si="971">SUM(AK2415:AK2614)</f>
        <v>0</v>
      </c>
      <c r="AL2615" s="12">
        <f t="shared" ref="AL2615" si="972">SUM(AL2415:AL2614)</f>
        <v>0</v>
      </c>
      <c r="AM2615" s="12">
        <f t="shared" ref="AM2615" si="973">SUM(AM2415:AM2614)</f>
        <v>0</v>
      </c>
      <c r="AN2615" s="12">
        <f t="shared" ref="AN2615" si="974">SUM(AN2415:AN2614)</f>
        <v>0</v>
      </c>
      <c r="AO2615" s="12">
        <f t="shared" ref="AO2615" si="975">SUM(AO2415:AO2614)</f>
        <v>22</v>
      </c>
      <c r="AP2615" s="12">
        <f t="shared" ref="AP2615" si="976">SUM(AP2415:AP2614)</f>
        <v>0</v>
      </c>
      <c r="AQ2615" s="12">
        <f t="shared" ref="AQ2615" si="977">SUM(AQ2415:AQ2614)</f>
        <v>0</v>
      </c>
      <c r="AR2615" s="12">
        <f t="shared" ref="AR2615" si="978">SUM(AR2415:AR2614)</f>
        <v>0</v>
      </c>
      <c r="AS2615" s="12">
        <f t="shared" ref="AS2615" si="979">SUM(AS2415:AS2614)</f>
        <v>6</v>
      </c>
      <c r="AT2615" s="12">
        <f t="shared" ref="AT2615" si="980">SUM(AT2415:AT2614)</f>
        <v>0</v>
      </c>
      <c r="AU2615" s="12">
        <f t="shared" ref="AU2615" si="981">SUM(AU2415:AU2614)</f>
        <v>0</v>
      </c>
      <c r="AV2615" s="12">
        <f t="shared" ref="AV2615" si="982">SUM(AV2415:AV2614)</f>
        <v>0</v>
      </c>
      <c r="AW2615" s="12">
        <f t="shared" ref="AW2615" si="983">SUM(AW2415:AW2614)</f>
        <v>0</v>
      </c>
      <c r="AX2615" s="12">
        <f t="shared" ref="AX2615" si="984">SUM(AX2415:AX2614)</f>
        <v>0</v>
      </c>
      <c r="AY2615" s="12">
        <f t="shared" ref="AY2615" si="985">SUM(AY2415:AY2614)</f>
        <v>0</v>
      </c>
      <c r="AZ2615" s="12">
        <f t="shared" ref="AZ2615" si="986">SUM(AZ2415:AZ2614)</f>
        <v>0</v>
      </c>
      <c r="BA2615" s="12">
        <f t="shared" ref="BA2615" si="987">SUM(BA2415:BA2614)</f>
        <v>6</v>
      </c>
      <c r="BB2615" s="12">
        <f t="shared" ref="BB2615" si="988">SUM(BB2415:BB2614)</f>
        <v>0</v>
      </c>
      <c r="BC2615" s="12">
        <f t="shared" ref="BC2615" si="989">SUM(BC2415:BC2614)</f>
        <v>1</v>
      </c>
      <c r="BD2615" s="12">
        <f t="shared" ref="BD2615" si="990">SUM(BD2415:BD2614)</f>
        <v>0</v>
      </c>
      <c r="BE2615" s="12">
        <f t="shared" ref="BE2615" si="991">SUM(BE2415:BE2614)</f>
        <v>0</v>
      </c>
      <c r="BF2615" s="12">
        <f t="shared" ref="BF2615" si="992">SUM(BF2415:BF2614)</f>
        <v>0</v>
      </c>
      <c r="BG2615" s="12">
        <f t="shared" ref="BG2615" si="993">SUM(BG2415:BG2614)</f>
        <v>3</v>
      </c>
      <c r="BH2615" s="12">
        <f t="shared" ref="BH2615" si="994">SUM(BH2415:BH2614)</f>
        <v>1</v>
      </c>
      <c r="BI2615" s="12">
        <f t="shared" ref="BI2615" si="995">SUM(BI2415:BI2614)</f>
        <v>2</v>
      </c>
      <c r="BJ2615" s="12">
        <f t="shared" ref="BJ2615" si="996">SUM(BJ2415:BJ2614)</f>
        <v>0</v>
      </c>
      <c r="BK2615" s="12">
        <f t="shared" ref="BK2615" si="997">SUM(BK2415:BK2614)</f>
        <v>0</v>
      </c>
      <c r="BL2615" s="12">
        <f t="shared" ref="BL2615" si="998">SUM(BL2415:BL2614)</f>
        <v>0</v>
      </c>
      <c r="BM2615" s="12">
        <f t="shared" ref="BM2615" si="999">SUM(BM2415:BM2614)</f>
        <v>0</v>
      </c>
      <c r="BN2615" s="12">
        <f t="shared" ref="BN2615" si="1000">SUM(BN2415:BN2614)</f>
        <v>0</v>
      </c>
      <c r="BO2615" s="12">
        <f t="shared" ref="BO2615" si="1001">SUM(BO2415:BO2614)</f>
        <v>0</v>
      </c>
      <c r="BP2615" s="12">
        <f t="shared" ref="BP2615" si="1002">SUM(BP2415:BP2614)</f>
        <v>0</v>
      </c>
      <c r="BQ2615" s="12">
        <f t="shared" ref="BQ2615" si="1003">SUM(BQ2415:BQ2614)</f>
        <v>0</v>
      </c>
      <c r="BR2615" s="12">
        <f t="shared" ref="BR2615" si="1004">SUM(BR2415:BR2614)</f>
        <v>11</v>
      </c>
      <c r="BS2615" s="12">
        <f t="shared" ref="BS2615" si="1005">SUM(BS2415:BS2614)</f>
        <v>2</v>
      </c>
      <c r="BT2615" s="12">
        <f t="shared" ref="BT2615" si="1006">SUM(BT2415:BT2614)</f>
        <v>0</v>
      </c>
      <c r="BU2615" s="12">
        <f t="shared" ref="BU2615" si="1007">SUM(BU2415:BU2614)</f>
        <v>0</v>
      </c>
      <c r="BV2615" s="12">
        <f t="shared" ref="BV2615" si="1008">SUM(BV2415:BV2614)</f>
        <v>0</v>
      </c>
      <c r="BW2615" s="12">
        <f t="shared" ref="BW2615" si="1009">SUM(BW2415:BW2614)</f>
        <v>0</v>
      </c>
      <c r="BX2615" s="12">
        <f t="shared" ref="BX2615" si="1010">SUM(BX2415:BX2614)</f>
        <v>0</v>
      </c>
      <c r="BY2615" s="12">
        <f t="shared" ref="BY2615" si="1011">SUM(BY2415:BY2614)</f>
        <v>0</v>
      </c>
      <c r="BZ2615" s="12">
        <f t="shared" ref="BZ2615" si="1012">SUM(BZ2415:BZ2614)</f>
        <v>0</v>
      </c>
      <c r="CA2615" s="12">
        <f t="shared" ref="CA2615" si="1013">SUM(CA2415:CA2614)</f>
        <v>0</v>
      </c>
      <c r="CB2615" s="12">
        <f t="shared" ref="CB2615" si="1014">SUM(CB2415:CB2614)</f>
        <v>0</v>
      </c>
      <c r="CC2615" s="12">
        <f t="shared" ref="CC2615" si="1015">SUM(CC2415:CC2614)</f>
        <v>0</v>
      </c>
      <c r="CD2615" s="12">
        <f t="shared" ref="CD2615" si="1016">SUM(CD2415:CD2614)</f>
        <v>0</v>
      </c>
      <c r="CE2615" s="12">
        <f t="shared" ref="CE2615" si="1017">SUM(CE2415:CE2614)</f>
        <v>0</v>
      </c>
      <c r="CF2615" s="12">
        <f t="shared" ref="CF2615" si="1018">SUM(CF2415:CF2614)</f>
        <v>0</v>
      </c>
      <c r="CG2615" s="12">
        <f t="shared" ref="CG2615" si="1019">SUM(CG2415:CG2614)</f>
        <v>0</v>
      </c>
      <c r="CH2615" s="12">
        <f t="shared" ref="CH2615" si="1020">SUM(CH2415:CH2614)</f>
        <v>0</v>
      </c>
      <c r="CI2615" s="12">
        <f t="shared" ref="CI2615" si="1021">SUM(CI2415:CI2614)</f>
        <v>0</v>
      </c>
      <c r="CJ2615" s="12">
        <f t="shared" ref="CJ2615" si="1022">SUM(CJ2415:CJ2614)</f>
        <v>0</v>
      </c>
      <c r="CK2615" s="12">
        <f t="shared" ref="CK2615" si="1023">SUM(CK2415:CK2614)</f>
        <v>0</v>
      </c>
      <c r="CL2615" s="12">
        <f t="shared" ref="CL2615" si="1024">SUM(CL2415:CL2614)</f>
        <v>0</v>
      </c>
    </row>
    <row r="2616" spans="1:90" x14ac:dyDescent="0.3">
      <c r="A2616" s="1" t="s">
        <v>55</v>
      </c>
      <c r="B2616" s="7">
        <v>40764</v>
      </c>
      <c r="C2616" s="1">
        <v>8.5</v>
      </c>
      <c r="D2616" s="1">
        <v>307</v>
      </c>
      <c r="E2616" s="1">
        <v>4</v>
      </c>
      <c r="F2616" s="1">
        <v>1</v>
      </c>
      <c r="L2616" s="1">
        <v>1</v>
      </c>
      <c r="AA2616" s="1">
        <v>1</v>
      </c>
    </row>
    <row r="2617" spans="1:90" x14ac:dyDescent="0.3">
      <c r="A2617" s="1" t="s">
        <v>55</v>
      </c>
      <c r="B2617" s="7">
        <v>40764</v>
      </c>
      <c r="C2617" s="1">
        <v>8.5</v>
      </c>
      <c r="D2617" s="1">
        <v>307</v>
      </c>
      <c r="E2617" s="1">
        <v>4</v>
      </c>
      <c r="F2617" s="1">
        <v>2</v>
      </c>
      <c r="AA2617" s="1">
        <v>1</v>
      </c>
    </row>
    <row r="2618" spans="1:90" x14ac:dyDescent="0.3">
      <c r="A2618" s="1" t="s">
        <v>55</v>
      </c>
      <c r="B2618" s="7">
        <v>40764</v>
      </c>
      <c r="C2618" s="1">
        <v>8.5</v>
      </c>
      <c r="D2618" s="1">
        <v>307</v>
      </c>
      <c r="E2618" s="1">
        <v>4</v>
      </c>
      <c r="F2618" s="1">
        <v>3</v>
      </c>
      <c r="AA2618" s="1">
        <v>1</v>
      </c>
    </row>
    <row r="2619" spans="1:90" x14ac:dyDescent="0.3">
      <c r="A2619" s="1" t="s">
        <v>55</v>
      </c>
      <c r="B2619" s="7">
        <v>40764</v>
      </c>
      <c r="C2619" s="1">
        <v>8.5</v>
      </c>
      <c r="D2619" s="1">
        <v>307</v>
      </c>
      <c r="E2619" s="1">
        <v>4</v>
      </c>
      <c r="F2619" s="1">
        <v>4</v>
      </c>
      <c r="L2619" s="1">
        <v>1</v>
      </c>
      <c r="AA2619" s="1">
        <v>1</v>
      </c>
    </row>
    <row r="2620" spans="1:90" x14ac:dyDescent="0.3">
      <c r="A2620" s="1" t="s">
        <v>55</v>
      </c>
      <c r="B2620" s="7">
        <v>40764</v>
      </c>
      <c r="C2620" s="1">
        <v>8.5</v>
      </c>
      <c r="D2620" s="1">
        <v>307</v>
      </c>
      <c r="E2620" s="1">
        <v>4</v>
      </c>
      <c r="F2620" s="1">
        <v>5</v>
      </c>
      <c r="H2620" s="1">
        <v>1</v>
      </c>
    </row>
    <row r="2621" spans="1:90" x14ac:dyDescent="0.3">
      <c r="A2621" s="1" t="s">
        <v>55</v>
      </c>
      <c r="B2621" s="7">
        <v>40764</v>
      </c>
      <c r="C2621" s="1">
        <v>8.5</v>
      </c>
      <c r="D2621" s="1">
        <v>307</v>
      </c>
      <c r="E2621" s="1">
        <v>4</v>
      </c>
      <c r="F2621" s="1">
        <v>6</v>
      </c>
    </row>
    <row r="2622" spans="1:90" x14ac:dyDescent="0.3">
      <c r="A2622" s="1" t="s">
        <v>55</v>
      </c>
      <c r="B2622" s="7">
        <v>40764</v>
      </c>
      <c r="C2622" s="1">
        <v>8.5</v>
      </c>
      <c r="D2622" s="1">
        <v>307</v>
      </c>
      <c r="E2622" s="1">
        <v>4</v>
      </c>
      <c r="F2622" s="1">
        <v>7</v>
      </c>
    </row>
    <row r="2623" spans="1:90" x14ac:dyDescent="0.3">
      <c r="A2623" s="1" t="s">
        <v>55</v>
      </c>
      <c r="B2623" s="7">
        <v>40764</v>
      </c>
      <c r="C2623" s="1">
        <v>8.5</v>
      </c>
      <c r="D2623" s="1">
        <v>307</v>
      </c>
      <c r="E2623" s="1">
        <v>4</v>
      </c>
      <c r="F2623" s="1">
        <v>8</v>
      </c>
    </row>
    <row r="2624" spans="1:90" x14ac:dyDescent="0.3">
      <c r="A2624" s="1" t="s">
        <v>55</v>
      </c>
      <c r="B2624" s="7">
        <v>40764</v>
      </c>
      <c r="C2624" s="1">
        <v>8.5</v>
      </c>
      <c r="D2624" s="1">
        <v>307</v>
      </c>
      <c r="E2624" s="1">
        <v>4</v>
      </c>
      <c r="F2624" s="1">
        <v>9</v>
      </c>
      <c r="L2624" s="1">
        <v>1</v>
      </c>
      <c r="AB2624" s="1">
        <v>1</v>
      </c>
    </row>
    <row r="2625" spans="1:61" x14ac:dyDescent="0.3">
      <c r="A2625" s="1" t="s">
        <v>55</v>
      </c>
      <c r="B2625" s="7">
        <v>40764</v>
      </c>
      <c r="C2625" s="1">
        <v>8.5</v>
      </c>
      <c r="D2625" s="1">
        <v>307</v>
      </c>
      <c r="E2625" s="1">
        <v>4</v>
      </c>
      <c r="F2625" s="1">
        <v>10</v>
      </c>
      <c r="R2625" s="3">
        <v>0</v>
      </c>
      <c r="S2625" s="3">
        <v>1</v>
      </c>
      <c r="AB2625" s="1">
        <v>1</v>
      </c>
    </row>
    <row r="2626" spans="1:61" x14ac:dyDescent="0.3">
      <c r="A2626" s="1" t="s">
        <v>55</v>
      </c>
      <c r="B2626" s="7">
        <v>40764</v>
      </c>
      <c r="C2626" s="1">
        <v>8.5</v>
      </c>
      <c r="D2626" s="1">
        <v>307</v>
      </c>
      <c r="E2626" s="1">
        <v>4</v>
      </c>
      <c r="F2626" s="1">
        <v>11</v>
      </c>
      <c r="L2626" s="1">
        <v>1</v>
      </c>
      <c r="AA2626" s="1">
        <v>1</v>
      </c>
    </row>
    <row r="2627" spans="1:61" x14ac:dyDescent="0.3">
      <c r="A2627" s="1" t="s">
        <v>55</v>
      </c>
      <c r="B2627" s="7">
        <v>40764</v>
      </c>
      <c r="C2627" s="1">
        <v>8.5</v>
      </c>
      <c r="D2627" s="1">
        <v>307</v>
      </c>
      <c r="E2627" s="1">
        <v>4</v>
      </c>
      <c r="F2627" s="1">
        <v>12</v>
      </c>
      <c r="L2627" s="1">
        <v>1</v>
      </c>
      <c r="BC2627" s="1">
        <v>1</v>
      </c>
    </row>
    <row r="2628" spans="1:61" x14ac:dyDescent="0.3">
      <c r="A2628" s="1" t="s">
        <v>55</v>
      </c>
      <c r="B2628" s="7">
        <v>40764</v>
      </c>
      <c r="C2628" s="1">
        <v>8.5</v>
      </c>
      <c r="D2628" s="1">
        <v>307</v>
      </c>
      <c r="E2628" s="1">
        <v>4</v>
      </c>
      <c r="F2628" s="1">
        <v>13</v>
      </c>
      <c r="L2628" s="1">
        <v>1</v>
      </c>
    </row>
    <row r="2629" spans="1:61" x14ac:dyDescent="0.3">
      <c r="A2629" s="1" t="s">
        <v>55</v>
      </c>
      <c r="B2629" s="7">
        <v>40764</v>
      </c>
      <c r="C2629" s="1">
        <v>8.5</v>
      </c>
      <c r="D2629" s="1">
        <v>307</v>
      </c>
      <c r="E2629" s="1">
        <v>4</v>
      </c>
      <c r="F2629" s="1">
        <v>14</v>
      </c>
      <c r="R2629" s="1">
        <v>1</v>
      </c>
      <c r="AO2629" s="1">
        <v>1</v>
      </c>
    </row>
    <row r="2630" spans="1:61" x14ac:dyDescent="0.3">
      <c r="A2630" s="1" t="s">
        <v>55</v>
      </c>
      <c r="B2630" s="7">
        <v>40764</v>
      </c>
      <c r="C2630" s="1">
        <v>8.5</v>
      </c>
      <c r="D2630" s="1">
        <v>307</v>
      </c>
      <c r="E2630" s="1">
        <v>4</v>
      </c>
      <c r="F2630" s="1">
        <v>15</v>
      </c>
    </row>
    <row r="2631" spans="1:61" x14ac:dyDescent="0.3">
      <c r="A2631" s="1" t="s">
        <v>55</v>
      </c>
      <c r="B2631" s="7">
        <v>40764</v>
      </c>
      <c r="C2631" s="1">
        <v>8.5</v>
      </c>
      <c r="D2631" s="1">
        <v>307</v>
      </c>
      <c r="E2631" s="1">
        <v>4</v>
      </c>
      <c r="F2631" s="1">
        <v>16</v>
      </c>
      <c r="AB2631" s="1">
        <v>1</v>
      </c>
      <c r="AO2631" s="1">
        <v>1</v>
      </c>
    </row>
    <row r="2632" spans="1:61" x14ac:dyDescent="0.3">
      <c r="A2632" s="1" t="s">
        <v>55</v>
      </c>
      <c r="B2632" s="7">
        <v>40764</v>
      </c>
      <c r="C2632" s="1">
        <v>8.5</v>
      </c>
      <c r="D2632" s="1">
        <v>307</v>
      </c>
      <c r="E2632" s="1">
        <v>4</v>
      </c>
      <c r="F2632" s="1">
        <v>17</v>
      </c>
      <c r="L2632" s="1">
        <v>1</v>
      </c>
    </row>
    <row r="2633" spans="1:61" x14ac:dyDescent="0.3">
      <c r="A2633" s="1" t="s">
        <v>55</v>
      </c>
      <c r="B2633" s="7">
        <v>40764</v>
      </c>
      <c r="C2633" s="1">
        <v>8.5</v>
      </c>
      <c r="D2633" s="1">
        <v>307</v>
      </c>
      <c r="E2633" s="1">
        <v>4</v>
      </c>
      <c r="F2633" s="1">
        <v>18</v>
      </c>
      <c r="BI2633" s="1">
        <v>1</v>
      </c>
    </row>
    <row r="2634" spans="1:61" x14ac:dyDescent="0.3">
      <c r="A2634" s="1" t="s">
        <v>55</v>
      </c>
      <c r="B2634" s="7">
        <v>40764</v>
      </c>
      <c r="C2634" s="1">
        <v>8.5</v>
      </c>
      <c r="D2634" s="1">
        <v>307</v>
      </c>
      <c r="E2634" s="1">
        <v>4</v>
      </c>
      <c r="F2634" s="1">
        <v>19</v>
      </c>
      <c r="L2634" s="1">
        <v>1</v>
      </c>
      <c r="AB2634" s="1">
        <v>1</v>
      </c>
    </row>
    <row r="2635" spans="1:61" x14ac:dyDescent="0.3">
      <c r="A2635" s="1" t="s">
        <v>55</v>
      </c>
      <c r="B2635" s="7">
        <v>40764</v>
      </c>
      <c r="C2635" s="1">
        <v>8.5</v>
      </c>
      <c r="D2635" s="1">
        <v>307</v>
      </c>
      <c r="E2635" s="1">
        <v>4</v>
      </c>
      <c r="F2635" s="1">
        <v>20</v>
      </c>
      <c r="H2635" s="1">
        <v>1</v>
      </c>
      <c r="L2635" s="1">
        <v>1</v>
      </c>
    </row>
    <row r="2636" spans="1:61" x14ac:dyDescent="0.3">
      <c r="A2636" s="1" t="s">
        <v>55</v>
      </c>
      <c r="B2636" s="7">
        <v>40764</v>
      </c>
      <c r="C2636" s="1">
        <v>8.5</v>
      </c>
      <c r="D2636" s="1">
        <v>307</v>
      </c>
      <c r="E2636" s="1">
        <v>4</v>
      </c>
      <c r="F2636" s="1">
        <v>21</v>
      </c>
      <c r="N2636" s="1">
        <v>1</v>
      </c>
    </row>
    <row r="2637" spans="1:61" x14ac:dyDescent="0.3">
      <c r="A2637" s="1" t="s">
        <v>55</v>
      </c>
      <c r="B2637" s="7">
        <v>40764</v>
      </c>
      <c r="C2637" s="1">
        <v>8.5</v>
      </c>
      <c r="D2637" s="1">
        <v>307</v>
      </c>
      <c r="E2637" s="1">
        <v>4</v>
      </c>
      <c r="F2637" s="1">
        <v>22</v>
      </c>
      <c r="L2637" s="1">
        <v>1</v>
      </c>
    </row>
    <row r="2638" spans="1:61" x14ac:dyDescent="0.3">
      <c r="A2638" s="1" t="s">
        <v>55</v>
      </c>
      <c r="B2638" s="7">
        <v>40764</v>
      </c>
      <c r="C2638" s="1">
        <v>8.5</v>
      </c>
      <c r="D2638" s="1">
        <v>307</v>
      </c>
      <c r="E2638" s="1">
        <v>4</v>
      </c>
      <c r="F2638" s="1">
        <v>23</v>
      </c>
      <c r="J2638" s="1">
        <v>1</v>
      </c>
    </row>
    <row r="2639" spans="1:61" x14ac:dyDescent="0.3">
      <c r="A2639" s="1" t="s">
        <v>55</v>
      </c>
      <c r="B2639" s="7">
        <v>40764</v>
      </c>
      <c r="C2639" s="1">
        <v>8.5</v>
      </c>
      <c r="D2639" s="1">
        <v>307</v>
      </c>
      <c r="E2639" s="1">
        <v>4</v>
      </c>
      <c r="F2639" s="1">
        <v>24</v>
      </c>
      <c r="J2639" s="1">
        <v>1</v>
      </c>
    </row>
    <row r="2640" spans="1:61" x14ac:dyDescent="0.3">
      <c r="A2640" s="1" t="s">
        <v>55</v>
      </c>
      <c r="B2640" s="7">
        <v>40764</v>
      </c>
      <c r="C2640" s="1">
        <v>8.5</v>
      </c>
      <c r="D2640" s="1">
        <v>307</v>
      </c>
      <c r="E2640" s="1">
        <v>4</v>
      </c>
      <c r="F2640" s="1">
        <v>25</v>
      </c>
    </row>
    <row r="2641" spans="1:61" x14ac:dyDescent="0.3">
      <c r="A2641" s="1" t="s">
        <v>55</v>
      </c>
      <c r="B2641" s="7">
        <v>40764</v>
      </c>
      <c r="C2641" s="1">
        <v>8.5</v>
      </c>
      <c r="D2641" s="1">
        <v>307</v>
      </c>
      <c r="E2641" s="1">
        <v>4</v>
      </c>
      <c r="F2641" s="1">
        <v>26</v>
      </c>
    </row>
    <row r="2642" spans="1:61" x14ac:dyDescent="0.3">
      <c r="A2642" s="1" t="s">
        <v>55</v>
      </c>
      <c r="B2642" s="7">
        <v>40764</v>
      </c>
      <c r="C2642" s="1">
        <v>8.5</v>
      </c>
      <c r="D2642" s="1">
        <v>307</v>
      </c>
      <c r="E2642" s="1">
        <v>4</v>
      </c>
      <c r="F2642" s="1">
        <v>27</v>
      </c>
    </row>
    <row r="2643" spans="1:61" x14ac:dyDescent="0.3">
      <c r="A2643" s="1" t="s">
        <v>55</v>
      </c>
      <c r="B2643" s="7">
        <v>40764</v>
      </c>
      <c r="C2643" s="1">
        <v>8.5</v>
      </c>
      <c r="D2643" s="1">
        <v>307</v>
      </c>
      <c r="E2643" s="1">
        <v>4</v>
      </c>
      <c r="F2643" s="1">
        <v>28</v>
      </c>
      <c r="I2643" s="1">
        <v>1</v>
      </c>
      <c r="AB2643" s="1">
        <v>1</v>
      </c>
    </row>
    <row r="2644" spans="1:61" x14ac:dyDescent="0.3">
      <c r="A2644" s="1" t="s">
        <v>55</v>
      </c>
      <c r="B2644" s="7">
        <v>40764</v>
      </c>
      <c r="C2644" s="1">
        <v>8.5</v>
      </c>
      <c r="D2644" s="1">
        <v>307</v>
      </c>
      <c r="E2644" s="1">
        <v>4</v>
      </c>
      <c r="F2644" s="1">
        <v>29</v>
      </c>
      <c r="L2644" s="1">
        <v>1</v>
      </c>
      <c r="AO2644" s="1">
        <v>1</v>
      </c>
    </row>
    <row r="2645" spans="1:61" x14ac:dyDescent="0.3">
      <c r="A2645" s="1" t="s">
        <v>55</v>
      </c>
      <c r="B2645" s="7">
        <v>40764</v>
      </c>
      <c r="C2645" s="1">
        <v>8.5</v>
      </c>
      <c r="D2645" s="1">
        <v>307</v>
      </c>
      <c r="E2645" s="1">
        <v>4</v>
      </c>
      <c r="F2645" s="1">
        <v>30</v>
      </c>
      <c r="L2645" s="1">
        <v>1</v>
      </c>
    </row>
    <row r="2646" spans="1:61" x14ac:dyDescent="0.3">
      <c r="A2646" s="1" t="s">
        <v>55</v>
      </c>
      <c r="B2646" s="7">
        <v>40764</v>
      </c>
      <c r="C2646" s="1">
        <v>8.5</v>
      </c>
      <c r="D2646" s="1">
        <v>307</v>
      </c>
      <c r="E2646" s="1">
        <v>4</v>
      </c>
      <c r="F2646" s="1">
        <v>31</v>
      </c>
      <c r="H2646" s="1">
        <v>1</v>
      </c>
      <c r="I2646" s="1">
        <v>1</v>
      </c>
    </row>
    <row r="2647" spans="1:61" x14ac:dyDescent="0.3">
      <c r="A2647" s="1" t="s">
        <v>55</v>
      </c>
      <c r="B2647" s="7">
        <v>40764</v>
      </c>
      <c r="C2647" s="1">
        <v>8.5</v>
      </c>
      <c r="D2647" s="1">
        <v>307</v>
      </c>
      <c r="E2647" s="1">
        <v>4</v>
      </c>
      <c r="F2647" s="1">
        <v>32</v>
      </c>
      <c r="H2647" s="1">
        <v>1</v>
      </c>
    </row>
    <row r="2648" spans="1:61" x14ac:dyDescent="0.3">
      <c r="A2648" s="1" t="s">
        <v>55</v>
      </c>
      <c r="B2648" s="7">
        <v>40764</v>
      </c>
      <c r="C2648" s="1">
        <v>8.5</v>
      </c>
      <c r="D2648" s="1">
        <v>307</v>
      </c>
      <c r="E2648" s="1">
        <v>4</v>
      </c>
      <c r="F2648" s="1">
        <v>33</v>
      </c>
      <c r="L2648" s="1">
        <v>1</v>
      </c>
      <c r="R2648" s="1">
        <v>1</v>
      </c>
    </row>
    <row r="2649" spans="1:61" x14ac:dyDescent="0.3">
      <c r="A2649" s="1" t="s">
        <v>55</v>
      </c>
      <c r="B2649" s="7">
        <v>40764</v>
      </c>
      <c r="C2649" s="1">
        <v>8.5</v>
      </c>
      <c r="D2649" s="1">
        <v>307</v>
      </c>
      <c r="E2649" s="1">
        <v>4</v>
      </c>
      <c r="F2649" s="1">
        <v>34</v>
      </c>
      <c r="R2649" s="1">
        <v>1</v>
      </c>
    </row>
    <row r="2650" spans="1:61" x14ac:dyDescent="0.3">
      <c r="A2650" s="1" t="s">
        <v>55</v>
      </c>
      <c r="B2650" s="7">
        <v>40764</v>
      </c>
      <c r="C2650" s="1">
        <v>8.5</v>
      </c>
      <c r="D2650" s="1">
        <v>307</v>
      </c>
      <c r="E2650" s="1">
        <v>4</v>
      </c>
      <c r="F2650" s="1">
        <v>35</v>
      </c>
      <c r="AO2650" s="1">
        <v>1</v>
      </c>
    </row>
    <row r="2651" spans="1:61" x14ac:dyDescent="0.3">
      <c r="A2651" s="1" t="s">
        <v>55</v>
      </c>
      <c r="B2651" s="7">
        <v>40764</v>
      </c>
      <c r="C2651" s="1">
        <v>8.5</v>
      </c>
      <c r="D2651" s="1">
        <v>307</v>
      </c>
      <c r="E2651" s="1">
        <v>4</v>
      </c>
      <c r="F2651" s="1">
        <v>36</v>
      </c>
      <c r="R2651" s="1">
        <v>1</v>
      </c>
    </row>
    <row r="2652" spans="1:61" x14ac:dyDescent="0.3">
      <c r="A2652" s="1" t="s">
        <v>55</v>
      </c>
      <c r="B2652" s="7">
        <v>40764</v>
      </c>
      <c r="C2652" s="1">
        <v>8.5</v>
      </c>
      <c r="D2652" s="1">
        <v>307</v>
      </c>
      <c r="E2652" s="1">
        <v>4</v>
      </c>
      <c r="F2652" s="1">
        <v>37</v>
      </c>
      <c r="AO2652" s="1">
        <v>1</v>
      </c>
      <c r="BI2652" s="1">
        <v>1</v>
      </c>
    </row>
    <row r="2653" spans="1:61" x14ac:dyDescent="0.3">
      <c r="A2653" s="1" t="s">
        <v>55</v>
      </c>
      <c r="B2653" s="7">
        <v>40764</v>
      </c>
      <c r="C2653" s="1">
        <v>8.5</v>
      </c>
      <c r="D2653" s="1">
        <v>307</v>
      </c>
      <c r="E2653" s="1">
        <v>4</v>
      </c>
      <c r="F2653" s="1">
        <v>38</v>
      </c>
    </row>
    <row r="2654" spans="1:61" x14ac:dyDescent="0.3">
      <c r="A2654" s="1" t="s">
        <v>55</v>
      </c>
      <c r="B2654" s="7">
        <v>40764</v>
      </c>
      <c r="C2654" s="1">
        <v>8.5</v>
      </c>
      <c r="D2654" s="1">
        <v>307</v>
      </c>
      <c r="E2654" s="1">
        <v>4</v>
      </c>
      <c r="F2654" s="1">
        <v>39</v>
      </c>
    </row>
    <row r="2655" spans="1:61" x14ac:dyDescent="0.3">
      <c r="A2655" s="1" t="s">
        <v>55</v>
      </c>
      <c r="B2655" s="7">
        <v>40764</v>
      </c>
      <c r="C2655" s="1">
        <v>8.5</v>
      </c>
      <c r="D2655" s="1">
        <v>307</v>
      </c>
      <c r="E2655" s="1">
        <v>4</v>
      </c>
      <c r="F2655" s="1">
        <v>40</v>
      </c>
      <c r="L2655" s="1">
        <v>1</v>
      </c>
    </row>
    <row r="2656" spans="1:61" x14ac:dyDescent="0.3">
      <c r="A2656" s="1" t="s">
        <v>55</v>
      </c>
      <c r="B2656" s="7">
        <v>40764</v>
      </c>
      <c r="C2656" s="1">
        <v>8.5</v>
      </c>
      <c r="D2656" s="1">
        <v>307</v>
      </c>
      <c r="E2656" s="1">
        <v>4</v>
      </c>
      <c r="F2656" s="1">
        <v>41</v>
      </c>
      <c r="H2656" s="1">
        <v>1</v>
      </c>
    </row>
    <row r="2657" spans="1:57" x14ac:dyDescent="0.3">
      <c r="A2657" s="1" t="s">
        <v>55</v>
      </c>
      <c r="B2657" s="7">
        <v>40764</v>
      </c>
      <c r="C2657" s="1">
        <v>8.5</v>
      </c>
      <c r="D2657" s="1">
        <v>307</v>
      </c>
      <c r="E2657" s="1">
        <v>4</v>
      </c>
      <c r="F2657" s="1">
        <v>42</v>
      </c>
      <c r="N2657" s="3">
        <v>0</v>
      </c>
      <c r="O2657" s="3">
        <v>1</v>
      </c>
    </row>
    <row r="2658" spans="1:57" x14ac:dyDescent="0.3">
      <c r="A2658" s="1" t="s">
        <v>55</v>
      </c>
      <c r="B2658" s="7">
        <v>40764</v>
      </c>
      <c r="C2658" s="1">
        <v>8.5</v>
      </c>
      <c r="D2658" s="1">
        <v>307</v>
      </c>
      <c r="E2658" s="1">
        <v>4</v>
      </c>
      <c r="F2658" s="1">
        <v>43</v>
      </c>
      <c r="J2658" s="1">
        <v>1</v>
      </c>
      <c r="R2658" s="1">
        <v>1</v>
      </c>
    </row>
    <row r="2659" spans="1:57" x14ac:dyDescent="0.3">
      <c r="A2659" s="1" t="s">
        <v>55</v>
      </c>
      <c r="B2659" s="7">
        <v>40764</v>
      </c>
      <c r="C2659" s="1">
        <v>8.5</v>
      </c>
      <c r="D2659" s="1">
        <v>307</v>
      </c>
      <c r="E2659" s="1">
        <v>4</v>
      </c>
      <c r="F2659" s="1">
        <v>44</v>
      </c>
      <c r="BE2659" s="1">
        <v>1</v>
      </c>
    </row>
    <row r="2660" spans="1:57" x14ac:dyDescent="0.3">
      <c r="A2660" s="1" t="s">
        <v>55</v>
      </c>
      <c r="B2660" s="7">
        <v>40764</v>
      </c>
      <c r="C2660" s="1">
        <v>8.5</v>
      </c>
      <c r="D2660" s="1">
        <v>307</v>
      </c>
      <c r="E2660" s="1">
        <v>4</v>
      </c>
      <c r="F2660" s="1">
        <v>45</v>
      </c>
      <c r="R2660" s="3">
        <v>0</v>
      </c>
      <c r="S2660" s="3">
        <v>1</v>
      </c>
    </row>
    <row r="2661" spans="1:57" x14ac:dyDescent="0.3">
      <c r="A2661" s="1" t="s">
        <v>55</v>
      </c>
      <c r="B2661" s="7">
        <v>40764</v>
      </c>
      <c r="C2661" s="1">
        <v>8.5</v>
      </c>
      <c r="D2661" s="1">
        <v>307</v>
      </c>
      <c r="E2661" s="1">
        <v>4</v>
      </c>
      <c r="F2661" s="1">
        <v>46</v>
      </c>
      <c r="AO2661" s="1">
        <v>1</v>
      </c>
    </row>
    <row r="2662" spans="1:57" x14ac:dyDescent="0.3">
      <c r="A2662" s="1" t="s">
        <v>55</v>
      </c>
      <c r="B2662" s="7">
        <v>40764</v>
      </c>
      <c r="C2662" s="1">
        <v>8.5</v>
      </c>
      <c r="D2662" s="1">
        <v>307</v>
      </c>
      <c r="E2662" s="1">
        <v>4</v>
      </c>
      <c r="F2662" s="1">
        <v>47</v>
      </c>
      <c r="J2662" s="1">
        <v>1</v>
      </c>
    </row>
    <row r="2663" spans="1:57" x14ac:dyDescent="0.3">
      <c r="A2663" s="1" t="s">
        <v>55</v>
      </c>
      <c r="B2663" s="7">
        <v>40764</v>
      </c>
      <c r="C2663" s="1">
        <v>8.5</v>
      </c>
      <c r="D2663" s="1">
        <v>307</v>
      </c>
      <c r="E2663" s="1">
        <v>4</v>
      </c>
      <c r="F2663" s="1">
        <v>48</v>
      </c>
      <c r="H2663" s="1">
        <v>1</v>
      </c>
      <c r="I2663" s="1">
        <v>1</v>
      </c>
    </row>
    <row r="2664" spans="1:57" x14ac:dyDescent="0.3">
      <c r="A2664" s="1" t="s">
        <v>55</v>
      </c>
      <c r="B2664" s="7">
        <v>40764</v>
      </c>
      <c r="C2664" s="1">
        <v>8.5</v>
      </c>
      <c r="D2664" s="1">
        <v>307</v>
      </c>
      <c r="E2664" s="1">
        <v>4</v>
      </c>
      <c r="F2664" s="1">
        <v>49</v>
      </c>
      <c r="L2664" s="1">
        <v>1</v>
      </c>
      <c r="R2664" s="1">
        <v>1</v>
      </c>
    </row>
    <row r="2665" spans="1:57" x14ac:dyDescent="0.3">
      <c r="A2665" s="1" t="s">
        <v>55</v>
      </c>
      <c r="B2665" s="7">
        <v>40764</v>
      </c>
      <c r="C2665" s="1">
        <v>8.5</v>
      </c>
      <c r="D2665" s="1">
        <v>307</v>
      </c>
      <c r="E2665" s="1">
        <v>4</v>
      </c>
      <c r="F2665" s="1">
        <v>50</v>
      </c>
    </row>
    <row r="2666" spans="1:57" x14ac:dyDescent="0.3">
      <c r="A2666" s="1" t="s">
        <v>55</v>
      </c>
      <c r="B2666" s="7">
        <v>40764</v>
      </c>
      <c r="C2666" s="1">
        <v>8.5</v>
      </c>
      <c r="D2666" s="1">
        <v>307</v>
      </c>
      <c r="E2666" s="1">
        <v>4</v>
      </c>
      <c r="F2666" s="1">
        <v>51</v>
      </c>
      <c r="R2666" s="1">
        <v>1</v>
      </c>
      <c r="AO2666" s="1">
        <v>1</v>
      </c>
    </row>
    <row r="2667" spans="1:57" x14ac:dyDescent="0.3">
      <c r="A2667" s="1" t="s">
        <v>55</v>
      </c>
      <c r="B2667" s="7">
        <v>40764</v>
      </c>
      <c r="C2667" s="1">
        <v>8.5</v>
      </c>
      <c r="D2667" s="1">
        <v>307</v>
      </c>
      <c r="E2667" s="1">
        <v>4</v>
      </c>
      <c r="F2667" s="1">
        <v>52</v>
      </c>
      <c r="J2667" s="1">
        <v>1</v>
      </c>
      <c r="L2667" s="1">
        <v>1</v>
      </c>
    </row>
    <row r="2668" spans="1:57" x14ac:dyDescent="0.3">
      <c r="A2668" s="1" t="s">
        <v>55</v>
      </c>
      <c r="B2668" s="7">
        <v>40764</v>
      </c>
      <c r="C2668" s="1">
        <v>8.5</v>
      </c>
      <c r="D2668" s="1">
        <v>307</v>
      </c>
      <c r="E2668" s="1">
        <v>4</v>
      </c>
      <c r="F2668" s="1">
        <v>53</v>
      </c>
    </row>
    <row r="2669" spans="1:57" x14ac:dyDescent="0.3">
      <c r="A2669" s="1" t="s">
        <v>55</v>
      </c>
      <c r="B2669" s="7">
        <v>40764</v>
      </c>
      <c r="C2669" s="1">
        <v>8.5</v>
      </c>
      <c r="D2669" s="1">
        <v>307</v>
      </c>
      <c r="E2669" s="1">
        <v>4</v>
      </c>
      <c r="F2669" s="1">
        <v>54</v>
      </c>
      <c r="J2669" s="1">
        <v>1</v>
      </c>
    </row>
    <row r="2670" spans="1:57" x14ac:dyDescent="0.3">
      <c r="A2670" s="1" t="s">
        <v>55</v>
      </c>
      <c r="B2670" s="7">
        <v>40764</v>
      </c>
      <c r="C2670" s="1">
        <v>8.5</v>
      </c>
      <c r="D2670" s="1">
        <v>307</v>
      </c>
      <c r="E2670" s="1">
        <v>4</v>
      </c>
      <c r="F2670" s="1">
        <v>55</v>
      </c>
      <c r="J2670" s="1">
        <v>1</v>
      </c>
    </row>
    <row r="2671" spans="1:57" x14ac:dyDescent="0.3">
      <c r="A2671" s="1" t="s">
        <v>55</v>
      </c>
      <c r="B2671" s="7">
        <v>40764</v>
      </c>
      <c r="C2671" s="1">
        <v>8.5</v>
      </c>
      <c r="D2671" s="1">
        <v>307</v>
      </c>
      <c r="E2671" s="1">
        <v>4</v>
      </c>
      <c r="F2671" s="1">
        <v>56</v>
      </c>
      <c r="J2671" s="1">
        <v>1</v>
      </c>
      <c r="N2671" s="1">
        <v>1</v>
      </c>
    </row>
    <row r="2672" spans="1:57" x14ac:dyDescent="0.3">
      <c r="A2672" s="1" t="s">
        <v>55</v>
      </c>
      <c r="B2672" s="7">
        <v>40764</v>
      </c>
      <c r="C2672" s="1">
        <v>8.5</v>
      </c>
      <c r="D2672" s="1">
        <v>307</v>
      </c>
      <c r="E2672" s="1">
        <v>4</v>
      </c>
      <c r="F2672" s="1">
        <v>57</v>
      </c>
      <c r="J2672" s="1">
        <v>1</v>
      </c>
    </row>
    <row r="2673" spans="1:41" x14ac:dyDescent="0.3">
      <c r="A2673" s="1" t="s">
        <v>55</v>
      </c>
      <c r="B2673" s="7">
        <v>40764</v>
      </c>
      <c r="C2673" s="1">
        <v>8.5</v>
      </c>
      <c r="D2673" s="1">
        <v>307</v>
      </c>
      <c r="E2673" s="1">
        <v>4</v>
      </c>
      <c r="F2673" s="1">
        <v>58</v>
      </c>
      <c r="J2673" s="1">
        <v>1</v>
      </c>
    </row>
    <row r="2674" spans="1:41" x14ac:dyDescent="0.3">
      <c r="A2674" s="1" t="s">
        <v>55</v>
      </c>
      <c r="B2674" s="7">
        <v>40764</v>
      </c>
      <c r="C2674" s="1">
        <v>8.5</v>
      </c>
      <c r="D2674" s="1">
        <v>307</v>
      </c>
      <c r="E2674" s="1">
        <v>4</v>
      </c>
      <c r="F2674" s="1">
        <v>59</v>
      </c>
      <c r="J2674" s="1">
        <v>1</v>
      </c>
      <c r="R2674" s="3">
        <v>0</v>
      </c>
      <c r="S2674" s="3">
        <v>1</v>
      </c>
      <c r="T2674" s="1">
        <v>1</v>
      </c>
    </row>
    <row r="2675" spans="1:41" x14ac:dyDescent="0.3">
      <c r="A2675" s="1" t="s">
        <v>55</v>
      </c>
      <c r="B2675" s="7">
        <v>40764</v>
      </c>
      <c r="C2675" s="1">
        <v>8.5</v>
      </c>
      <c r="D2675" s="1">
        <v>307</v>
      </c>
      <c r="E2675" s="1">
        <v>4</v>
      </c>
      <c r="F2675" s="1">
        <v>60</v>
      </c>
      <c r="I2675" s="1">
        <v>1</v>
      </c>
    </row>
    <row r="2676" spans="1:41" x14ac:dyDescent="0.3">
      <c r="A2676" s="1" t="s">
        <v>55</v>
      </c>
      <c r="B2676" s="7">
        <v>40764</v>
      </c>
      <c r="C2676" s="1">
        <v>8.5</v>
      </c>
      <c r="D2676" s="1">
        <v>307</v>
      </c>
      <c r="E2676" s="1">
        <v>4</v>
      </c>
      <c r="F2676" s="1">
        <v>61</v>
      </c>
      <c r="J2676" s="1">
        <v>1</v>
      </c>
    </row>
    <row r="2677" spans="1:41" x14ac:dyDescent="0.3">
      <c r="A2677" s="1" t="s">
        <v>55</v>
      </c>
      <c r="B2677" s="7">
        <v>40764</v>
      </c>
      <c r="C2677" s="1">
        <v>8.5</v>
      </c>
      <c r="D2677" s="1">
        <v>307</v>
      </c>
      <c r="E2677" s="1">
        <v>4</v>
      </c>
      <c r="F2677" s="1">
        <v>62</v>
      </c>
      <c r="AO2677" s="1">
        <v>1</v>
      </c>
    </row>
    <row r="2678" spans="1:41" x14ac:dyDescent="0.3">
      <c r="A2678" s="1" t="s">
        <v>55</v>
      </c>
      <c r="B2678" s="7">
        <v>40764</v>
      </c>
      <c r="C2678" s="1">
        <v>8.5</v>
      </c>
      <c r="D2678" s="1">
        <v>307</v>
      </c>
      <c r="E2678" s="1">
        <v>4</v>
      </c>
      <c r="F2678" s="1">
        <v>63</v>
      </c>
    </row>
    <row r="2679" spans="1:41" x14ac:dyDescent="0.3">
      <c r="A2679" s="1" t="s">
        <v>55</v>
      </c>
      <c r="B2679" s="7">
        <v>40764</v>
      </c>
      <c r="C2679" s="1">
        <v>8.5</v>
      </c>
      <c r="D2679" s="1">
        <v>307</v>
      </c>
      <c r="E2679" s="1">
        <v>4</v>
      </c>
      <c r="F2679" s="1">
        <v>64</v>
      </c>
      <c r="AO2679" s="1">
        <v>1</v>
      </c>
    </row>
    <row r="2680" spans="1:41" x14ac:dyDescent="0.3">
      <c r="A2680" s="1" t="s">
        <v>55</v>
      </c>
      <c r="B2680" s="7">
        <v>40764</v>
      </c>
      <c r="C2680" s="1">
        <v>8.5</v>
      </c>
      <c r="D2680" s="1">
        <v>307</v>
      </c>
      <c r="E2680" s="1">
        <v>4</v>
      </c>
      <c r="F2680" s="1">
        <v>65</v>
      </c>
      <c r="N2680" s="1">
        <v>1</v>
      </c>
    </row>
    <row r="2681" spans="1:41" x14ac:dyDescent="0.3">
      <c r="A2681" s="1" t="s">
        <v>55</v>
      </c>
      <c r="B2681" s="7">
        <v>40764</v>
      </c>
      <c r="C2681" s="1">
        <v>8.5</v>
      </c>
      <c r="D2681" s="1">
        <v>307</v>
      </c>
      <c r="E2681" s="1">
        <v>4</v>
      </c>
      <c r="F2681" s="1">
        <v>66</v>
      </c>
      <c r="J2681" s="8">
        <v>1</v>
      </c>
      <c r="K2681" s="8"/>
      <c r="N2681" s="1">
        <v>1</v>
      </c>
    </row>
    <row r="2682" spans="1:41" x14ac:dyDescent="0.3">
      <c r="A2682" s="1" t="s">
        <v>55</v>
      </c>
      <c r="B2682" s="7">
        <v>40764</v>
      </c>
      <c r="C2682" s="1">
        <v>8.5</v>
      </c>
      <c r="D2682" s="1">
        <v>307</v>
      </c>
      <c r="E2682" s="1">
        <v>4</v>
      </c>
      <c r="F2682" s="1">
        <v>67</v>
      </c>
      <c r="H2682" s="1">
        <v>1</v>
      </c>
      <c r="J2682" s="1">
        <v>1</v>
      </c>
    </row>
    <row r="2683" spans="1:41" x14ac:dyDescent="0.3">
      <c r="A2683" s="1" t="s">
        <v>55</v>
      </c>
      <c r="B2683" s="7">
        <v>40764</v>
      </c>
      <c r="C2683" s="1">
        <v>8.5</v>
      </c>
      <c r="D2683" s="1">
        <v>307</v>
      </c>
      <c r="E2683" s="1">
        <v>4</v>
      </c>
      <c r="F2683" s="1">
        <v>68</v>
      </c>
      <c r="J2683" s="1">
        <v>1</v>
      </c>
    </row>
    <row r="2684" spans="1:41" x14ac:dyDescent="0.3">
      <c r="A2684" s="1" t="s">
        <v>55</v>
      </c>
      <c r="B2684" s="7">
        <v>40764</v>
      </c>
      <c r="C2684" s="1">
        <v>8.5</v>
      </c>
      <c r="D2684" s="1">
        <v>307</v>
      </c>
      <c r="E2684" s="1">
        <v>4</v>
      </c>
      <c r="F2684" s="1">
        <v>69</v>
      </c>
      <c r="J2684" s="1">
        <v>1</v>
      </c>
    </row>
    <row r="2685" spans="1:41" x14ac:dyDescent="0.3">
      <c r="A2685" s="1" t="s">
        <v>55</v>
      </c>
      <c r="B2685" s="7">
        <v>40764</v>
      </c>
      <c r="C2685" s="1">
        <v>8.5</v>
      </c>
      <c r="D2685" s="1">
        <v>307</v>
      </c>
      <c r="E2685" s="1">
        <v>4</v>
      </c>
      <c r="F2685" s="1">
        <v>70</v>
      </c>
      <c r="J2685" s="1">
        <v>1</v>
      </c>
    </row>
    <row r="2686" spans="1:41" x14ac:dyDescent="0.3">
      <c r="A2686" s="1" t="s">
        <v>55</v>
      </c>
      <c r="B2686" s="7">
        <v>40764</v>
      </c>
      <c r="C2686" s="1">
        <v>8.5</v>
      </c>
      <c r="D2686" s="1">
        <v>307</v>
      </c>
      <c r="E2686" s="1">
        <v>4</v>
      </c>
      <c r="F2686" s="1">
        <v>71</v>
      </c>
      <c r="J2686" s="1">
        <v>1</v>
      </c>
    </row>
    <row r="2687" spans="1:41" x14ac:dyDescent="0.3">
      <c r="A2687" s="1" t="s">
        <v>55</v>
      </c>
      <c r="B2687" s="7">
        <v>40764</v>
      </c>
      <c r="C2687" s="1">
        <v>8.5</v>
      </c>
      <c r="D2687" s="1">
        <v>307</v>
      </c>
      <c r="E2687" s="1">
        <v>4</v>
      </c>
      <c r="F2687" s="1">
        <v>72</v>
      </c>
      <c r="H2687" s="1">
        <v>1</v>
      </c>
    </row>
    <row r="2688" spans="1:41" x14ac:dyDescent="0.3">
      <c r="A2688" s="1" t="s">
        <v>55</v>
      </c>
      <c r="B2688" s="7">
        <v>40764</v>
      </c>
      <c r="C2688" s="1">
        <v>8.5</v>
      </c>
      <c r="D2688" s="1">
        <v>307</v>
      </c>
      <c r="E2688" s="1">
        <v>4</v>
      </c>
      <c r="F2688" s="1">
        <v>73</v>
      </c>
      <c r="AO2688" s="1">
        <v>1</v>
      </c>
    </row>
    <row r="2689" spans="1:61" x14ac:dyDescent="0.3">
      <c r="A2689" s="1" t="s">
        <v>55</v>
      </c>
      <c r="B2689" s="7">
        <v>40764</v>
      </c>
      <c r="C2689" s="1">
        <v>8.5</v>
      </c>
      <c r="D2689" s="1">
        <v>307</v>
      </c>
      <c r="E2689" s="1">
        <v>4</v>
      </c>
      <c r="F2689" s="1">
        <v>74</v>
      </c>
      <c r="J2689" s="1">
        <v>1</v>
      </c>
    </row>
    <row r="2690" spans="1:61" x14ac:dyDescent="0.3">
      <c r="A2690" s="1" t="s">
        <v>55</v>
      </c>
      <c r="B2690" s="7">
        <v>40764</v>
      </c>
      <c r="C2690" s="1">
        <v>8.5</v>
      </c>
      <c r="D2690" s="1">
        <v>307</v>
      </c>
      <c r="E2690" s="1">
        <v>4</v>
      </c>
      <c r="F2690" s="1">
        <v>75</v>
      </c>
      <c r="I2690" s="1">
        <v>1</v>
      </c>
    </row>
    <row r="2691" spans="1:61" x14ac:dyDescent="0.3">
      <c r="A2691" s="1" t="s">
        <v>55</v>
      </c>
      <c r="B2691" s="7">
        <v>40764</v>
      </c>
      <c r="C2691" s="1">
        <v>8.5</v>
      </c>
      <c r="D2691" s="1">
        <v>307</v>
      </c>
      <c r="E2691" s="1">
        <v>4</v>
      </c>
      <c r="F2691" s="1">
        <v>76</v>
      </c>
      <c r="J2691" s="1">
        <v>1</v>
      </c>
      <c r="BE2691" s="1">
        <v>1</v>
      </c>
    </row>
    <row r="2692" spans="1:61" x14ac:dyDescent="0.3">
      <c r="A2692" s="1" t="s">
        <v>55</v>
      </c>
      <c r="B2692" s="7">
        <v>40764</v>
      </c>
      <c r="C2692" s="1">
        <v>8.5</v>
      </c>
      <c r="D2692" s="1">
        <v>307</v>
      </c>
      <c r="E2692" s="1">
        <v>4</v>
      </c>
      <c r="F2692" s="1">
        <v>77</v>
      </c>
      <c r="J2692" s="3">
        <v>0</v>
      </c>
      <c r="K2692" s="3">
        <v>1</v>
      </c>
    </row>
    <row r="2693" spans="1:61" x14ac:dyDescent="0.3">
      <c r="A2693" s="1" t="s">
        <v>55</v>
      </c>
      <c r="B2693" s="7">
        <v>40764</v>
      </c>
      <c r="C2693" s="1">
        <v>8.5</v>
      </c>
      <c r="D2693" s="1">
        <v>307</v>
      </c>
      <c r="E2693" s="1">
        <v>4</v>
      </c>
      <c r="F2693" s="1">
        <v>78</v>
      </c>
      <c r="J2693" s="1">
        <v>1</v>
      </c>
      <c r="AO2693" s="1">
        <v>1</v>
      </c>
    </row>
    <row r="2694" spans="1:61" x14ac:dyDescent="0.3">
      <c r="A2694" s="1" t="s">
        <v>55</v>
      </c>
      <c r="B2694" s="7">
        <v>40764</v>
      </c>
      <c r="C2694" s="1">
        <v>8.5</v>
      </c>
      <c r="D2694" s="1">
        <v>307</v>
      </c>
      <c r="E2694" s="1">
        <v>4</v>
      </c>
      <c r="F2694" s="1">
        <v>79</v>
      </c>
      <c r="BI2694" s="1">
        <v>1</v>
      </c>
    </row>
    <row r="2695" spans="1:61" x14ac:dyDescent="0.3">
      <c r="A2695" s="1" t="s">
        <v>55</v>
      </c>
      <c r="B2695" s="7">
        <v>40764</v>
      </c>
      <c r="C2695" s="1">
        <v>8.5</v>
      </c>
      <c r="D2695" s="1">
        <v>307</v>
      </c>
      <c r="E2695" s="1">
        <v>4</v>
      </c>
      <c r="F2695" s="1">
        <v>80</v>
      </c>
      <c r="J2695" s="1">
        <v>1</v>
      </c>
    </row>
    <row r="2696" spans="1:61" x14ac:dyDescent="0.3">
      <c r="A2696" s="1" t="s">
        <v>55</v>
      </c>
      <c r="B2696" s="7">
        <v>40764</v>
      </c>
      <c r="C2696" s="1">
        <v>8.5</v>
      </c>
      <c r="D2696" s="1">
        <v>307</v>
      </c>
      <c r="E2696" s="1">
        <v>4</v>
      </c>
      <c r="F2696" s="1">
        <v>81</v>
      </c>
      <c r="J2696" s="8">
        <v>1</v>
      </c>
      <c r="K2696" s="8"/>
    </row>
    <row r="2697" spans="1:61" x14ac:dyDescent="0.3">
      <c r="A2697" s="1" t="s">
        <v>55</v>
      </c>
      <c r="B2697" s="7">
        <v>40764</v>
      </c>
      <c r="C2697" s="1">
        <v>8.5</v>
      </c>
      <c r="D2697" s="1">
        <v>307</v>
      </c>
      <c r="E2697" s="1">
        <v>4</v>
      </c>
      <c r="F2697" s="1">
        <v>82</v>
      </c>
      <c r="J2697" s="1">
        <v>1</v>
      </c>
      <c r="AO2697" s="1">
        <v>1</v>
      </c>
    </row>
    <row r="2698" spans="1:61" x14ac:dyDescent="0.3">
      <c r="A2698" s="1" t="s">
        <v>55</v>
      </c>
      <c r="B2698" s="7">
        <v>40764</v>
      </c>
      <c r="C2698" s="1">
        <v>8.5</v>
      </c>
      <c r="D2698" s="1">
        <v>307</v>
      </c>
      <c r="E2698" s="1">
        <v>4</v>
      </c>
      <c r="F2698" s="1">
        <v>83</v>
      </c>
      <c r="H2698" s="1">
        <v>1</v>
      </c>
      <c r="T2698" s="1">
        <v>1</v>
      </c>
    </row>
    <row r="2699" spans="1:61" x14ac:dyDescent="0.3">
      <c r="A2699" s="1" t="s">
        <v>55</v>
      </c>
      <c r="B2699" s="7">
        <v>40764</v>
      </c>
      <c r="C2699" s="1">
        <v>8.5</v>
      </c>
      <c r="D2699" s="1">
        <v>307</v>
      </c>
      <c r="E2699" s="1">
        <v>4</v>
      </c>
      <c r="F2699" s="1">
        <v>84</v>
      </c>
      <c r="R2699" s="3">
        <v>0</v>
      </c>
      <c r="S2699" s="3">
        <v>1</v>
      </c>
      <c r="T2699" s="1">
        <v>1</v>
      </c>
    </row>
    <row r="2700" spans="1:61" x14ac:dyDescent="0.3">
      <c r="A2700" s="1" t="s">
        <v>55</v>
      </c>
      <c r="B2700" s="7">
        <v>40764</v>
      </c>
      <c r="C2700" s="1">
        <v>8.5</v>
      </c>
      <c r="D2700" s="1">
        <v>307</v>
      </c>
      <c r="E2700" s="1">
        <v>4</v>
      </c>
      <c r="F2700" s="1">
        <v>85</v>
      </c>
      <c r="J2700" s="1">
        <v>1</v>
      </c>
    </row>
    <row r="2701" spans="1:61" x14ac:dyDescent="0.3">
      <c r="A2701" s="1" t="s">
        <v>55</v>
      </c>
      <c r="B2701" s="7">
        <v>40764</v>
      </c>
      <c r="C2701" s="1">
        <v>8.5</v>
      </c>
      <c r="D2701" s="1">
        <v>307</v>
      </c>
      <c r="E2701" s="1">
        <v>4</v>
      </c>
      <c r="F2701" s="1">
        <v>86</v>
      </c>
      <c r="J2701" s="3">
        <v>0</v>
      </c>
      <c r="K2701" s="3">
        <v>1</v>
      </c>
    </row>
    <row r="2702" spans="1:61" x14ac:dyDescent="0.3">
      <c r="A2702" s="1" t="s">
        <v>55</v>
      </c>
      <c r="B2702" s="7">
        <v>40764</v>
      </c>
      <c r="C2702" s="1">
        <v>8.5</v>
      </c>
      <c r="D2702" s="1">
        <v>307</v>
      </c>
      <c r="E2702" s="1">
        <v>4</v>
      </c>
      <c r="F2702" s="1">
        <v>87</v>
      </c>
      <c r="J2702" s="1">
        <v>1</v>
      </c>
    </row>
    <row r="2703" spans="1:61" x14ac:dyDescent="0.3">
      <c r="A2703" s="1" t="s">
        <v>55</v>
      </c>
      <c r="B2703" s="7">
        <v>40764</v>
      </c>
      <c r="C2703" s="1">
        <v>8.5</v>
      </c>
      <c r="D2703" s="1">
        <v>307</v>
      </c>
      <c r="E2703" s="1">
        <v>4</v>
      </c>
      <c r="F2703" s="1">
        <v>88</v>
      </c>
    </row>
    <row r="2704" spans="1:61" x14ac:dyDescent="0.3">
      <c r="A2704" s="1" t="s">
        <v>55</v>
      </c>
      <c r="B2704" s="7">
        <v>40764</v>
      </c>
      <c r="C2704" s="1">
        <v>8.5</v>
      </c>
      <c r="D2704" s="1">
        <v>307</v>
      </c>
      <c r="E2704" s="1">
        <v>4</v>
      </c>
      <c r="F2704" s="1">
        <v>89</v>
      </c>
      <c r="BI2704" s="1">
        <v>1</v>
      </c>
    </row>
    <row r="2705" spans="1:57" x14ac:dyDescent="0.3">
      <c r="A2705" s="1" t="s">
        <v>55</v>
      </c>
      <c r="B2705" s="7">
        <v>40764</v>
      </c>
      <c r="C2705" s="1">
        <v>8.5</v>
      </c>
      <c r="D2705" s="1">
        <v>307</v>
      </c>
      <c r="E2705" s="1">
        <v>4</v>
      </c>
      <c r="F2705" s="1">
        <v>90</v>
      </c>
      <c r="J2705" s="1">
        <v>1</v>
      </c>
    </row>
    <row r="2706" spans="1:57" x14ac:dyDescent="0.3">
      <c r="A2706" s="1" t="s">
        <v>55</v>
      </c>
      <c r="B2706" s="7">
        <v>40764</v>
      </c>
      <c r="C2706" s="1">
        <v>8.5</v>
      </c>
      <c r="D2706" s="1">
        <v>307</v>
      </c>
      <c r="E2706" s="1">
        <v>4</v>
      </c>
      <c r="F2706" s="1">
        <v>91</v>
      </c>
      <c r="H2706" s="1">
        <v>1</v>
      </c>
      <c r="J2706" s="1">
        <v>1</v>
      </c>
    </row>
    <row r="2707" spans="1:57" x14ac:dyDescent="0.3">
      <c r="A2707" s="1" t="s">
        <v>55</v>
      </c>
      <c r="B2707" s="7">
        <v>40764</v>
      </c>
      <c r="C2707" s="1">
        <v>8.5</v>
      </c>
      <c r="D2707" s="1">
        <v>307</v>
      </c>
      <c r="E2707" s="1">
        <v>4</v>
      </c>
      <c r="F2707" s="1">
        <v>92</v>
      </c>
      <c r="H2707" s="1">
        <v>1</v>
      </c>
      <c r="J2707" s="8">
        <v>1</v>
      </c>
      <c r="K2707" s="8"/>
    </row>
    <row r="2708" spans="1:57" x14ac:dyDescent="0.3">
      <c r="A2708" s="1" t="s">
        <v>55</v>
      </c>
      <c r="B2708" s="7">
        <v>40764</v>
      </c>
      <c r="C2708" s="1">
        <v>8.5</v>
      </c>
      <c r="D2708" s="1">
        <v>307</v>
      </c>
      <c r="E2708" s="1">
        <v>4</v>
      </c>
      <c r="F2708" s="1">
        <v>93</v>
      </c>
    </row>
    <row r="2709" spans="1:57" x14ac:dyDescent="0.3">
      <c r="A2709" s="1" t="s">
        <v>55</v>
      </c>
      <c r="B2709" s="7">
        <v>40764</v>
      </c>
      <c r="C2709" s="1">
        <v>8.5</v>
      </c>
      <c r="D2709" s="1">
        <v>307</v>
      </c>
      <c r="E2709" s="1">
        <v>4</v>
      </c>
      <c r="F2709" s="1">
        <v>94</v>
      </c>
      <c r="T2709" s="1">
        <v>1</v>
      </c>
      <c r="AO2709" s="1">
        <v>1</v>
      </c>
    </row>
    <row r="2710" spans="1:57" x14ac:dyDescent="0.3">
      <c r="A2710" s="1" t="s">
        <v>55</v>
      </c>
      <c r="B2710" s="7">
        <v>40764</v>
      </c>
      <c r="C2710" s="1">
        <v>8.5</v>
      </c>
      <c r="D2710" s="1">
        <v>307</v>
      </c>
      <c r="E2710" s="1">
        <v>4</v>
      </c>
      <c r="F2710" s="1">
        <v>95</v>
      </c>
      <c r="L2710" s="1">
        <v>1</v>
      </c>
    </row>
    <row r="2711" spans="1:57" x14ac:dyDescent="0.3">
      <c r="A2711" s="1" t="s">
        <v>55</v>
      </c>
      <c r="B2711" s="7">
        <v>40764</v>
      </c>
      <c r="C2711" s="1">
        <v>8.5</v>
      </c>
      <c r="D2711" s="1">
        <v>307</v>
      </c>
      <c r="E2711" s="1">
        <v>4</v>
      </c>
      <c r="F2711" s="1">
        <v>96</v>
      </c>
      <c r="G2711" s="1">
        <v>1</v>
      </c>
    </row>
    <row r="2712" spans="1:57" x14ac:dyDescent="0.3">
      <c r="A2712" s="1" t="s">
        <v>55</v>
      </c>
      <c r="B2712" s="7">
        <v>40764</v>
      </c>
      <c r="C2712" s="1">
        <v>8.5</v>
      </c>
      <c r="D2712" s="1">
        <v>307</v>
      </c>
      <c r="E2712" s="1">
        <v>4</v>
      </c>
      <c r="F2712" s="1">
        <v>97</v>
      </c>
      <c r="G2712" s="1">
        <v>1</v>
      </c>
    </row>
    <row r="2713" spans="1:57" x14ac:dyDescent="0.3">
      <c r="A2713" s="1" t="s">
        <v>55</v>
      </c>
      <c r="B2713" s="7">
        <v>40764</v>
      </c>
      <c r="C2713" s="1">
        <v>8.5</v>
      </c>
      <c r="D2713" s="1">
        <v>307</v>
      </c>
      <c r="E2713" s="1">
        <v>4</v>
      </c>
      <c r="F2713" s="1">
        <v>98</v>
      </c>
      <c r="G2713" s="1">
        <v>1</v>
      </c>
    </row>
    <row r="2714" spans="1:57" x14ac:dyDescent="0.3">
      <c r="A2714" s="1" t="s">
        <v>55</v>
      </c>
      <c r="B2714" s="7">
        <v>40764</v>
      </c>
      <c r="C2714" s="1">
        <v>8.5</v>
      </c>
      <c r="D2714" s="1">
        <v>307</v>
      </c>
      <c r="E2714" s="1">
        <v>4</v>
      </c>
      <c r="F2714" s="1">
        <v>99</v>
      </c>
    </row>
    <row r="2715" spans="1:57" x14ac:dyDescent="0.3">
      <c r="A2715" s="1" t="s">
        <v>55</v>
      </c>
      <c r="B2715" s="7">
        <v>40764</v>
      </c>
      <c r="C2715" s="1">
        <v>8.5</v>
      </c>
      <c r="D2715" s="1">
        <v>307</v>
      </c>
      <c r="E2715" s="1">
        <v>4</v>
      </c>
      <c r="F2715" s="1">
        <v>100</v>
      </c>
      <c r="BA2715" s="1">
        <v>1</v>
      </c>
    </row>
    <row r="2716" spans="1:57" x14ac:dyDescent="0.3">
      <c r="A2716" s="1" t="s">
        <v>55</v>
      </c>
      <c r="B2716" s="7">
        <v>40764</v>
      </c>
      <c r="C2716" s="1">
        <v>20</v>
      </c>
      <c r="D2716" s="1">
        <v>275</v>
      </c>
      <c r="E2716" s="1">
        <v>5</v>
      </c>
      <c r="F2716" s="1">
        <v>1</v>
      </c>
      <c r="H2716" s="1">
        <v>1</v>
      </c>
      <c r="R2716" s="3">
        <v>0</v>
      </c>
      <c r="S2716" s="3">
        <v>1</v>
      </c>
    </row>
    <row r="2717" spans="1:57" x14ac:dyDescent="0.3">
      <c r="A2717" s="1" t="s">
        <v>55</v>
      </c>
      <c r="B2717" s="7">
        <v>40764</v>
      </c>
      <c r="C2717" s="1">
        <v>20</v>
      </c>
      <c r="D2717" s="1">
        <v>275</v>
      </c>
      <c r="E2717" s="1">
        <v>5</v>
      </c>
      <c r="F2717" s="1">
        <v>2</v>
      </c>
      <c r="H2717" s="1">
        <v>1</v>
      </c>
      <c r="L2717" s="1">
        <v>1</v>
      </c>
    </row>
    <row r="2718" spans="1:57" x14ac:dyDescent="0.3">
      <c r="A2718" s="1" t="s">
        <v>55</v>
      </c>
      <c r="B2718" s="7">
        <v>40764</v>
      </c>
      <c r="C2718" s="1">
        <v>20</v>
      </c>
      <c r="D2718" s="1">
        <v>275</v>
      </c>
      <c r="E2718" s="1">
        <v>5</v>
      </c>
      <c r="F2718" s="1">
        <v>3</v>
      </c>
      <c r="L2718" s="1">
        <v>1</v>
      </c>
      <c r="BE2718" s="1">
        <v>1</v>
      </c>
    </row>
    <row r="2719" spans="1:57" x14ac:dyDescent="0.3">
      <c r="A2719" s="1" t="s">
        <v>55</v>
      </c>
      <c r="B2719" s="7">
        <v>40764</v>
      </c>
      <c r="C2719" s="1">
        <v>20</v>
      </c>
      <c r="D2719" s="1">
        <v>275</v>
      </c>
      <c r="E2719" s="1">
        <v>5</v>
      </c>
      <c r="F2719" s="1">
        <v>4</v>
      </c>
      <c r="L2719" s="1">
        <v>1</v>
      </c>
      <c r="AM2719" s="1">
        <v>1</v>
      </c>
    </row>
    <row r="2720" spans="1:57" x14ac:dyDescent="0.3">
      <c r="A2720" s="1" t="s">
        <v>55</v>
      </c>
      <c r="B2720" s="7">
        <v>40764</v>
      </c>
      <c r="C2720" s="1">
        <v>20</v>
      </c>
      <c r="D2720" s="1">
        <v>275</v>
      </c>
      <c r="E2720" s="1">
        <v>5</v>
      </c>
      <c r="F2720" s="1">
        <v>5</v>
      </c>
      <c r="L2720" s="1">
        <v>1</v>
      </c>
    </row>
    <row r="2721" spans="1:72" x14ac:dyDescent="0.3">
      <c r="A2721" s="1" t="s">
        <v>55</v>
      </c>
      <c r="B2721" s="7">
        <v>40764</v>
      </c>
      <c r="C2721" s="1">
        <v>20</v>
      </c>
      <c r="D2721" s="1">
        <v>275</v>
      </c>
      <c r="E2721" s="1">
        <v>5</v>
      </c>
      <c r="F2721" s="1">
        <v>6</v>
      </c>
      <c r="L2721" s="1">
        <v>1</v>
      </c>
      <c r="R2721" s="1">
        <v>1</v>
      </c>
    </row>
    <row r="2722" spans="1:72" x14ac:dyDescent="0.3">
      <c r="A2722" s="1" t="s">
        <v>55</v>
      </c>
      <c r="B2722" s="7">
        <v>40764</v>
      </c>
      <c r="C2722" s="1">
        <v>20</v>
      </c>
      <c r="D2722" s="1">
        <v>275</v>
      </c>
      <c r="E2722" s="1">
        <v>5</v>
      </c>
      <c r="F2722" s="1">
        <v>7</v>
      </c>
      <c r="L2722" s="1">
        <v>1</v>
      </c>
      <c r="AF2722" s="1">
        <v>1</v>
      </c>
    </row>
    <row r="2723" spans="1:72" x14ac:dyDescent="0.3">
      <c r="A2723" s="1" t="s">
        <v>55</v>
      </c>
      <c r="B2723" s="7">
        <v>40764</v>
      </c>
      <c r="C2723" s="1">
        <v>20</v>
      </c>
      <c r="D2723" s="1">
        <v>275</v>
      </c>
      <c r="E2723" s="1">
        <v>5</v>
      </c>
      <c r="F2723" s="1">
        <v>8</v>
      </c>
      <c r="L2723" s="1">
        <v>1</v>
      </c>
    </row>
    <row r="2724" spans="1:72" x14ac:dyDescent="0.3">
      <c r="A2724" s="1" t="s">
        <v>55</v>
      </c>
      <c r="B2724" s="7">
        <v>40764</v>
      </c>
      <c r="C2724" s="1">
        <v>20</v>
      </c>
      <c r="D2724" s="1">
        <v>275</v>
      </c>
      <c r="E2724" s="1">
        <v>5</v>
      </c>
      <c r="F2724" s="1">
        <v>9</v>
      </c>
      <c r="L2724" s="1">
        <v>1</v>
      </c>
    </row>
    <row r="2725" spans="1:72" x14ac:dyDescent="0.3">
      <c r="A2725" s="1" t="s">
        <v>55</v>
      </c>
      <c r="B2725" s="7">
        <v>40764</v>
      </c>
      <c r="C2725" s="1">
        <v>20</v>
      </c>
      <c r="D2725" s="1">
        <v>275</v>
      </c>
      <c r="E2725" s="1">
        <v>5</v>
      </c>
      <c r="F2725" s="1">
        <v>10</v>
      </c>
      <c r="L2725" s="1">
        <v>1</v>
      </c>
      <c r="BS2725" s="3">
        <v>0</v>
      </c>
      <c r="BT2725" s="3">
        <v>1</v>
      </c>
    </row>
    <row r="2726" spans="1:72" x14ac:dyDescent="0.3">
      <c r="A2726" s="1" t="s">
        <v>55</v>
      </c>
      <c r="B2726" s="7">
        <v>40764</v>
      </c>
      <c r="C2726" s="1">
        <v>20</v>
      </c>
      <c r="D2726" s="1">
        <v>275</v>
      </c>
      <c r="E2726" s="1">
        <v>5</v>
      </c>
      <c r="F2726" s="1">
        <v>11</v>
      </c>
      <c r="L2726" s="1">
        <v>1</v>
      </c>
      <c r="N2726" s="1">
        <v>1</v>
      </c>
      <c r="R2726" s="3">
        <v>0</v>
      </c>
      <c r="S2726" s="3">
        <v>1</v>
      </c>
    </row>
    <row r="2727" spans="1:72" x14ac:dyDescent="0.3">
      <c r="A2727" s="1" t="s">
        <v>55</v>
      </c>
      <c r="B2727" s="7">
        <v>40764</v>
      </c>
      <c r="C2727" s="1">
        <v>20</v>
      </c>
      <c r="D2727" s="1">
        <v>275</v>
      </c>
      <c r="E2727" s="1">
        <v>5</v>
      </c>
      <c r="F2727" s="1">
        <v>12</v>
      </c>
      <c r="L2727" s="1">
        <v>1</v>
      </c>
      <c r="R2727" s="3">
        <v>0</v>
      </c>
      <c r="S2727" s="3">
        <v>1</v>
      </c>
    </row>
    <row r="2728" spans="1:72" x14ac:dyDescent="0.3">
      <c r="A2728" s="1" t="s">
        <v>55</v>
      </c>
      <c r="B2728" s="7">
        <v>40764</v>
      </c>
      <c r="C2728" s="1">
        <v>20</v>
      </c>
      <c r="D2728" s="1">
        <v>275</v>
      </c>
      <c r="E2728" s="1">
        <v>5</v>
      </c>
      <c r="F2728" s="1">
        <v>13</v>
      </c>
      <c r="L2728" s="1">
        <v>1</v>
      </c>
      <c r="AK2728" s="1">
        <v>1</v>
      </c>
    </row>
    <row r="2729" spans="1:72" x14ac:dyDescent="0.3">
      <c r="A2729" s="1" t="s">
        <v>55</v>
      </c>
      <c r="B2729" s="7">
        <v>40764</v>
      </c>
      <c r="C2729" s="1">
        <v>20</v>
      </c>
      <c r="D2729" s="1">
        <v>275</v>
      </c>
      <c r="E2729" s="1">
        <v>5</v>
      </c>
      <c r="F2729" s="1">
        <v>14</v>
      </c>
      <c r="L2729" s="1">
        <v>1</v>
      </c>
      <c r="R2729" s="3">
        <v>0</v>
      </c>
      <c r="S2729" s="3">
        <v>1</v>
      </c>
      <c r="AK2729" s="1">
        <v>1</v>
      </c>
    </row>
    <row r="2730" spans="1:72" x14ac:dyDescent="0.3">
      <c r="A2730" s="1" t="s">
        <v>55</v>
      </c>
      <c r="B2730" s="7">
        <v>40764</v>
      </c>
      <c r="C2730" s="1">
        <v>20</v>
      </c>
      <c r="D2730" s="1">
        <v>275</v>
      </c>
      <c r="E2730" s="1">
        <v>5</v>
      </c>
      <c r="F2730" s="1">
        <v>15</v>
      </c>
      <c r="L2730" s="1">
        <v>1</v>
      </c>
      <c r="R2730" s="3">
        <v>0</v>
      </c>
      <c r="S2730" s="3">
        <v>1</v>
      </c>
    </row>
    <row r="2731" spans="1:72" x14ac:dyDescent="0.3">
      <c r="A2731" s="1" t="s">
        <v>55</v>
      </c>
      <c r="B2731" s="7">
        <v>40764</v>
      </c>
      <c r="C2731" s="1">
        <v>20</v>
      </c>
      <c r="D2731" s="1">
        <v>275</v>
      </c>
      <c r="E2731" s="1">
        <v>5</v>
      </c>
      <c r="F2731" s="1">
        <v>16</v>
      </c>
      <c r="H2731" s="1">
        <v>1</v>
      </c>
      <c r="V2731" s="1">
        <v>1</v>
      </c>
    </row>
    <row r="2732" spans="1:72" x14ac:dyDescent="0.3">
      <c r="A2732" s="1" t="s">
        <v>55</v>
      </c>
      <c r="B2732" s="7">
        <v>40764</v>
      </c>
      <c r="C2732" s="1">
        <v>20</v>
      </c>
      <c r="D2732" s="1">
        <v>275</v>
      </c>
      <c r="E2732" s="1">
        <v>5</v>
      </c>
      <c r="F2732" s="1">
        <v>17</v>
      </c>
      <c r="L2732" s="1">
        <v>1</v>
      </c>
    </row>
    <row r="2733" spans="1:72" x14ac:dyDescent="0.3">
      <c r="A2733" s="1" t="s">
        <v>55</v>
      </c>
      <c r="B2733" s="7">
        <v>40764</v>
      </c>
      <c r="C2733" s="1">
        <v>20</v>
      </c>
      <c r="D2733" s="1">
        <v>275</v>
      </c>
      <c r="E2733" s="1">
        <v>5</v>
      </c>
      <c r="F2733" s="1">
        <v>18</v>
      </c>
      <c r="H2733" s="1">
        <v>1</v>
      </c>
      <c r="V2733" s="1">
        <v>1</v>
      </c>
    </row>
    <row r="2734" spans="1:72" x14ac:dyDescent="0.3">
      <c r="A2734" s="1" t="s">
        <v>55</v>
      </c>
      <c r="B2734" s="7">
        <v>40764</v>
      </c>
      <c r="C2734" s="1">
        <v>20</v>
      </c>
      <c r="D2734" s="1">
        <v>275</v>
      </c>
      <c r="E2734" s="1">
        <v>5</v>
      </c>
      <c r="F2734" s="1">
        <v>19</v>
      </c>
      <c r="H2734" s="1">
        <v>1</v>
      </c>
      <c r="L2734" s="1">
        <v>1</v>
      </c>
      <c r="V2734" s="1">
        <v>1</v>
      </c>
    </row>
    <row r="2735" spans="1:72" x14ac:dyDescent="0.3">
      <c r="A2735" s="1" t="s">
        <v>55</v>
      </c>
      <c r="B2735" s="7">
        <v>40764</v>
      </c>
      <c r="C2735" s="1">
        <v>20</v>
      </c>
      <c r="D2735" s="1">
        <v>275</v>
      </c>
      <c r="E2735" s="1">
        <v>5</v>
      </c>
      <c r="F2735" s="1">
        <v>20</v>
      </c>
      <c r="H2735" s="1">
        <v>1</v>
      </c>
      <c r="L2735" s="1">
        <v>1</v>
      </c>
    </row>
    <row r="2736" spans="1:72" x14ac:dyDescent="0.3">
      <c r="A2736" s="1" t="s">
        <v>55</v>
      </c>
      <c r="B2736" s="7">
        <v>40764</v>
      </c>
      <c r="C2736" s="1">
        <v>20</v>
      </c>
      <c r="D2736" s="1">
        <v>275</v>
      </c>
      <c r="E2736" s="1">
        <v>5</v>
      </c>
      <c r="F2736" s="1">
        <v>21</v>
      </c>
      <c r="L2736" s="1">
        <v>1</v>
      </c>
      <c r="R2736" s="3">
        <v>0</v>
      </c>
      <c r="S2736" s="3">
        <v>1</v>
      </c>
      <c r="V2736" s="1">
        <v>1</v>
      </c>
    </row>
    <row r="2737" spans="1:60" x14ac:dyDescent="0.3">
      <c r="A2737" s="1" t="s">
        <v>55</v>
      </c>
      <c r="B2737" s="7">
        <v>40764</v>
      </c>
      <c r="C2737" s="1">
        <v>20</v>
      </c>
      <c r="D2737" s="1">
        <v>275</v>
      </c>
      <c r="E2737" s="1">
        <v>5</v>
      </c>
      <c r="F2737" s="1">
        <v>22</v>
      </c>
      <c r="L2737" s="1">
        <v>1</v>
      </c>
      <c r="V2737" s="1">
        <v>1</v>
      </c>
      <c r="AK2737" s="1">
        <v>1</v>
      </c>
    </row>
    <row r="2738" spans="1:60" x14ac:dyDescent="0.3">
      <c r="A2738" s="1" t="s">
        <v>55</v>
      </c>
      <c r="B2738" s="7">
        <v>40764</v>
      </c>
      <c r="C2738" s="1">
        <v>20</v>
      </c>
      <c r="D2738" s="1">
        <v>275</v>
      </c>
      <c r="E2738" s="1">
        <v>5</v>
      </c>
      <c r="F2738" s="1">
        <v>23</v>
      </c>
      <c r="L2738" s="1">
        <v>1</v>
      </c>
      <c r="R2738" s="3">
        <v>0</v>
      </c>
      <c r="S2738" s="3">
        <v>1</v>
      </c>
    </row>
    <row r="2739" spans="1:60" x14ac:dyDescent="0.3">
      <c r="A2739" s="1" t="s">
        <v>55</v>
      </c>
      <c r="B2739" s="7">
        <v>40764</v>
      </c>
      <c r="C2739" s="1">
        <v>20</v>
      </c>
      <c r="D2739" s="1">
        <v>275</v>
      </c>
      <c r="E2739" s="1">
        <v>5</v>
      </c>
      <c r="F2739" s="1">
        <v>24</v>
      </c>
      <c r="L2739" s="1">
        <v>1</v>
      </c>
      <c r="AK2739" s="1">
        <v>1</v>
      </c>
    </row>
    <row r="2740" spans="1:60" x14ac:dyDescent="0.3">
      <c r="A2740" s="1" t="s">
        <v>55</v>
      </c>
      <c r="B2740" s="7">
        <v>40764</v>
      </c>
      <c r="C2740" s="1">
        <v>20</v>
      </c>
      <c r="D2740" s="1">
        <v>275</v>
      </c>
      <c r="E2740" s="1">
        <v>5</v>
      </c>
      <c r="F2740" s="1">
        <v>25</v>
      </c>
      <c r="H2740" s="1">
        <v>1</v>
      </c>
    </row>
    <row r="2741" spans="1:60" x14ac:dyDescent="0.3">
      <c r="A2741" s="1" t="s">
        <v>55</v>
      </c>
      <c r="B2741" s="7">
        <v>40764</v>
      </c>
      <c r="C2741" s="1">
        <v>20</v>
      </c>
      <c r="D2741" s="1">
        <v>275</v>
      </c>
      <c r="E2741" s="1">
        <v>5</v>
      </c>
      <c r="F2741" s="1">
        <v>26</v>
      </c>
      <c r="R2741" s="3">
        <v>0</v>
      </c>
      <c r="S2741" s="3">
        <v>1</v>
      </c>
      <c r="T2741" s="1">
        <v>1</v>
      </c>
      <c r="BG2741" s="3">
        <v>0</v>
      </c>
      <c r="BH2741" s="3">
        <v>1</v>
      </c>
    </row>
    <row r="2742" spans="1:60" x14ac:dyDescent="0.3">
      <c r="A2742" s="1" t="s">
        <v>55</v>
      </c>
      <c r="B2742" s="7">
        <v>40764</v>
      </c>
      <c r="C2742" s="1">
        <v>20</v>
      </c>
      <c r="D2742" s="1">
        <v>275</v>
      </c>
      <c r="E2742" s="1">
        <v>5</v>
      </c>
      <c r="F2742" s="1">
        <v>27</v>
      </c>
      <c r="R2742" s="3">
        <v>0</v>
      </c>
      <c r="S2742" s="3">
        <v>1</v>
      </c>
    </row>
    <row r="2743" spans="1:60" x14ac:dyDescent="0.3">
      <c r="A2743" s="1" t="s">
        <v>55</v>
      </c>
      <c r="B2743" s="7">
        <v>40764</v>
      </c>
      <c r="C2743" s="1">
        <v>20</v>
      </c>
      <c r="D2743" s="1">
        <v>275</v>
      </c>
      <c r="E2743" s="1">
        <v>5</v>
      </c>
      <c r="F2743" s="1">
        <v>28</v>
      </c>
      <c r="R2743" s="3">
        <v>0</v>
      </c>
      <c r="S2743" s="3">
        <v>1</v>
      </c>
    </row>
    <row r="2744" spans="1:60" x14ac:dyDescent="0.3">
      <c r="A2744" s="1" t="s">
        <v>55</v>
      </c>
      <c r="B2744" s="7">
        <v>40764</v>
      </c>
      <c r="C2744" s="1">
        <v>20</v>
      </c>
      <c r="D2744" s="1">
        <v>275</v>
      </c>
      <c r="E2744" s="1">
        <v>5</v>
      </c>
      <c r="F2744" s="1">
        <v>29</v>
      </c>
      <c r="L2744" s="1">
        <v>1</v>
      </c>
      <c r="R2744" s="3">
        <v>0</v>
      </c>
      <c r="S2744" s="3">
        <v>1</v>
      </c>
    </row>
    <row r="2745" spans="1:60" x14ac:dyDescent="0.3">
      <c r="A2745" s="1" t="s">
        <v>55</v>
      </c>
      <c r="B2745" s="7">
        <v>40764</v>
      </c>
      <c r="C2745" s="1">
        <v>20</v>
      </c>
      <c r="D2745" s="1">
        <v>275</v>
      </c>
      <c r="E2745" s="1">
        <v>5</v>
      </c>
      <c r="F2745" s="1">
        <v>30</v>
      </c>
      <c r="L2745" s="1">
        <v>1</v>
      </c>
      <c r="V2745" s="1">
        <v>1</v>
      </c>
    </row>
    <row r="2746" spans="1:60" x14ac:dyDescent="0.3">
      <c r="A2746" s="1" t="s">
        <v>55</v>
      </c>
      <c r="B2746" s="7">
        <v>40764</v>
      </c>
      <c r="C2746" s="1">
        <v>20</v>
      </c>
      <c r="D2746" s="1">
        <v>275</v>
      </c>
      <c r="E2746" s="1">
        <v>5</v>
      </c>
      <c r="F2746" s="1">
        <v>31</v>
      </c>
      <c r="L2746" s="1">
        <v>1</v>
      </c>
      <c r="AY2746" s="1">
        <v>1</v>
      </c>
    </row>
    <row r="2747" spans="1:60" x14ac:dyDescent="0.3">
      <c r="A2747" s="1" t="s">
        <v>55</v>
      </c>
      <c r="B2747" s="7">
        <v>40764</v>
      </c>
      <c r="C2747" s="1">
        <v>20</v>
      </c>
      <c r="D2747" s="1">
        <v>275</v>
      </c>
      <c r="E2747" s="1">
        <v>5</v>
      </c>
      <c r="F2747" s="1">
        <v>32</v>
      </c>
      <c r="L2747" s="1">
        <v>1</v>
      </c>
      <c r="R2747" s="3">
        <v>0</v>
      </c>
      <c r="S2747" s="3">
        <v>1</v>
      </c>
      <c r="AS2747" s="1">
        <v>1</v>
      </c>
    </row>
    <row r="2748" spans="1:60" x14ac:dyDescent="0.3">
      <c r="A2748" s="1" t="s">
        <v>55</v>
      </c>
      <c r="B2748" s="7">
        <v>40764</v>
      </c>
      <c r="C2748" s="1">
        <v>20</v>
      </c>
      <c r="D2748" s="1">
        <v>275</v>
      </c>
      <c r="E2748" s="1">
        <v>5</v>
      </c>
      <c r="F2748" s="1">
        <v>33</v>
      </c>
      <c r="J2748" s="1">
        <v>1</v>
      </c>
      <c r="AK2748" s="1">
        <v>1</v>
      </c>
    </row>
    <row r="2749" spans="1:60" x14ac:dyDescent="0.3">
      <c r="A2749" s="1" t="s">
        <v>55</v>
      </c>
      <c r="B2749" s="7">
        <v>40764</v>
      </c>
      <c r="C2749" s="1">
        <v>20</v>
      </c>
      <c r="D2749" s="1">
        <v>275</v>
      </c>
      <c r="E2749" s="1">
        <v>5</v>
      </c>
      <c r="F2749" s="1">
        <v>34</v>
      </c>
      <c r="L2749" s="1">
        <v>1</v>
      </c>
      <c r="R2749" s="1">
        <v>1</v>
      </c>
    </row>
    <row r="2750" spans="1:60" x14ac:dyDescent="0.3">
      <c r="A2750" s="1" t="s">
        <v>55</v>
      </c>
      <c r="B2750" s="7">
        <v>40764</v>
      </c>
      <c r="C2750" s="1">
        <v>20</v>
      </c>
      <c r="D2750" s="1">
        <v>275</v>
      </c>
      <c r="E2750" s="1">
        <v>5</v>
      </c>
      <c r="F2750" s="1">
        <v>35</v>
      </c>
      <c r="R2750" s="1">
        <v>1</v>
      </c>
      <c r="AK2750" s="1">
        <v>1</v>
      </c>
    </row>
    <row r="2751" spans="1:60" x14ac:dyDescent="0.3">
      <c r="A2751" s="1" t="s">
        <v>55</v>
      </c>
      <c r="B2751" s="7">
        <v>40764</v>
      </c>
      <c r="C2751" s="1">
        <v>20</v>
      </c>
      <c r="D2751" s="1">
        <v>275</v>
      </c>
      <c r="E2751" s="1">
        <v>5</v>
      </c>
      <c r="F2751" s="1">
        <v>36</v>
      </c>
      <c r="H2751" s="1">
        <v>1</v>
      </c>
    </row>
    <row r="2752" spans="1:60" x14ac:dyDescent="0.3">
      <c r="A2752" s="1" t="s">
        <v>55</v>
      </c>
      <c r="B2752" s="7">
        <v>40764</v>
      </c>
      <c r="C2752" s="1">
        <v>20</v>
      </c>
      <c r="D2752" s="1">
        <v>275</v>
      </c>
      <c r="E2752" s="1">
        <v>5</v>
      </c>
      <c r="F2752" s="1">
        <v>37</v>
      </c>
      <c r="R2752" s="3">
        <v>0</v>
      </c>
      <c r="S2752" s="3">
        <v>1</v>
      </c>
    </row>
    <row r="2753" spans="1:60" x14ac:dyDescent="0.3">
      <c r="A2753" s="1" t="s">
        <v>55</v>
      </c>
      <c r="B2753" s="7">
        <v>40764</v>
      </c>
      <c r="C2753" s="1">
        <v>20</v>
      </c>
      <c r="D2753" s="1">
        <v>275</v>
      </c>
      <c r="E2753" s="1">
        <v>5</v>
      </c>
      <c r="F2753" s="1">
        <v>38</v>
      </c>
      <c r="H2753" s="1">
        <v>1</v>
      </c>
      <c r="L2753" s="1">
        <v>1</v>
      </c>
      <c r="AK2753" s="1">
        <v>1</v>
      </c>
    </row>
    <row r="2754" spans="1:60" x14ac:dyDescent="0.3">
      <c r="A2754" s="1" t="s">
        <v>55</v>
      </c>
      <c r="B2754" s="7">
        <v>40764</v>
      </c>
      <c r="C2754" s="1">
        <v>20</v>
      </c>
      <c r="D2754" s="1">
        <v>275</v>
      </c>
      <c r="E2754" s="1">
        <v>5</v>
      </c>
      <c r="F2754" s="1">
        <v>39</v>
      </c>
      <c r="H2754" s="1">
        <v>1</v>
      </c>
      <c r="L2754" s="1">
        <v>1</v>
      </c>
    </row>
    <row r="2755" spans="1:60" x14ac:dyDescent="0.3">
      <c r="A2755" s="1" t="s">
        <v>55</v>
      </c>
      <c r="B2755" s="7">
        <v>40764</v>
      </c>
      <c r="C2755" s="1">
        <v>20</v>
      </c>
      <c r="D2755" s="1">
        <v>275</v>
      </c>
      <c r="E2755" s="1">
        <v>5</v>
      </c>
      <c r="F2755" s="1">
        <v>40</v>
      </c>
      <c r="H2755" s="1">
        <v>1</v>
      </c>
      <c r="L2755" s="1">
        <v>1</v>
      </c>
    </row>
    <row r="2756" spans="1:60" x14ac:dyDescent="0.3">
      <c r="A2756" s="1" t="s">
        <v>55</v>
      </c>
      <c r="B2756" s="7">
        <v>40764</v>
      </c>
      <c r="C2756" s="1">
        <v>20</v>
      </c>
      <c r="D2756" s="1">
        <v>275</v>
      </c>
      <c r="E2756" s="1">
        <v>5</v>
      </c>
      <c r="F2756" s="1">
        <v>41</v>
      </c>
      <c r="H2756" s="1">
        <v>1</v>
      </c>
      <c r="R2756" s="3">
        <v>0</v>
      </c>
      <c r="S2756" s="3">
        <v>1</v>
      </c>
    </row>
    <row r="2757" spans="1:60" x14ac:dyDescent="0.3">
      <c r="A2757" s="1" t="s">
        <v>55</v>
      </c>
      <c r="B2757" s="7">
        <v>40764</v>
      </c>
      <c r="C2757" s="1">
        <v>20</v>
      </c>
      <c r="D2757" s="1">
        <v>275</v>
      </c>
      <c r="E2757" s="1">
        <v>5</v>
      </c>
      <c r="F2757" s="1">
        <v>42</v>
      </c>
      <c r="J2757" s="3">
        <v>0</v>
      </c>
      <c r="K2757" s="3">
        <v>1</v>
      </c>
      <c r="R2757" s="1">
        <v>1</v>
      </c>
      <c r="T2757" s="1">
        <v>1</v>
      </c>
    </row>
    <row r="2758" spans="1:60" x14ac:dyDescent="0.3">
      <c r="A2758" s="1" t="s">
        <v>55</v>
      </c>
      <c r="B2758" s="7">
        <v>40764</v>
      </c>
      <c r="C2758" s="1">
        <v>20</v>
      </c>
      <c r="D2758" s="1">
        <v>275</v>
      </c>
      <c r="E2758" s="1">
        <v>5</v>
      </c>
      <c r="F2758" s="1">
        <v>43</v>
      </c>
      <c r="H2758" s="1">
        <v>1</v>
      </c>
      <c r="L2758" s="1">
        <v>1</v>
      </c>
    </row>
    <row r="2759" spans="1:60" x14ac:dyDescent="0.3">
      <c r="A2759" s="1" t="s">
        <v>55</v>
      </c>
      <c r="B2759" s="7">
        <v>40764</v>
      </c>
      <c r="C2759" s="1">
        <v>20</v>
      </c>
      <c r="D2759" s="1">
        <v>275</v>
      </c>
      <c r="E2759" s="1">
        <v>5</v>
      </c>
      <c r="F2759" s="1">
        <v>44</v>
      </c>
      <c r="R2759" s="3">
        <v>0</v>
      </c>
      <c r="S2759" s="3">
        <v>1</v>
      </c>
      <c r="BG2759" s="3">
        <v>0</v>
      </c>
      <c r="BH2759" s="3">
        <v>1</v>
      </c>
    </row>
    <row r="2760" spans="1:60" x14ac:dyDescent="0.3">
      <c r="A2760" s="1" t="s">
        <v>55</v>
      </c>
      <c r="B2760" s="7">
        <v>40764</v>
      </c>
      <c r="C2760" s="1">
        <v>20</v>
      </c>
      <c r="D2760" s="1">
        <v>275</v>
      </c>
      <c r="E2760" s="1">
        <v>5</v>
      </c>
      <c r="F2760" s="1">
        <v>45</v>
      </c>
      <c r="L2760" s="8">
        <v>1</v>
      </c>
      <c r="M2760" s="8"/>
      <c r="AK2760" s="1">
        <v>1</v>
      </c>
    </row>
    <row r="2761" spans="1:60" x14ac:dyDescent="0.3">
      <c r="A2761" s="1" t="s">
        <v>55</v>
      </c>
      <c r="B2761" s="7">
        <v>40764</v>
      </c>
      <c r="C2761" s="1">
        <v>20</v>
      </c>
      <c r="D2761" s="1">
        <v>275</v>
      </c>
      <c r="E2761" s="1">
        <v>5</v>
      </c>
      <c r="F2761" s="1">
        <v>46</v>
      </c>
      <c r="R2761" s="3">
        <v>0</v>
      </c>
      <c r="S2761" s="3">
        <v>1</v>
      </c>
    </row>
    <row r="2762" spans="1:60" x14ac:dyDescent="0.3">
      <c r="A2762" s="1" t="s">
        <v>55</v>
      </c>
      <c r="B2762" s="7">
        <v>40764</v>
      </c>
      <c r="C2762" s="1">
        <v>20</v>
      </c>
      <c r="D2762" s="1">
        <v>275</v>
      </c>
      <c r="E2762" s="1">
        <v>5</v>
      </c>
      <c r="F2762" s="1">
        <v>47</v>
      </c>
      <c r="H2762" s="1">
        <v>1</v>
      </c>
      <c r="R2762" s="3">
        <v>0</v>
      </c>
      <c r="S2762" s="3">
        <v>1</v>
      </c>
    </row>
    <row r="2763" spans="1:60" x14ac:dyDescent="0.3">
      <c r="A2763" s="1" t="s">
        <v>55</v>
      </c>
      <c r="B2763" s="7">
        <v>40764</v>
      </c>
      <c r="C2763" s="1">
        <v>20</v>
      </c>
      <c r="D2763" s="1">
        <v>275</v>
      </c>
      <c r="E2763" s="1">
        <v>5</v>
      </c>
      <c r="F2763" s="1">
        <v>48</v>
      </c>
      <c r="H2763" s="1">
        <v>1</v>
      </c>
      <c r="L2763" s="1">
        <v>1</v>
      </c>
      <c r="V2763" s="1">
        <v>1</v>
      </c>
    </row>
    <row r="2764" spans="1:60" x14ac:dyDescent="0.3">
      <c r="A2764" s="1" t="s">
        <v>55</v>
      </c>
      <c r="B2764" s="7">
        <v>40764</v>
      </c>
      <c r="C2764" s="1">
        <v>20</v>
      </c>
      <c r="D2764" s="1">
        <v>275</v>
      </c>
      <c r="E2764" s="1">
        <v>5</v>
      </c>
      <c r="F2764" s="1">
        <v>49</v>
      </c>
      <c r="H2764" s="1">
        <v>1</v>
      </c>
      <c r="L2764" s="1">
        <v>1</v>
      </c>
    </row>
    <row r="2765" spans="1:60" x14ac:dyDescent="0.3">
      <c r="A2765" s="1" t="s">
        <v>55</v>
      </c>
      <c r="B2765" s="7">
        <v>40764</v>
      </c>
      <c r="C2765" s="1">
        <v>20</v>
      </c>
      <c r="D2765" s="1">
        <v>275</v>
      </c>
      <c r="E2765" s="1">
        <v>5</v>
      </c>
      <c r="F2765" s="1">
        <v>50</v>
      </c>
      <c r="H2765" s="1">
        <v>1</v>
      </c>
      <c r="L2765" s="1">
        <v>1</v>
      </c>
    </row>
    <row r="2766" spans="1:60" x14ac:dyDescent="0.3">
      <c r="A2766" s="1" t="s">
        <v>55</v>
      </c>
      <c r="B2766" s="7">
        <v>40764</v>
      </c>
      <c r="C2766" s="1">
        <v>20</v>
      </c>
      <c r="D2766" s="1">
        <v>275</v>
      </c>
      <c r="E2766" s="1">
        <v>5</v>
      </c>
      <c r="F2766" s="1">
        <v>51</v>
      </c>
      <c r="R2766" s="3">
        <v>0</v>
      </c>
      <c r="S2766" s="3">
        <v>1</v>
      </c>
      <c r="BE2766" s="1">
        <v>1</v>
      </c>
    </row>
    <row r="2767" spans="1:60" x14ac:dyDescent="0.3">
      <c r="A2767" s="1" t="s">
        <v>55</v>
      </c>
      <c r="B2767" s="7">
        <v>40764</v>
      </c>
      <c r="C2767" s="1">
        <v>20</v>
      </c>
      <c r="D2767" s="1">
        <v>275</v>
      </c>
      <c r="E2767" s="1">
        <v>5</v>
      </c>
      <c r="F2767" s="1">
        <v>52</v>
      </c>
      <c r="L2767" s="1">
        <v>1</v>
      </c>
    </row>
    <row r="2768" spans="1:60" x14ac:dyDescent="0.3">
      <c r="A2768" s="1" t="s">
        <v>55</v>
      </c>
      <c r="B2768" s="7">
        <v>40764</v>
      </c>
      <c r="C2768" s="1">
        <v>20</v>
      </c>
      <c r="D2768" s="1">
        <v>275</v>
      </c>
      <c r="E2768" s="1">
        <v>5</v>
      </c>
      <c r="F2768" s="1">
        <v>53</v>
      </c>
      <c r="L2768" s="1">
        <v>1</v>
      </c>
      <c r="R2768" s="3">
        <v>0</v>
      </c>
      <c r="S2768" s="3">
        <v>1</v>
      </c>
    </row>
    <row r="2769" spans="1:37" x14ac:dyDescent="0.3">
      <c r="A2769" s="1" t="s">
        <v>55</v>
      </c>
      <c r="B2769" s="7">
        <v>40764</v>
      </c>
      <c r="C2769" s="1">
        <v>20</v>
      </c>
      <c r="D2769" s="1">
        <v>275</v>
      </c>
      <c r="E2769" s="1">
        <v>5</v>
      </c>
      <c r="F2769" s="1">
        <v>54</v>
      </c>
      <c r="H2769" s="1">
        <v>1</v>
      </c>
      <c r="L2769" s="1">
        <v>1</v>
      </c>
    </row>
    <row r="2770" spans="1:37" x14ac:dyDescent="0.3">
      <c r="A2770" s="1" t="s">
        <v>55</v>
      </c>
      <c r="B2770" s="7">
        <v>40764</v>
      </c>
      <c r="C2770" s="1">
        <v>20</v>
      </c>
      <c r="D2770" s="1">
        <v>275</v>
      </c>
      <c r="E2770" s="1">
        <v>5</v>
      </c>
      <c r="F2770" s="1">
        <v>55</v>
      </c>
      <c r="H2770" s="1">
        <v>1</v>
      </c>
    </row>
    <row r="2771" spans="1:37" x14ac:dyDescent="0.3">
      <c r="A2771" s="1" t="s">
        <v>55</v>
      </c>
      <c r="B2771" s="7">
        <v>40764</v>
      </c>
      <c r="C2771" s="1">
        <v>20</v>
      </c>
      <c r="D2771" s="1">
        <v>275</v>
      </c>
      <c r="E2771" s="1">
        <v>5</v>
      </c>
      <c r="F2771" s="1">
        <v>56</v>
      </c>
      <c r="L2771" s="1">
        <v>1</v>
      </c>
    </row>
    <row r="2772" spans="1:37" x14ac:dyDescent="0.3">
      <c r="A2772" s="1" t="s">
        <v>55</v>
      </c>
      <c r="B2772" s="7">
        <v>40764</v>
      </c>
      <c r="C2772" s="1">
        <v>20</v>
      </c>
      <c r="D2772" s="1">
        <v>275</v>
      </c>
      <c r="E2772" s="1">
        <v>5</v>
      </c>
      <c r="F2772" s="1">
        <v>57</v>
      </c>
      <c r="L2772" s="1">
        <v>1</v>
      </c>
      <c r="R2772" s="3">
        <v>0</v>
      </c>
      <c r="S2772" s="3">
        <v>1</v>
      </c>
    </row>
    <row r="2773" spans="1:37" x14ac:dyDescent="0.3">
      <c r="A2773" s="1" t="s">
        <v>55</v>
      </c>
      <c r="B2773" s="7">
        <v>40764</v>
      </c>
      <c r="C2773" s="1">
        <v>20</v>
      </c>
      <c r="D2773" s="1">
        <v>275</v>
      </c>
      <c r="E2773" s="1">
        <v>5</v>
      </c>
      <c r="F2773" s="1">
        <v>58</v>
      </c>
      <c r="H2773" s="1">
        <v>1</v>
      </c>
      <c r="L2773" s="1">
        <v>1</v>
      </c>
    </row>
    <row r="2774" spans="1:37" x14ac:dyDescent="0.3">
      <c r="A2774" s="1" t="s">
        <v>55</v>
      </c>
      <c r="B2774" s="7">
        <v>40764</v>
      </c>
      <c r="C2774" s="1">
        <v>20</v>
      </c>
      <c r="D2774" s="1">
        <v>275</v>
      </c>
      <c r="E2774" s="1">
        <v>5</v>
      </c>
      <c r="F2774" s="1">
        <v>59</v>
      </c>
      <c r="H2774" s="1">
        <v>1</v>
      </c>
      <c r="L2774" s="1">
        <v>1</v>
      </c>
    </row>
    <row r="2775" spans="1:37" x14ac:dyDescent="0.3">
      <c r="A2775" s="1" t="s">
        <v>55</v>
      </c>
      <c r="B2775" s="7">
        <v>40764</v>
      </c>
      <c r="C2775" s="1">
        <v>20</v>
      </c>
      <c r="D2775" s="1">
        <v>275</v>
      </c>
      <c r="E2775" s="1">
        <v>5</v>
      </c>
      <c r="F2775" s="1">
        <v>60</v>
      </c>
      <c r="R2775" s="3">
        <v>0</v>
      </c>
      <c r="S2775" s="3">
        <v>1</v>
      </c>
    </row>
    <row r="2776" spans="1:37" x14ac:dyDescent="0.3">
      <c r="A2776" s="1" t="s">
        <v>55</v>
      </c>
      <c r="B2776" s="7">
        <v>40764</v>
      </c>
      <c r="C2776" s="1">
        <v>20</v>
      </c>
      <c r="D2776" s="1">
        <v>275</v>
      </c>
      <c r="E2776" s="1">
        <v>5</v>
      </c>
      <c r="F2776" s="1">
        <v>61</v>
      </c>
      <c r="L2776" s="1">
        <v>1</v>
      </c>
      <c r="R2776" s="1">
        <v>1</v>
      </c>
    </row>
    <row r="2777" spans="1:37" x14ac:dyDescent="0.3">
      <c r="A2777" s="1" t="s">
        <v>55</v>
      </c>
      <c r="B2777" s="7">
        <v>40764</v>
      </c>
      <c r="C2777" s="1">
        <v>20</v>
      </c>
      <c r="D2777" s="1">
        <v>275</v>
      </c>
      <c r="E2777" s="1">
        <v>5</v>
      </c>
      <c r="F2777" s="1">
        <v>62</v>
      </c>
      <c r="L2777" s="1">
        <v>1</v>
      </c>
      <c r="R2777" s="1">
        <v>1</v>
      </c>
    </row>
    <row r="2778" spans="1:37" x14ac:dyDescent="0.3">
      <c r="A2778" s="1" t="s">
        <v>55</v>
      </c>
      <c r="B2778" s="7">
        <v>40764</v>
      </c>
      <c r="C2778" s="1">
        <v>20</v>
      </c>
      <c r="D2778" s="1">
        <v>275</v>
      </c>
      <c r="E2778" s="1">
        <v>5</v>
      </c>
      <c r="F2778" s="1">
        <v>63</v>
      </c>
      <c r="H2778" s="1">
        <v>1</v>
      </c>
      <c r="L2778" s="1">
        <v>1</v>
      </c>
      <c r="R2778" s="3">
        <v>0</v>
      </c>
      <c r="S2778" s="3">
        <v>1</v>
      </c>
    </row>
    <row r="2779" spans="1:37" x14ac:dyDescent="0.3">
      <c r="A2779" s="1" t="s">
        <v>55</v>
      </c>
      <c r="B2779" s="7">
        <v>40764</v>
      </c>
      <c r="C2779" s="1">
        <v>20</v>
      </c>
      <c r="D2779" s="1">
        <v>275</v>
      </c>
      <c r="E2779" s="1">
        <v>5</v>
      </c>
      <c r="F2779" s="1">
        <v>64</v>
      </c>
      <c r="H2779" s="1">
        <v>1</v>
      </c>
      <c r="R2779" s="3">
        <v>0</v>
      </c>
      <c r="S2779" s="3">
        <v>1</v>
      </c>
    </row>
    <row r="2780" spans="1:37" x14ac:dyDescent="0.3">
      <c r="A2780" s="1" t="s">
        <v>55</v>
      </c>
      <c r="B2780" s="7">
        <v>40764</v>
      </c>
      <c r="C2780" s="1">
        <v>20</v>
      </c>
      <c r="D2780" s="1">
        <v>275</v>
      </c>
      <c r="E2780" s="1">
        <v>5</v>
      </c>
      <c r="F2780" s="1">
        <v>65</v>
      </c>
    </row>
    <row r="2781" spans="1:37" x14ac:dyDescent="0.3">
      <c r="A2781" s="1" t="s">
        <v>55</v>
      </c>
      <c r="B2781" s="7">
        <v>40764</v>
      </c>
      <c r="C2781" s="1">
        <v>20</v>
      </c>
      <c r="D2781" s="1">
        <v>275</v>
      </c>
      <c r="E2781" s="1">
        <v>5</v>
      </c>
      <c r="F2781" s="1">
        <v>66</v>
      </c>
      <c r="H2781" s="1">
        <v>1</v>
      </c>
      <c r="L2781" s="1">
        <v>1</v>
      </c>
      <c r="AK2781" s="1">
        <v>1</v>
      </c>
    </row>
    <row r="2782" spans="1:37" x14ac:dyDescent="0.3">
      <c r="A2782" s="1" t="s">
        <v>55</v>
      </c>
      <c r="B2782" s="7">
        <v>40764</v>
      </c>
      <c r="C2782" s="1">
        <v>20</v>
      </c>
      <c r="D2782" s="1">
        <v>275</v>
      </c>
      <c r="E2782" s="1">
        <v>5</v>
      </c>
      <c r="F2782" s="1">
        <v>67</v>
      </c>
      <c r="L2782" s="1">
        <v>1</v>
      </c>
      <c r="R2782" s="3">
        <v>0</v>
      </c>
      <c r="S2782" s="3">
        <v>1</v>
      </c>
    </row>
    <row r="2783" spans="1:37" x14ac:dyDescent="0.3">
      <c r="A2783" s="1" t="s">
        <v>55</v>
      </c>
      <c r="B2783" s="7">
        <v>40764</v>
      </c>
      <c r="C2783" s="1">
        <v>20</v>
      </c>
      <c r="D2783" s="1">
        <v>275</v>
      </c>
      <c r="E2783" s="1">
        <v>5</v>
      </c>
      <c r="F2783" s="1">
        <v>68</v>
      </c>
      <c r="L2783" s="8">
        <v>1</v>
      </c>
      <c r="M2783" s="8"/>
    </row>
    <row r="2784" spans="1:37" x14ac:dyDescent="0.3">
      <c r="A2784" s="1" t="s">
        <v>55</v>
      </c>
      <c r="B2784" s="7">
        <v>40764</v>
      </c>
      <c r="C2784" s="1">
        <v>20</v>
      </c>
      <c r="D2784" s="1">
        <v>275</v>
      </c>
      <c r="E2784" s="1">
        <v>5</v>
      </c>
      <c r="F2784" s="1">
        <v>69</v>
      </c>
      <c r="R2784" s="1">
        <v>1</v>
      </c>
    </row>
    <row r="2785" spans="1:37" x14ac:dyDescent="0.3">
      <c r="A2785" s="1" t="s">
        <v>55</v>
      </c>
      <c r="B2785" s="7">
        <v>40764</v>
      </c>
      <c r="C2785" s="1">
        <v>20</v>
      </c>
      <c r="D2785" s="1">
        <v>275</v>
      </c>
      <c r="E2785" s="1">
        <v>5</v>
      </c>
      <c r="F2785" s="1">
        <v>70</v>
      </c>
      <c r="H2785" s="1">
        <v>1</v>
      </c>
      <c r="L2785" s="1">
        <v>1</v>
      </c>
    </row>
    <row r="2786" spans="1:37" x14ac:dyDescent="0.3">
      <c r="A2786" s="1" t="s">
        <v>55</v>
      </c>
      <c r="B2786" s="7">
        <v>40764</v>
      </c>
      <c r="C2786" s="1">
        <v>20</v>
      </c>
      <c r="D2786" s="1">
        <v>275</v>
      </c>
      <c r="E2786" s="1">
        <v>5</v>
      </c>
      <c r="F2786" s="1">
        <v>71</v>
      </c>
      <c r="H2786" s="1">
        <v>1</v>
      </c>
      <c r="L2786" s="1">
        <v>1</v>
      </c>
    </row>
    <row r="2787" spans="1:37" x14ac:dyDescent="0.3">
      <c r="A2787" s="1" t="s">
        <v>55</v>
      </c>
      <c r="B2787" s="7">
        <v>40764</v>
      </c>
      <c r="C2787" s="1">
        <v>20</v>
      </c>
      <c r="D2787" s="1">
        <v>275</v>
      </c>
      <c r="E2787" s="1">
        <v>5</v>
      </c>
      <c r="F2787" s="1">
        <v>72</v>
      </c>
      <c r="L2787" s="1">
        <v>1</v>
      </c>
      <c r="R2787" s="3">
        <v>0</v>
      </c>
      <c r="S2787" s="3">
        <v>1</v>
      </c>
    </row>
    <row r="2788" spans="1:37" x14ac:dyDescent="0.3">
      <c r="A2788" s="1" t="s">
        <v>55</v>
      </c>
      <c r="B2788" s="7">
        <v>40764</v>
      </c>
      <c r="C2788" s="1">
        <v>20</v>
      </c>
      <c r="D2788" s="1">
        <v>275</v>
      </c>
      <c r="E2788" s="1">
        <v>5</v>
      </c>
      <c r="F2788" s="1">
        <v>73</v>
      </c>
      <c r="H2788" s="1">
        <v>1</v>
      </c>
      <c r="L2788" s="1">
        <v>1</v>
      </c>
      <c r="R2788" s="3">
        <v>0</v>
      </c>
      <c r="S2788" s="3">
        <v>1</v>
      </c>
      <c r="AF2788" s="1">
        <v>1</v>
      </c>
    </row>
    <row r="2789" spans="1:37" x14ac:dyDescent="0.3">
      <c r="A2789" s="1" t="s">
        <v>55</v>
      </c>
      <c r="B2789" s="7">
        <v>40764</v>
      </c>
      <c r="C2789" s="1">
        <v>20</v>
      </c>
      <c r="D2789" s="1">
        <v>275</v>
      </c>
      <c r="E2789" s="1">
        <v>5</v>
      </c>
      <c r="F2789" s="1">
        <v>74</v>
      </c>
      <c r="H2789" s="1">
        <v>1</v>
      </c>
      <c r="L2789" s="1">
        <v>1</v>
      </c>
    </row>
    <row r="2790" spans="1:37" x14ac:dyDescent="0.3">
      <c r="A2790" s="1" t="s">
        <v>55</v>
      </c>
      <c r="B2790" s="7">
        <v>40764</v>
      </c>
      <c r="C2790" s="1">
        <v>20</v>
      </c>
      <c r="D2790" s="1">
        <v>275</v>
      </c>
      <c r="E2790" s="1">
        <v>5</v>
      </c>
      <c r="F2790" s="1">
        <v>75</v>
      </c>
      <c r="H2790" s="1">
        <v>1</v>
      </c>
      <c r="R2790" s="3">
        <v>0</v>
      </c>
      <c r="S2790" s="3">
        <v>1</v>
      </c>
    </row>
    <row r="2791" spans="1:37" x14ac:dyDescent="0.3">
      <c r="A2791" s="1" t="s">
        <v>55</v>
      </c>
      <c r="B2791" s="7">
        <v>40764</v>
      </c>
      <c r="C2791" s="1">
        <v>20</v>
      </c>
      <c r="D2791" s="1">
        <v>275</v>
      </c>
      <c r="E2791" s="1">
        <v>5</v>
      </c>
      <c r="F2791" s="1">
        <v>76</v>
      </c>
      <c r="H2791" s="1">
        <v>1</v>
      </c>
      <c r="L2791" s="1">
        <v>1</v>
      </c>
      <c r="V2791" s="1">
        <v>1</v>
      </c>
      <c r="AK2791" s="1">
        <v>1</v>
      </c>
    </row>
    <row r="2792" spans="1:37" x14ac:dyDescent="0.3">
      <c r="A2792" s="1" t="s">
        <v>55</v>
      </c>
      <c r="B2792" s="7">
        <v>40764</v>
      </c>
      <c r="C2792" s="1">
        <v>20</v>
      </c>
      <c r="D2792" s="1">
        <v>275</v>
      </c>
      <c r="E2792" s="1">
        <v>5</v>
      </c>
      <c r="F2792" s="1">
        <v>77</v>
      </c>
      <c r="L2792" s="1">
        <v>1</v>
      </c>
      <c r="R2792" s="1">
        <v>1</v>
      </c>
    </row>
    <row r="2793" spans="1:37" x14ac:dyDescent="0.3">
      <c r="A2793" s="1" t="s">
        <v>55</v>
      </c>
      <c r="B2793" s="7">
        <v>40764</v>
      </c>
      <c r="C2793" s="1">
        <v>20</v>
      </c>
      <c r="D2793" s="1">
        <v>275</v>
      </c>
      <c r="E2793" s="1">
        <v>5</v>
      </c>
      <c r="F2793" s="1">
        <v>78</v>
      </c>
      <c r="L2793" s="1">
        <v>1</v>
      </c>
      <c r="AK2793" s="1">
        <v>1</v>
      </c>
    </row>
    <row r="2794" spans="1:37" x14ac:dyDescent="0.3">
      <c r="A2794" s="1" t="s">
        <v>55</v>
      </c>
      <c r="B2794" s="7">
        <v>40764</v>
      </c>
      <c r="C2794" s="1">
        <v>20</v>
      </c>
      <c r="D2794" s="1">
        <v>275</v>
      </c>
      <c r="E2794" s="1">
        <v>5</v>
      </c>
      <c r="F2794" s="1">
        <v>79</v>
      </c>
      <c r="R2794" s="8">
        <v>1</v>
      </c>
      <c r="S2794" s="8"/>
    </row>
    <row r="2795" spans="1:37" x14ac:dyDescent="0.3">
      <c r="A2795" s="1" t="s">
        <v>55</v>
      </c>
      <c r="B2795" s="7">
        <v>40764</v>
      </c>
      <c r="C2795" s="1">
        <v>20</v>
      </c>
      <c r="D2795" s="1">
        <v>275</v>
      </c>
      <c r="E2795" s="1">
        <v>5</v>
      </c>
      <c r="F2795" s="1">
        <v>80</v>
      </c>
      <c r="L2795" s="1">
        <v>1</v>
      </c>
    </row>
    <row r="2796" spans="1:37" x14ac:dyDescent="0.3">
      <c r="A2796" s="1" t="s">
        <v>55</v>
      </c>
      <c r="B2796" s="7">
        <v>40764</v>
      </c>
      <c r="C2796" s="1">
        <v>20</v>
      </c>
      <c r="D2796" s="1">
        <v>275</v>
      </c>
      <c r="E2796" s="1">
        <v>5</v>
      </c>
      <c r="F2796" s="1">
        <v>81</v>
      </c>
      <c r="H2796" s="1">
        <v>1</v>
      </c>
      <c r="R2796" s="1">
        <v>1</v>
      </c>
    </row>
    <row r="2797" spans="1:37" x14ac:dyDescent="0.3">
      <c r="A2797" s="1" t="s">
        <v>55</v>
      </c>
      <c r="B2797" s="7">
        <v>40764</v>
      </c>
      <c r="C2797" s="1">
        <v>20</v>
      </c>
      <c r="D2797" s="1">
        <v>275</v>
      </c>
      <c r="E2797" s="1">
        <v>5</v>
      </c>
      <c r="F2797" s="1">
        <v>82</v>
      </c>
      <c r="H2797" s="1">
        <v>1</v>
      </c>
      <c r="R2797" s="3">
        <v>0</v>
      </c>
      <c r="S2797" s="3">
        <v>1</v>
      </c>
    </row>
    <row r="2798" spans="1:37" x14ac:dyDescent="0.3">
      <c r="A2798" s="1" t="s">
        <v>55</v>
      </c>
      <c r="B2798" s="7">
        <v>40764</v>
      </c>
      <c r="C2798" s="1">
        <v>20</v>
      </c>
      <c r="D2798" s="1">
        <v>275</v>
      </c>
      <c r="E2798" s="1">
        <v>5</v>
      </c>
      <c r="F2798" s="1">
        <v>83</v>
      </c>
      <c r="H2798" s="1">
        <v>1</v>
      </c>
    </row>
    <row r="2799" spans="1:37" x14ac:dyDescent="0.3">
      <c r="A2799" s="1" t="s">
        <v>55</v>
      </c>
      <c r="B2799" s="7">
        <v>40764</v>
      </c>
      <c r="C2799" s="1">
        <v>20</v>
      </c>
      <c r="D2799" s="1">
        <v>275</v>
      </c>
      <c r="E2799" s="1">
        <v>5</v>
      </c>
      <c r="F2799" s="1">
        <v>84</v>
      </c>
      <c r="H2799" s="1">
        <v>1</v>
      </c>
    </row>
    <row r="2800" spans="1:37" x14ac:dyDescent="0.3">
      <c r="A2800" s="1" t="s">
        <v>55</v>
      </c>
      <c r="B2800" s="7">
        <v>40764</v>
      </c>
      <c r="C2800" s="1">
        <v>20</v>
      </c>
      <c r="D2800" s="1">
        <v>275</v>
      </c>
      <c r="E2800" s="1">
        <v>5</v>
      </c>
      <c r="F2800" s="1">
        <v>85</v>
      </c>
      <c r="L2800" s="1">
        <v>1</v>
      </c>
    </row>
    <row r="2801" spans="1:90" x14ac:dyDescent="0.3">
      <c r="A2801" s="1" t="s">
        <v>55</v>
      </c>
      <c r="B2801" s="7">
        <v>40764</v>
      </c>
      <c r="C2801" s="1">
        <v>20</v>
      </c>
      <c r="D2801" s="1">
        <v>275</v>
      </c>
      <c r="E2801" s="1">
        <v>5</v>
      </c>
      <c r="F2801" s="1">
        <v>86</v>
      </c>
      <c r="L2801" s="1">
        <v>1</v>
      </c>
      <c r="AB2801" s="1">
        <v>1</v>
      </c>
    </row>
    <row r="2802" spans="1:90" x14ac:dyDescent="0.3">
      <c r="A2802" s="1" t="s">
        <v>55</v>
      </c>
      <c r="B2802" s="7">
        <v>40764</v>
      </c>
      <c r="C2802" s="1">
        <v>20</v>
      </c>
      <c r="D2802" s="1">
        <v>275</v>
      </c>
      <c r="E2802" s="1">
        <v>5</v>
      </c>
      <c r="F2802" s="1">
        <v>87</v>
      </c>
      <c r="L2802" s="1">
        <v>1</v>
      </c>
      <c r="R2802" s="1">
        <v>1</v>
      </c>
    </row>
    <row r="2803" spans="1:90" x14ac:dyDescent="0.3">
      <c r="A2803" s="1" t="s">
        <v>55</v>
      </c>
      <c r="B2803" s="7">
        <v>40764</v>
      </c>
      <c r="C2803" s="1">
        <v>20</v>
      </c>
      <c r="D2803" s="1">
        <v>275</v>
      </c>
      <c r="E2803" s="1">
        <v>5</v>
      </c>
      <c r="F2803" s="1">
        <v>88</v>
      </c>
      <c r="R2803" s="3">
        <v>0</v>
      </c>
      <c r="S2803" s="3">
        <v>1</v>
      </c>
      <c r="AK2803" s="1">
        <v>1</v>
      </c>
    </row>
    <row r="2804" spans="1:90" x14ac:dyDescent="0.3">
      <c r="A2804" s="1" t="s">
        <v>55</v>
      </c>
      <c r="B2804" s="7">
        <v>40764</v>
      </c>
      <c r="C2804" s="1">
        <v>20</v>
      </c>
      <c r="D2804" s="1">
        <v>275</v>
      </c>
      <c r="E2804" s="1">
        <v>5</v>
      </c>
      <c r="F2804" s="1">
        <v>89</v>
      </c>
      <c r="L2804" s="1">
        <v>1</v>
      </c>
    </row>
    <row r="2805" spans="1:90" x14ac:dyDescent="0.3">
      <c r="A2805" s="1" t="s">
        <v>55</v>
      </c>
      <c r="B2805" s="7">
        <v>40764</v>
      </c>
      <c r="C2805" s="1">
        <v>20</v>
      </c>
      <c r="D2805" s="1">
        <v>275</v>
      </c>
      <c r="E2805" s="1">
        <v>5</v>
      </c>
      <c r="F2805" s="1">
        <v>90</v>
      </c>
      <c r="L2805" s="1">
        <v>1</v>
      </c>
    </row>
    <row r="2806" spans="1:90" x14ac:dyDescent="0.3">
      <c r="A2806" s="1" t="s">
        <v>55</v>
      </c>
      <c r="B2806" s="7">
        <v>40764</v>
      </c>
      <c r="C2806" s="1">
        <v>20</v>
      </c>
      <c r="D2806" s="1">
        <v>275</v>
      </c>
      <c r="E2806" s="1">
        <v>5</v>
      </c>
      <c r="F2806" s="1">
        <v>91</v>
      </c>
      <c r="L2806" s="1">
        <v>1</v>
      </c>
      <c r="R2806" s="1">
        <v>1</v>
      </c>
    </row>
    <row r="2807" spans="1:90" x14ac:dyDescent="0.3">
      <c r="A2807" s="1" t="s">
        <v>55</v>
      </c>
      <c r="B2807" s="7">
        <v>40764</v>
      </c>
      <c r="C2807" s="1">
        <v>20</v>
      </c>
      <c r="D2807" s="1">
        <v>275</v>
      </c>
      <c r="E2807" s="1">
        <v>5</v>
      </c>
      <c r="F2807" s="1">
        <v>92</v>
      </c>
      <c r="H2807" s="1">
        <v>1</v>
      </c>
      <c r="R2807" s="1">
        <v>1</v>
      </c>
    </row>
    <row r="2808" spans="1:90" x14ac:dyDescent="0.3">
      <c r="A2808" s="1" t="s">
        <v>55</v>
      </c>
      <c r="B2808" s="7">
        <v>40764</v>
      </c>
      <c r="C2808" s="1">
        <v>20</v>
      </c>
      <c r="D2808" s="1">
        <v>275</v>
      </c>
      <c r="E2808" s="1">
        <v>5</v>
      </c>
      <c r="F2808" s="1">
        <v>93</v>
      </c>
      <c r="N2808" s="1">
        <v>1</v>
      </c>
      <c r="R2808" s="1">
        <v>1</v>
      </c>
    </row>
    <row r="2809" spans="1:90" x14ac:dyDescent="0.3">
      <c r="A2809" s="1" t="s">
        <v>55</v>
      </c>
      <c r="B2809" s="7">
        <v>40764</v>
      </c>
      <c r="C2809" s="1">
        <v>20</v>
      </c>
      <c r="D2809" s="1">
        <v>275</v>
      </c>
      <c r="E2809" s="1">
        <v>5</v>
      </c>
      <c r="F2809" s="1">
        <v>94</v>
      </c>
      <c r="H2809" s="1">
        <v>1</v>
      </c>
      <c r="L2809" s="1">
        <v>1</v>
      </c>
      <c r="R2809" s="1">
        <v>1</v>
      </c>
    </row>
    <row r="2810" spans="1:90" x14ac:dyDescent="0.3">
      <c r="A2810" s="1" t="s">
        <v>55</v>
      </c>
      <c r="B2810" s="7">
        <v>40764</v>
      </c>
      <c r="C2810" s="1">
        <v>20</v>
      </c>
      <c r="D2810" s="1">
        <v>275</v>
      </c>
      <c r="E2810" s="1">
        <v>5</v>
      </c>
      <c r="F2810" s="1">
        <v>95</v>
      </c>
      <c r="H2810" s="1">
        <v>1</v>
      </c>
      <c r="R2810" s="1">
        <v>1</v>
      </c>
    </row>
    <row r="2811" spans="1:90" x14ac:dyDescent="0.3">
      <c r="A2811" s="1" t="s">
        <v>55</v>
      </c>
      <c r="B2811" s="7">
        <v>40764</v>
      </c>
      <c r="C2811" s="1">
        <v>20</v>
      </c>
      <c r="D2811" s="1">
        <v>275</v>
      </c>
      <c r="E2811" s="1">
        <v>5</v>
      </c>
      <c r="F2811" s="1">
        <v>96</v>
      </c>
      <c r="H2811" s="1">
        <v>1</v>
      </c>
      <c r="L2811" s="1">
        <v>1</v>
      </c>
    </row>
    <row r="2812" spans="1:90" x14ac:dyDescent="0.3">
      <c r="A2812" s="1" t="s">
        <v>55</v>
      </c>
      <c r="B2812" s="7">
        <v>40764</v>
      </c>
      <c r="C2812" s="1">
        <v>20</v>
      </c>
      <c r="D2812" s="1">
        <v>275</v>
      </c>
      <c r="E2812" s="1">
        <v>5</v>
      </c>
      <c r="F2812" s="1">
        <v>97</v>
      </c>
      <c r="AB2812" s="1">
        <v>1</v>
      </c>
    </row>
    <row r="2813" spans="1:90" x14ac:dyDescent="0.3">
      <c r="A2813" s="1" t="s">
        <v>55</v>
      </c>
      <c r="B2813" s="7">
        <v>40764</v>
      </c>
      <c r="C2813" s="1">
        <v>20</v>
      </c>
      <c r="D2813" s="1">
        <v>275</v>
      </c>
      <c r="E2813" s="1">
        <v>5</v>
      </c>
      <c r="F2813" s="1">
        <v>98</v>
      </c>
      <c r="L2813" s="1">
        <v>1</v>
      </c>
      <c r="R2813" s="3">
        <v>0</v>
      </c>
      <c r="S2813" s="3">
        <v>1</v>
      </c>
    </row>
    <row r="2814" spans="1:90" x14ac:dyDescent="0.3">
      <c r="A2814" s="1" t="s">
        <v>55</v>
      </c>
      <c r="B2814" s="7">
        <v>40764</v>
      </c>
      <c r="C2814" s="1">
        <v>20</v>
      </c>
      <c r="D2814" s="1">
        <v>275</v>
      </c>
      <c r="E2814" s="1">
        <v>5</v>
      </c>
      <c r="F2814" s="1">
        <v>99</v>
      </c>
      <c r="H2814" s="1">
        <v>1</v>
      </c>
      <c r="L2814" s="1">
        <v>1</v>
      </c>
    </row>
    <row r="2815" spans="1:90" x14ac:dyDescent="0.3">
      <c r="A2815" s="1" t="s">
        <v>55</v>
      </c>
      <c r="B2815" s="7">
        <v>40764</v>
      </c>
      <c r="C2815" s="1">
        <v>20</v>
      </c>
      <c r="D2815" s="1">
        <v>275</v>
      </c>
      <c r="E2815" s="1">
        <v>5</v>
      </c>
      <c r="F2815" s="1">
        <v>100</v>
      </c>
      <c r="AK2815" s="1">
        <v>1</v>
      </c>
    </row>
    <row r="2816" spans="1:90" s="12" customFormat="1" x14ac:dyDescent="0.3">
      <c r="A2816" s="14" t="s">
        <v>55</v>
      </c>
      <c r="B2816" s="13"/>
      <c r="G2816" s="12">
        <f>SUM(G2616:G2815)</f>
        <v>3</v>
      </c>
      <c r="H2816" s="12">
        <f t="shared" ref="H2816" si="1025">SUM(H2616:H2815)</f>
        <v>50</v>
      </c>
      <c r="I2816" s="12">
        <f t="shared" ref="I2816" si="1026">SUM(I2616:I2815)</f>
        <v>5</v>
      </c>
      <c r="J2816" s="12">
        <f t="shared" ref="J2816" si="1027">SUM(J2616:J2815)</f>
        <v>30</v>
      </c>
      <c r="K2816" s="12">
        <f t="shared" ref="K2816" si="1028">SUM(K2616:K2815)</f>
        <v>3</v>
      </c>
      <c r="L2816" s="12">
        <f t="shared" ref="L2816" si="1029">SUM(L2616:L2815)</f>
        <v>83</v>
      </c>
      <c r="M2816" s="12">
        <f t="shared" ref="M2816" si="1030">SUM(M2616:M2815)</f>
        <v>0</v>
      </c>
      <c r="N2816" s="12">
        <f t="shared" ref="N2816" si="1031">SUM(N2616:N2815)</f>
        <v>6</v>
      </c>
      <c r="O2816" s="12">
        <f t="shared" ref="O2816" si="1032">SUM(O2616:O2815)</f>
        <v>1</v>
      </c>
      <c r="P2816" s="12">
        <f t="shared" ref="P2816" si="1033">SUM(P2616:P2815)</f>
        <v>0</v>
      </c>
      <c r="Q2816" s="12">
        <f t="shared" ref="Q2816" si="1034">SUM(Q2616:Q2815)</f>
        <v>0</v>
      </c>
      <c r="R2816" s="12">
        <f t="shared" ref="R2816" si="1035">SUM(R2616:R2815)</f>
        <v>23</v>
      </c>
      <c r="S2816" s="12">
        <f t="shared" ref="S2816" si="1036">SUM(S2616:S2815)</f>
        <v>34</v>
      </c>
      <c r="T2816" s="12">
        <f t="shared" ref="T2816" si="1037">SUM(T2616:T2815)</f>
        <v>6</v>
      </c>
      <c r="U2816" s="12">
        <f t="shared" ref="U2816" si="1038">SUM(U2616:U2815)</f>
        <v>0</v>
      </c>
      <c r="V2816" s="12">
        <f t="shared" ref="V2816" si="1039">SUM(V2616:V2815)</f>
        <v>8</v>
      </c>
      <c r="W2816" s="12">
        <f t="shared" ref="W2816" si="1040">SUM(W2616:W2815)</f>
        <v>0</v>
      </c>
      <c r="X2816" s="12">
        <f t="shared" ref="X2816" si="1041">SUM(X2616:X2815)</f>
        <v>0</v>
      </c>
      <c r="Y2816" s="12">
        <f t="shared" ref="Y2816" si="1042">SUM(Y2616:Y2815)</f>
        <v>0</v>
      </c>
      <c r="Z2816" s="12">
        <f t="shared" ref="Z2816" si="1043">SUM(Z2616:Z2815)</f>
        <v>0</v>
      </c>
      <c r="AA2816" s="12">
        <f t="shared" ref="AA2816" si="1044">SUM(AA2616:AA2815)</f>
        <v>5</v>
      </c>
      <c r="AB2816" s="12">
        <f t="shared" ref="AB2816" si="1045">SUM(AB2616:AB2815)</f>
        <v>7</v>
      </c>
      <c r="AC2816" s="12">
        <f t="shared" ref="AC2816" si="1046">SUM(AC2616:AC2815)</f>
        <v>0</v>
      </c>
      <c r="AD2816" s="12">
        <f t="shared" ref="AD2816" si="1047">SUM(AD2616:AD2815)</f>
        <v>0</v>
      </c>
      <c r="AE2816" s="12">
        <f t="shared" ref="AE2816" si="1048">SUM(AE2616:AE2815)</f>
        <v>0</v>
      </c>
      <c r="AF2816" s="12">
        <f t="shared" ref="AF2816" si="1049">SUM(AF2616:AF2815)</f>
        <v>2</v>
      </c>
      <c r="AG2816" s="12">
        <f t="shared" ref="AG2816" si="1050">SUM(AG2616:AG2815)</f>
        <v>0</v>
      </c>
      <c r="AH2816" s="12">
        <f t="shared" ref="AH2816" si="1051">SUM(AH2616:AH2815)</f>
        <v>0</v>
      </c>
      <c r="AI2816" s="12">
        <f t="shared" ref="AI2816" si="1052">SUM(AI2616:AI2815)</f>
        <v>0</v>
      </c>
      <c r="AJ2816" s="12">
        <f t="shared" ref="AJ2816" si="1053">SUM(AJ2616:AJ2815)</f>
        <v>0</v>
      </c>
      <c r="AK2816" s="12">
        <f t="shared" ref="AK2816" si="1054">SUM(AK2616:AK2815)</f>
        <v>13</v>
      </c>
      <c r="AL2816" s="12">
        <f t="shared" ref="AL2816" si="1055">SUM(AL2616:AL2815)</f>
        <v>0</v>
      </c>
      <c r="AM2816" s="12">
        <f t="shared" ref="AM2816" si="1056">SUM(AM2616:AM2815)</f>
        <v>1</v>
      </c>
      <c r="AN2816" s="12">
        <f t="shared" ref="AN2816" si="1057">SUM(AN2616:AN2815)</f>
        <v>0</v>
      </c>
      <c r="AO2816" s="12">
        <f t="shared" ref="AO2816" si="1058">SUM(AO2616:AO2815)</f>
        <v>13</v>
      </c>
      <c r="AP2816" s="12">
        <f t="shared" ref="AP2816" si="1059">SUM(AP2616:AP2815)</f>
        <v>0</v>
      </c>
      <c r="AQ2816" s="12">
        <f t="shared" ref="AQ2816" si="1060">SUM(AQ2616:AQ2815)</f>
        <v>0</v>
      </c>
      <c r="AR2816" s="12">
        <f t="shared" ref="AR2816" si="1061">SUM(AR2616:AR2815)</f>
        <v>0</v>
      </c>
      <c r="AS2816" s="12">
        <f t="shared" ref="AS2816" si="1062">SUM(AS2616:AS2815)</f>
        <v>1</v>
      </c>
      <c r="AT2816" s="12">
        <f t="shared" ref="AT2816" si="1063">SUM(AT2616:AT2815)</f>
        <v>0</v>
      </c>
      <c r="AU2816" s="12">
        <f t="shared" ref="AU2816" si="1064">SUM(AU2616:AU2815)</f>
        <v>0</v>
      </c>
      <c r="AV2816" s="12">
        <f t="shared" ref="AV2816" si="1065">SUM(AV2616:AV2815)</f>
        <v>0</v>
      </c>
      <c r="AW2816" s="12">
        <f t="shared" ref="AW2816" si="1066">SUM(AW2616:AW2815)</f>
        <v>0</v>
      </c>
      <c r="AX2816" s="12">
        <f t="shared" ref="AX2816" si="1067">SUM(AX2616:AX2815)</f>
        <v>0</v>
      </c>
      <c r="AY2816" s="12">
        <f t="shared" ref="AY2816" si="1068">SUM(AY2616:AY2815)</f>
        <v>1</v>
      </c>
      <c r="AZ2816" s="12">
        <f t="shared" ref="AZ2816" si="1069">SUM(AZ2616:AZ2815)</f>
        <v>0</v>
      </c>
      <c r="BA2816" s="12">
        <f t="shared" ref="BA2816" si="1070">SUM(BA2616:BA2815)</f>
        <v>1</v>
      </c>
      <c r="BB2816" s="12">
        <f t="shared" ref="BB2816" si="1071">SUM(BB2616:BB2815)</f>
        <v>0</v>
      </c>
      <c r="BC2816" s="12">
        <f t="shared" ref="BC2816" si="1072">SUM(BC2616:BC2815)</f>
        <v>1</v>
      </c>
      <c r="BD2816" s="12">
        <f t="shared" ref="BD2816" si="1073">SUM(BD2616:BD2815)</f>
        <v>0</v>
      </c>
      <c r="BE2816" s="12">
        <f t="shared" ref="BE2816" si="1074">SUM(BE2616:BE2815)</f>
        <v>4</v>
      </c>
      <c r="BF2816" s="12">
        <f t="shared" ref="BF2816" si="1075">SUM(BF2616:BF2815)</f>
        <v>0</v>
      </c>
      <c r="BG2816" s="12">
        <f t="shared" ref="BG2816" si="1076">SUM(BG2616:BG2815)</f>
        <v>0</v>
      </c>
      <c r="BH2816" s="12">
        <f t="shared" ref="BH2816" si="1077">SUM(BH2616:BH2815)</f>
        <v>2</v>
      </c>
      <c r="BI2816" s="12">
        <f t="shared" ref="BI2816" si="1078">SUM(BI2616:BI2815)</f>
        <v>4</v>
      </c>
      <c r="BJ2816" s="12">
        <f t="shared" ref="BJ2816" si="1079">SUM(BJ2616:BJ2815)</f>
        <v>0</v>
      </c>
      <c r="BK2816" s="12">
        <f t="shared" ref="BK2816" si="1080">SUM(BK2616:BK2815)</f>
        <v>0</v>
      </c>
      <c r="BL2816" s="12">
        <f t="shared" ref="BL2816" si="1081">SUM(BL2616:BL2815)</f>
        <v>0</v>
      </c>
      <c r="BM2816" s="12">
        <f t="shared" ref="BM2816" si="1082">SUM(BM2616:BM2815)</f>
        <v>0</v>
      </c>
      <c r="BN2816" s="12">
        <f t="shared" ref="BN2816" si="1083">SUM(BN2616:BN2815)</f>
        <v>0</v>
      </c>
      <c r="BO2816" s="12">
        <f t="shared" ref="BO2816" si="1084">SUM(BO2616:BO2815)</f>
        <v>0</v>
      </c>
      <c r="BP2816" s="12">
        <f t="shared" ref="BP2816" si="1085">SUM(BP2616:BP2815)</f>
        <v>0</v>
      </c>
      <c r="BQ2816" s="12">
        <f t="shared" ref="BQ2816" si="1086">SUM(BQ2616:BQ2815)</f>
        <v>0</v>
      </c>
      <c r="BR2816" s="12">
        <f t="shared" ref="BR2816" si="1087">SUM(BR2616:BR2815)</f>
        <v>0</v>
      </c>
      <c r="BS2816" s="12">
        <f t="shared" ref="BS2816" si="1088">SUM(BS2616:BS2815)</f>
        <v>0</v>
      </c>
      <c r="BT2816" s="12">
        <f t="shared" ref="BT2816" si="1089">SUM(BT2616:BT2815)</f>
        <v>1</v>
      </c>
      <c r="BU2816" s="12">
        <f t="shared" ref="BU2816" si="1090">SUM(BU2616:BU2815)</f>
        <v>0</v>
      </c>
      <c r="BV2816" s="12">
        <f t="shared" ref="BV2816" si="1091">SUM(BV2616:BV2815)</f>
        <v>0</v>
      </c>
      <c r="BW2816" s="12">
        <f t="shared" ref="BW2816" si="1092">SUM(BW2616:BW2815)</f>
        <v>0</v>
      </c>
      <c r="BX2816" s="12">
        <f t="shared" ref="BX2816" si="1093">SUM(BX2616:BX2815)</f>
        <v>0</v>
      </c>
      <c r="BY2816" s="12">
        <f t="shared" ref="BY2816" si="1094">SUM(BY2616:BY2815)</f>
        <v>0</v>
      </c>
      <c r="BZ2816" s="12">
        <f t="shared" ref="BZ2816" si="1095">SUM(BZ2616:BZ2815)</f>
        <v>0</v>
      </c>
      <c r="CA2816" s="12">
        <f t="shared" ref="CA2816" si="1096">SUM(CA2616:CA2815)</f>
        <v>0</v>
      </c>
      <c r="CB2816" s="12">
        <f t="shared" ref="CB2816" si="1097">SUM(CB2616:CB2815)</f>
        <v>0</v>
      </c>
      <c r="CC2816" s="12">
        <f t="shared" ref="CC2816" si="1098">SUM(CC2616:CC2815)</f>
        <v>0</v>
      </c>
      <c r="CD2816" s="12">
        <f t="shared" ref="CD2816" si="1099">SUM(CD2616:CD2815)</f>
        <v>0</v>
      </c>
      <c r="CE2816" s="12">
        <f t="shared" ref="CE2816" si="1100">SUM(CE2616:CE2815)</f>
        <v>0</v>
      </c>
      <c r="CF2816" s="12">
        <f t="shared" ref="CF2816" si="1101">SUM(CF2616:CF2815)</f>
        <v>0</v>
      </c>
      <c r="CG2816" s="12">
        <f t="shared" ref="CG2816" si="1102">SUM(CG2616:CG2815)</f>
        <v>0</v>
      </c>
      <c r="CH2816" s="12">
        <f t="shared" ref="CH2816" si="1103">SUM(CH2616:CH2815)</f>
        <v>0</v>
      </c>
      <c r="CI2816" s="12">
        <f t="shared" ref="CI2816" si="1104">SUM(CI2616:CI2815)</f>
        <v>0</v>
      </c>
      <c r="CJ2816" s="12">
        <f t="shared" ref="CJ2816" si="1105">SUM(CJ2616:CJ2815)</f>
        <v>0</v>
      </c>
      <c r="CK2816" s="12">
        <f t="shared" ref="CK2816" si="1106">SUM(CK2616:CK2815)</f>
        <v>0</v>
      </c>
      <c r="CL2816" s="12">
        <f t="shared" ref="CL2816" si="1107">SUM(CL2616:CL2815)</f>
        <v>0</v>
      </c>
    </row>
    <row r="2817" spans="1:43" x14ac:dyDescent="0.3">
      <c r="A2817" s="1" t="s">
        <v>56</v>
      </c>
      <c r="B2817" s="7">
        <v>40764</v>
      </c>
      <c r="C2817" s="1">
        <v>11</v>
      </c>
      <c r="D2817" s="1">
        <v>83</v>
      </c>
      <c r="E2817" s="1">
        <v>1</v>
      </c>
      <c r="F2817" s="1">
        <v>1</v>
      </c>
      <c r="AO2817" s="1">
        <v>1</v>
      </c>
      <c r="AQ2817" s="1">
        <v>1</v>
      </c>
    </row>
    <row r="2818" spans="1:43" x14ac:dyDescent="0.3">
      <c r="A2818" s="1" t="s">
        <v>56</v>
      </c>
      <c r="B2818" s="7">
        <v>40764</v>
      </c>
      <c r="C2818" s="1">
        <v>11</v>
      </c>
      <c r="D2818" s="1">
        <v>83</v>
      </c>
      <c r="E2818" s="1">
        <v>1</v>
      </c>
      <c r="F2818" s="1">
        <v>2</v>
      </c>
    </row>
    <row r="2819" spans="1:43" x14ac:dyDescent="0.3">
      <c r="A2819" s="1" t="s">
        <v>56</v>
      </c>
      <c r="B2819" s="7">
        <v>40764</v>
      </c>
      <c r="C2819" s="1">
        <v>11</v>
      </c>
      <c r="D2819" s="1">
        <v>83</v>
      </c>
      <c r="E2819" s="1">
        <v>1</v>
      </c>
      <c r="F2819" s="1">
        <v>3</v>
      </c>
      <c r="J2819" s="1">
        <v>1</v>
      </c>
    </row>
    <row r="2820" spans="1:43" x14ac:dyDescent="0.3">
      <c r="A2820" s="1" t="s">
        <v>56</v>
      </c>
      <c r="B2820" s="7">
        <v>40764</v>
      </c>
      <c r="C2820" s="1">
        <v>11</v>
      </c>
      <c r="D2820" s="1">
        <v>83</v>
      </c>
      <c r="E2820" s="1">
        <v>1</v>
      </c>
      <c r="F2820" s="1">
        <v>4</v>
      </c>
      <c r="J2820" s="1">
        <v>1</v>
      </c>
    </row>
    <row r="2821" spans="1:43" x14ac:dyDescent="0.3">
      <c r="A2821" s="1" t="s">
        <v>56</v>
      </c>
      <c r="B2821" s="7">
        <v>40764</v>
      </c>
      <c r="C2821" s="1">
        <v>11</v>
      </c>
      <c r="D2821" s="1">
        <v>83</v>
      </c>
      <c r="E2821" s="1">
        <v>1</v>
      </c>
      <c r="F2821" s="1">
        <v>5</v>
      </c>
      <c r="J2821" s="1">
        <v>1</v>
      </c>
    </row>
    <row r="2822" spans="1:43" x14ac:dyDescent="0.3">
      <c r="A2822" s="1" t="s">
        <v>56</v>
      </c>
      <c r="B2822" s="7">
        <v>40764</v>
      </c>
      <c r="C2822" s="1">
        <v>11</v>
      </c>
      <c r="D2822" s="1">
        <v>83</v>
      </c>
      <c r="E2822" s="1">
        <v>1</v>
      </c>
      <c r="F2822" s="1">
        <v>6</v>
      </c>
      <c r="J2822" s="1">
        <v>1</v>
      </c>
    </row>
    <row r="2823" spans="1:43" x14ac:dyDescent="0.3">
      <c r="A2823" s="1" t="s">
        <v>56</v>
      </c>
      <c r="B2823" s="7">
        <v>40764</v>
      </c>
      <c r="C2823" s="1">
        <v>11</v>
      </c>
      <c r="D2823" s="1">
        <v>83</v>
      </c>
      <c r="E2823" s="1">
        <v>1</v>
      </c>
      <c r="F2823" s="1">
        <v>7</v>
      </c>
    </row>
    <row r="2824" spans="1:43" x14ac:dyDescent="0.3">
      <c r="A2824" s="1" t="s">
        <v>56</v>
      </c>
      <c r="B2824" s="7">
        <v>40764</v>
      </c>
      <c r="C2824" s="1">
        <v>11</v>
      </c>
      <c r="D2824" s="1">
        <v>83</v>
      </c>
      <c r="E2824" s="1">
        <v>1</v>
      </c>
      <c r="F2824" s="1">
        <v>8</v>
      </c>
      <c r="J2824" s="1">
        <v>1</v>
      </c>
      <c r="AQ2824" s="1">
        <v>1</v>
      </c>
    </row>
    <row r="2825" spans="1:43" x14ac:dyDescent="0.3">
      <c r="A2825" s="1" t="s">
        <v>56</v>
      </c>
      <c r="B2825" s="7">
        <v>40764</v>
      </c>
      <c r="C2825" s="1">
        <v>11</v>
      </c>
      <c r="D2825" s="1">
        <v>83</v>
      </c>
      <c r="E2825" s="1">
        <v>1</v>
      </c>
      <c r="F2825" s="1">
        <v>9</v>
      </c>
      <c r="J2825" s="1">
        <v>1</v>
      </c>
    </row>
    <row r="2826" spans="1:43" x14ac:dyDescent="0.3">
      <c r="A2826" s="1" t="s">
        <v>56</v>
      </c>
      <c r="B2826" s="7">
        <v>40764</v>
      </c>
      <c r="C2826" s="1">
        <v>11</v>
      </c>
      <c r="D2826" s="1">
        <v>83</v>
      </c>
      <c r="E2826" s="1">
        <v>1</v>
      </c>
      <c r="F2826" s="1">
        <v>10</v>
      </c>
    </row>
    <row r="2827" spans="1:43" x14ac:dyDescent="0.3">
      <c r="A2827" s="1" t="s">
        <v>56</v>
      </c>
      <c r="B2827" s="7">
        <v>40764</v>
      </c>
      <c r="C2827" s="1">
        <v>11</v>
      </c>
      <c r="D2827" s="1">
        <v>83</v>
      </c>
      <c r="E2827" s="1">
        <v>1</v>
      </c>
      <c r="F2827" s="1">
        <v>11</v>
      </c>
      <c r="AQ2827" s="1">
        <v>1</v>
      </c>
    </row>
    <row r="2828" spans="1:43" x14ac:dyDescent="0.3">
      <c r="A2828" s="1" t="s">
        <v>56</v>
      </c>
      <c r="B2828" s="7">
        <v>40764</v>
      </c>
      <c r="C2828" s="1">
        <v>11</v>
      </c>
      <c r="D2828" s="1">
        <v>83</v>
      </c>
      <c r="E2828" s="1">
        <v>1</v>
      </c>
      <c r="F2828" s="1">
        <v>12</v>
      </c>
      <c r="J2828" s="1">
        <v>1</v>
      </c>
    </row>
    <row r="2829" spans="1:43" x14ac:dyDescent="0.3">
      <c r="A2829" s="1" t="s">
        <v>56</v>
      </c>
      <c r="B2829" s="7">
        <v>40764</v>
      </c>
      <c r="C2829" s="1">
        <v>11</v>
      </c>
      <c r="D2829" s="1">
        <v>83</v>
      </c>
      <c r="E2829" s="1">
        <v>1</v>
      </c>
      <c r="F2829" s="1">
        <v>13</v>
      </c>
    </row>
    <row r="2830" spans="1:43" x14ac:dyDescent="0.3">
      <c r="A2830" s="1" t="s">
        <v>56</v>
      </c>
      <c r="B2830" s="7">
        <v>40764</v>
      </c>
      <c r="C2830" s="1">
        <v>11</v>
      </c>
      <c r="D2830" s="1">
        <v>83</v>
      </c>
      <c r="E2830" s="1">
        <v>1</v>
      </c>
      <c r="F2830" s="1">
        <v>14</v>
      </c>
      <c r="J2830" s="1">
        <v>1</v>
      </c>
    </row>
    <row r="2831" spans="1:43" x14ac:dyDescent="0.3">
      <c r="A2831" s="1" t="s">
        <v>56</v>
      </c>
      <c r="B2831" s="7">
        <v>40764</v>
      </c>
      <c r="C2831" s="1">
        <v>11</v>
      </c>
      <c r="D2831" s="1">
        <v>83</v>
      </c>
      <c r="E2831" s="1">
        <v>1</v>
      </c>
      <c r="F2831" s="1">
        <v>15</v>
      </c>
      <c r="J2831" s="1">
        <v>1</v>
      </c>
    </row>
    <row r="2832" spans="1:43" x14ac:dyDescent="0.3">
      <c r="A2832" s="1" t="s">
        <v>56</v>
      </c>
      <c r="B2832" s="7">
        <v>40764</v>
      </c>
      <c r="C2832" s="1">
        <v>11</v>
      </c>
      <c r="D2832" s="1">
        <v>83</v>
      </c>
      <c r="E2832" s="1">
        <v>1</v>
      </c>
      <c r="F2832" s="1">
        <v>16</v>
      </c>
      <c r="J2832" s="3">
        <v>0</v>
      </c>
      <c r="K2832" s="3">
        <v>1</v>
      </c>
    </row>
    <row r="2833" spans="1:43" x14ac:dyDescent="0.3">
      <c r="A2833" s="1" t="s">
        <v>56</v>
      </c>
      <c r="B2833" s="7">
        <v>40764</v>
      </c>
      <c r="C2833" s="1">
        <v>11</v>
      </c>
      <c r="D2833" s="1">
        <v>83</v>
      </c>
      <c r="E2833" s="1">
        <v>1</v>
      </c>
      <c r="F2833" s="1">
        <v>17</v>
      </c>
      <c r="J2833" s="1">
        <v>1</v>
      </c>
    </row>
    <row r="2834" spans="1:43" x14ac:dyDescent="0.3">
      <c r="A2834" s="1" t="s">
        <v>56</v>
      </c>
      <c r="B2834" s="7">
        <v>40764</v>
      </c>
      <c r="C2834" s="1">
        <v>11</v>
      </c>
      <c r="D2834" s="1">
        <v>83</v>
      </c>
      <c r="E2834" s="1">
        <v>1</v>
      </c>
      <c r="F2834" s="1">
        <v>18</v>
      </c>
      <c r="J2834" s="1">
        <v>1</v>
      </c>
    </row>
    <row r="2835" spans="1:43" x14ac:dyDescent="0.3">
      <c r="A2835" s="1" t="s">
        <v>56</v>
      </c>
      <c r="B2835" s="7">
        <v>40764</v>
      </c>
      <c r="C2835" s="1">
        <v>11</v>
      </c>
      <c r="D2835" s="1">
        <v>83</v>
      </c>
      <c r="E2835" s="1">
        <v>1</v>
      </c>
      <c r="F2835" s="1">
        <v>19</v>
      </c>
      <c r="J2835" s="1">
        <v>1</v>
      </c>
      <c r="L2835" s="1">
        <v>1</v>
      </c>
    </row>
    <row r="2836" spans="1:43" x14ac:dyDescent="0.3">
      <c r="A2836" s="1" t="s">
        <v>56</v>
      </c>
      <c r="B2836" s="7">
        <v>40764</v>
      </c>
      <c r="C2836" s="1">
        <v>11</v>
      </c>
      <c r="D2836" s="1">
        <v>83</v>
      </c>
      <c r="E2836" s="1">
        <v>1</v>
      </c>
      <c r="F2836" s="1">
        <v>20</v>
      </c>
      <c r="J2836" s="1">
        <v>1</v>
      </c>
      <c r="AO2836" s="1">
        <v>1</v>
      </c>
    </row>
    <row r="2837" spans="1:43" x14ac:dyDescent="0.3">
      <c r="A2837" s="1" t="s">
        <v>56</v>
      </c>
      <c r="B2837" s="7">
        <v>40764</v>
      </c>
      <c r="C2837" s="1">
        <v>11</v>
      </c>
      <c r="D2837" s="1">
        <v>83</v>
      </c>
      <c r="E2837" s="1">
        <v>1</v>
      </c>
      <c r="F2837" s="1">
        <v>21</v>
      </c>
    </row>
    <row r="2838" spans="1:43" x14ac:dyDescent="0.3">
      <c r="A2838" s="1" t="s">
        <v>56</v>
      </c>
      <c r="B2838" s="7">
        <v>40764</v>
      </c>
      <c r="C2838" s="1">
        <v>11</v>
      </c>
      <c r="D2838" s="1">
        <v>83</v>
      </c>
      <c r="E2838" s="1">
        <v>1</v>
      </c>
      <c r="F2838" s="1">
        <v>22</v>
      </c>
    </row>
    <row r="2839" spans="1:43" x14ac:dyDescent="0.3">
      <c r="A2839" s="1" t="s">
        <v>56</v>
      </c>
      <c r="B2839" s="7">
        <v>40764</v>
      </c>
      <c r="C2839" s="1">
        <v>11</v>
      </c>
      <c r="D2839" s="1">
        <v>83</v>
      </c>
      <c r="E2839" s="1">
        <v>1</v>
      </c>
      <c r="F2839" s="1">
        <v>23</v>
      </c>
      <c r="AO2839" s="1">
        <v>1</v>
      </c>
    </row>
    <row r="2840" spans="1:43" x14ac:dyDescent="0.3">
      <c r="A2840" s="1" t="s">
        <v>56</v>
      </c>
      <c r="B2840" s="7">
        <v>40764</v>
      </c>
      <c r="C2840" s="1">
        <v>11</v>
      </c>
      <c r="D2840" s="1">
        <v>83</v>
      </c>
      <c r="E2840" s="1">
        <v>1</v>
      </c>
      <c r="F2840" s="1">
        <v>24</v>
      </c>
      <c r="J2840" s="3">
        <v>0</v>
      </c>
      <c r="K2840" s="3">
        <v>1</v>
      </c>
    </row>
    <row r="2841" spans="1:43" x14ac:dyDescent="0.3">
      <c r="A2841" s="1" t="s">
        <v>56</v>
      </c>
      <c r="B2841" s="7">
        <v>40764</v>
      </c>
      <c r="C2841" s="1">
        <v>11</v>
      </c>
      <c r="D2841" s="1">
        <v>83</v>
      </c>
      <c r="E2841" s="1">
        <v>1</v>
      </c>
      <c r="F2841" s="1">
        <v>25</v>
      </c>
      <c r="J2841" s="1">
        <v>1</v>
      </c>
      <c r="L2841" s="1">
        <v>1</v>
      </c>
    </row>
    <row r="2842" spans="1:43" x14ac:dyDescent="0.3">
      <c r="A2842" s="1" t="s">
        <v>56</v>
      </c>
      <c r="B2842" s="7">
        <v>40764</v>
      </c>
      <c r="C2842" s="1">
        <v>11</v>
      </c>
      <c r="D2842" s="1">
        <v>83</v>
      </c>
      <c r="E2842" s="1">
        <v>1</v>
      </c>
      <c r="F2842" s="1">
        <v>26</v>
      </c>
      <c r="AQ2842" s="1">
        <v>1</v>
      </c>
    </row>
    <row r="2843" spans="1:43" x14ac:dyDescent="0.3">
      <c r="A2843" s="1" t="s">
        <v>56</v>
      </c>
      <c r="B2843" s="7">
        <v>40764</v>
      </c>
      <c r="C2843" s="1">
        <v>11</v>
      </c>
      <c r="D2843" s="1">
        <v>83</v>
      </c>
      <c r="E2843" s="1">
        <v>1</v>
      </c>
      <c r="F2843" s="1">
        <v>27</v>
      </c>
      <c r="J2843" s="1">
        <v>1</v>
      </c>
    </row>
    <row r="2844" spans="1:43" x14ac:dyDescent="0.3">
      <c r="A2844" s="1" t="s">
        <v>56</v>
      </c>
      <c r="B2844" s="7">
        <v>40764</v>
      </c>
      <c r="C2844" s="1">
        <v>11</v>
      </c>
      <c r="D2844" s="1">
        <v>83</v>
      </c>
      <c r="E2844" s="1">
        <v>1</v>
      </c>
      <c r="F2844" s="1">
        <v>28</v>
      </c>
      <c r="I2844" s="1">
        <v>1</v>
      </c>
    </row>
    <row r="2845" spans="1:43" x14ac:dyDescent="0.3">
      <c r="A2845" s="1" t="s">
        <v>56</v>
      </c>
      <c r="B2845" s="7">
        <v>40764</v>
      </c>
      <c r="C2845" s="1">
        <v>11</v>
      </c>
      <c r="D2845" s="1">
        <v>83</v>
      </c>
      <c r="E2845" s="1">
        <v>1</v>
      </c>
      <c r="F2845" s="1">
        <v>29</v>
      </c>
      <c r="J2845" s="1">
        <v>1</v>
      </c>
    </row>
    <row r="2846" spans="1:43" x14ac:dyDescent="0.3">
      <c r="A2846" s="1" t="s">
        <v>56</v>
      </c>
      <c r="B2846" s="7">
        <v>40764</v>
      </c>
      <c r="C2846" s="1">
        <v>11</v>
      </c>
      <c r="D2846" s="1">
        <v>83</v>
      </c>
      <c r="E2846" s="1">
        <v>1</v>
      </c>
      <c r="F2846" s="1">
        <v>30</v>
      </c>
      <c r="J2846" s="1">
        <v>1</v>
      </c>
    </row>
    <row r="2847" spans="1:43" x14ac:dyDescent="0.3">
      <c r="A2847" s="1" t="s">
        <v>56</v>
      </c>
      <c r="B2847" s="7">
        <v>40764</v>
      </c>
      <c r="C2847" s="1">
        <v>11</v>
      </c>
      <c r="D2847" s="1">
        <v>83</v>
      </c>
      <c r="E2847" s="1">
        <v>1</v>
      </c>
      <c r="F2847" s="1">
        <v>31</v>
      </c>
      <c r="N2847" s="1">
        <v>1</v>
      </c>
    </row>
    <row r="2848" spans="1:43" x14ac:dyDescent="0.3">
      <c r="A2848" s="1" t="s">
        <v>56</v>
      </c>
      <c r="B2848" s="7">
        <v>40764</v>
      </c>
      <c r="C2848" s="1">
        <v>11</v>
      </c>
      <c r="D2848" s="1">
        <v>83</v>
      </c>
      <c r="E2848" s="1">
        <v>1</v>
      </c>
      <c r="F2848" s="1">
        <v>32</v>
      </c>
      <c r="J2848" s="1">
        <v>1</v>
      </c>
      <c r="N2848" s="1">
        <v>1</v>
      </c>
    </row>
    <row r="2849" spans="1:44" x14ac:dyDescent="0.3">
      <c r="A2849" s="1" t="s">
        <v>56</v>
      </c>
      <c r="B2849" s="7">
        <v>40764</v>
      </c>
      <c r="C2849" s="1">
        <v>11</v>
      </c>
      <c r="D2849" s="1">
        <v>83</v>
      </c>
      <c r="E2849" s="1">
        <v>1</v>
      </c>
      <c r="F2849" s="1">
        <v>33</v>
      </c>
      <c r="J2849" s="1">
        <v>1</v>
      </c>
      <c r="AQ2849" s="1">
        <v>1</v>
      </c>
    </row>
    <row r="2850" spans="1:44" x14ac:dyDescent="0.3">
      <c r="A2850" s="1" t="s">
        <v>56</v>
      </c>
      <c r="B2850" s="7">
        <v>40764</v>
      </c>
      <c r="C2850" s="1">
        <v>11</v>
      </c>
      <c r="D2850" s="1">
        <v>83</v>
      </c>
      <c r="E2850" s="1">
        <v>1</v>
      </c>
      <c r="F2850" s="1">
        <v>34</v>
      </c>
      <c r="L2850" s="1">
        <v>1</v>
      </c>
    </row>
    <row r="2851" spans="1:44" x14ac:dyDescent="0.3">
      <c r="A2851" s="1" t="s">
        <v>56</v>
      </c>
      <c r="B2851" s="7">
        <v>40764</v>
      </c>
      <c r="C2851" s="1">
        <v>11</v>
      </c>
      <c r="D2851" s="1">
        <v>83</v>
      </c>
      <c r="E2851" s="1">
        <v>1</v>
      </c>
      <c r="F2851" s="1">
        <v>35</v>
      </c>
      <c r="AQ2851" s="1">
        <v>1</v>
      </c>
    </row>
    <row r="2852" spans="1:44" x14ac:dyDescent="0.3">
      <c r="A2852" s="1" t="s">
        <v>56</v>
      </c>
      <c r="B2852" s="7">
        <v>40764</v>
      </c>
      <c r="C2852" s="1">
        <v>11</v>
      </c>
      <c r="D2852" s="1">
        <v>83</v>
      </c>
      <c r="E2852" s="1">
        <v>1</v>
      </c>
      <c r="F2852" s="1">
        <v>36</v>
      </c>
      <c r="L2852" s="1">
        <v>1</v>
      </c>
      <c r="AQ2852" s="3">
        <v>0</v>
      </c>
      <c r="AR2852" s="3">
        <v>1</v>
      </c>
    </row>
    <row r="2853" spans="1:44" x14ac:dyDescent="0.3">
      <c r="A2853" s="1" t="s">
        <v>56</v>
      </c>
      <c r="B2853" s="7">
        <v>40764</v>
      </c>
      <c r="C2853" s="1">
        <v>11</v>
      </c>
      <c r="D2853" s="1">
        <v>83</v>
      </c>
      <c r="E2853" s="1">
        <v>1</v>
      </c>
      <c r="F2853" s="1">
        <v>37</v>
      </c>
      <c r="J2853" s="1">
        <v>1</v>
      </c>
    </row>
    <row r="2854" spans="1:44" x14ac:dyDescent="0.3">
      <c r="A2854" s="1" t="s">
        <v>56</v>
      </c>
      <c r="B2854" s="7">
        <v>40764</v>
      </c>
      <c r="C2854" s="1">
        <v>11</v>
      </c>
      <c r="D2854" s="1">
        <v>83</v>
      </c>
      <c r="E2854" s="1">
        <v>1</v>
      </c>
      <c r="F2854" s="1">
        <v>38</v>
      </c>
      <c r="I2854" s="1">
        <v>1</v>
      </c>
      <c r="AQ2854" s="8">
        <v>1</v>
      </c>
      <c r="AR2854" s="8"/>
    </row>
    <row r="2855" spans="1:44" x14ac:dyDescent="0.3">
      <c r="A2855" s="1" t="s">
        <v>56</v>
      </c>
      <c r="B2855" s="7">
        <v>40764</v>
      </c>
      <c r="C2855" s="1">
        <v>11</v>
      </c>
      <c r="D2855" s="1">
        <v>83</v>
      </c>
      <c r="E2855" s="1">
        <v>1</v>
      </c>
      <c r="F2855" s="1">
        <v>39</v>
      </c>
      <c r="J2855" s="1">
        <v>1</v>
      </c>
    </row>
    <row r="2856" spans="1:44" x14ac:dyDescent="0.3">
      <c r="A2856" s="1" t="s">
        <v>56</v>
      </c>
      <c r="B2856" s="7">
        <v>40764</v>
      </c>
      <c r="C2856" s="1">
        <v>11</v>
      </c>
      <c r="D2856" s="1">
        <v>83</v>
      </c>
      <c r="E2856" s="1">
        <v>1</v>
      </c>
      <c r="F2856" s="1">
        <v>40</v>
      </c>
    </row>
    <row r="2857" spans="1:44" x14ac:dyDescent="0.3">
      <c r="A2857" s="1" t="s">
        <v>56</v>
      </c>
      <c r="B2857" s="7">
        <v>40764</v>
      </c>
      <c r="C2857" s="1">
        <v>11</v>
      </c>
      <c r="D2857" s="1">
        <v>83</v>
      </c>
      <c r="E2857" s="1">
        <v>1</v>
      </c>
      <c r="F2857" s="1">
        <v>41</v>
      </c>
      <c r="N2857" s="1">
        <v>1</v>
      </c>
      <c r="AQ2857" s="1">
        <v>1</v>
      </c>
    </row>
    <row r="2858" spans="1:44" x14ac:dyDescent="0.3">
      <c r="A2858" s="1" t="s">
        <v>56</v>
      </c>
      <c r="B2858" s="7">
        <v>40764</v>
      </c>
      <c r="C2858" s="1">
        <v>11</v>
      </c>
      <c r="D2858" s="1">
        <v>83</v>
      </c>
      <c r="E2858" s="1">
        <v>1</v>
      </c>
      <c r="F2858" s="1">
        <v>42</v>
      </c>
      <c r="AO2858" s="1">
        <v>1</v>
      </c>
    </row>
    <row r="2859" spans="1:44" x14ac:dyDescent="0.3">
      <c r="A2859" s="1" t="s">
        <v>56</v>
      </c>
      <c r="B2859" s="7">
        <v>40764</v>
      </c>
      <c r="C2859" s="1">
        <v>11</v>
      </c>
      <c r="D2859" s="1">
        <v>83</v>
      </c>
      <c r="E2859" s="1">
        <v>1</v>
      </c>
      <c r="F2859" s="1">
        <v>43</v>
      </c>
      <c r="AO2859" s="1">
        <v>1</v>
      </c>
      <c r="AQ2859" s="1">
        <v>1</v>
      </c>
    </row>
    <row r="2860" spans="1:44" x14ac:dyDescent="0.3">
      <c r="A2860" s="1" t="s">
        <v>56</v>
      </c>
      <c r="B2860" s="7">
        <v>40764</v>
      </c>
      <c r="C2860" s="1">
        <v>11</v>
      </c>
      <c r="D2860" s="1">
        <v>83</v>
      </c>
      <c r="E2860" s="1">
        <v>1</v>
      </c>
      <c r="F2860" s="1">
        <v>44</v>
      </c>
      <c r="J2860" s="1">
        <v>1</v>
      </c>
      <c r="AO2860" s="1">
        <v>1</v>
      </c>
    </row>
    <row r="2861" spans="1:44" x14ac:dyDescent="0.3">
      <c r="A2861" s="1" t="s">
        <v>56</v>
      </c>
      <c r="B2861" s="7">
        <v>40764</v>
      </c>
      <c r="C2861" s="1">
        <v>11</v>
      </c>
      <c r="D2861" s="1">
        <v>83</v>
      </c>
      <c r="E2861" s="1">
        <v>1</v>
      </c>
      <c r="F2861" s="1">
        <v>45</v>
      </c>
      <c r="I2861" s="1">
        <v>1</v>
      </c>
    </row>
    <row r="2862" spans="1:44" x14ac:dyDescent="0.3">
      <c r="A2862" s="1" t="s">
        <v>56</v>
      </c>
      <c r="B2862" s="7">
        <v>40764</v>
      </c>
      <c r="C2862" s="1">
        <v>11</v>
      </c>
      <c r="D2862" s="1">
        <v>83</v>
      </c>
      <c r="E2862" s="1">
        <v>1</v>
      </c>
      <c r="F2862" s="1">
        <v>46</v>
      </c>
      <c r="AQ2862" s="1">
        <v>1</v>
      </c>
    </row>
    <row r="2863" spans="1:44" x14ac:dyDescent="0.3">
      <c r="A2863" s="1" t="s">
        <v>56</v>
      </c>
      <c r="B2863" s="7">
        <v>40764</v>
      </c>
      <c r="C2863" s="1">
        <v>11</v>
      </c>
      <c r="D2863" s="1">
        <v>83</v>
      </c>
      <c r="E2863" s="1">
        <v>1</v>
      </c>
      <c r="F2863" s="1">
        <v>47</v>
      </c>
      <c r="J2863" s="1">
        <v>1</v>
      </c>
    </row>
    <row r="2864" spans="1:44" x14ac:dyDescent="0.3">
      <c r="A2864" s="1" t="s">
        <v>56</v>
      </c>
      <c r="B2864" s="7">
        <v>40764</v>
      </c>
      <c r="C2864" s="1">
        <v>11</v>
      </c>
      <c r="D2864" s="1">
        <v>83</v>
      </c>
      <c r="E2864" s="1">
        <v>1</v>
      </c>
      <c r="F2864" s="1">
        <v>48</v>
      </c>
      <c r="J2864" s="1">
        <v>1</v>
      </c>
    </row>
    <row r="2865" spans="1:44" x14ac:dyDescent="0.3">
      <c r="A2865" s="1" t="s">
        <v>56</v>
      </c>
      <c r="B2865" s="7">
        <v>40764</v>
      </c>
      <c r="C2865" s="1">
        <v>11</v>
      </c>
      <c r="D2865" s="1">
        <v>83</v>
      </c>
      <c r="E2865" s="1">
        <v>1</v>
      </c>
      <c r="F2865" s="1">
        <v>49</v>
      </c>
      <c r="J2865" s="3">
        <v>0</v>
      </c>
      <c r="K2865" s="3">
        <v>1</v>
      </c>
    </row>
    <row r="2866" spans="1:44" x14ac:dyDescent="0.3">
      <c r="A2866" s="1" t="s">
        <v>56</v>
      </c>
      <c r="B2866" s="7">
        <v>40764</v>
      </c>
      <c r="C2866" s="1">
        <v>11</v>
      </c>
      <c r="D2866" s="1">
        <v>83</v>
      </c>
      <c r="E2866" s="1">
        <v>1</v>
      </c>
      <c r="F2866" s="1">
        <v>50</v>
      </c>
      <c r="J2866" s="1">
        <v>1</v>
      </c>
    </row>
    <row r="2867" spans="1:44" x14ac:dyDescent="0.3">
      <c r="A2867" s="1" t="s">
        <v>56</v>
      </c>
      <c r="B2867" s="7">
        <v>40764</v>
      </c>
      <c r="C2867" s="1">
        <v>11</v>
      </c>
      <c r="D2867" s="1">
        <v>83</v>
      </c>
      <c r="E2867" s="1">
        <v>1</v>
      </c>
      <c r="F2867" s="1">
        <v>51</v>
      </c>
      <c r="L2867" s="1">
        <v>1</v>
      </c>
    </row>
    <row r="2868" spans="1:44" x14ac:dyDescent="0.3">
      <c r="A2868" s="1" t="s">
        <v>56</v>
      </c>
      <c r="B2868" s="7">
        <v>40764</v>
      </c>
      <c r="C2868" s="1">
        <v>11</v>
      </c>
      <c r="D2868" s="1">
        <v>83</v>
      </c>
      <c r="E2868" s="1">
        <v>1</v>
      </c>
      <c r="F2868" s="1">
        <v>52</v>
      </c>
      <c r="L2868" s="8">
        <v>1</v>
      </c>
      <c r="M2868" s="8"/>
      <c r="AQ2868" s="1">
        <v>1</v>
      </c>
    </row>
    <row r="2869" spans="1:44" x14ac:dyDescent="0.3">
      <c r="A2869" s="1" t="s">
        <v>56</v>
      </c>
      <c r="B2869" s="7">
        <v>40764</v>
      </c>
      <c r="C2869" s="1">
        <v>11</v>
      </c>
      <c r="D2869" s="1">
        <v>83</v>
      </c>
      <c r="E2869" s="1">
        <v>1</v>
      </c>
      <c r="F2869" s="1">
        <v>53</v>
      </c>
      <c r="J2869" s="1">
        <v>1</v>
      </c>
      <c r="AQ2869" s="3">
        <v>0</v>
      </c>
      <c r="AR2869" s="3">
        <v>1</v>
      </c>
    </row>
    <row r="2870" spans="1:44" x14ac:dyDescent="0.3">
      <c r="A2870" s="1" t="s">
        <v>56</v>
      </c>
      <c r="B2870" s="7">
        <v>40764</v>
      </c>
      <c r="C2870" s="1">
        <v>11</v>
      </c>
      <c r="D2870" s="1">
        <v>83</v>
      </c>
      <c r="E2870" s="1">
        <v>1</v>
      </c>
      <c r="F2870" s="1">
        <v>54</v>
      </c>
      <c r="J2870" s="1">
        <v>1</v>
      </c>
      <c r="AO2870" s="1">
        <v>1</v>
      </c>
    </row>
    <row r="2871" spans="1:44" x14ac:dyDescent="0.3">
      <c r="A2871" s="1" t="s">
        <v>56</v>
      </c>
      <c r="B2871" s="7">
        <v>40764</v>
      </c>
      <c r="C2871" s="1">
        <v>11</v>
      </c>
      <c r="D2871" s="1">
        <v>83</v>
      </c>
      <c r="E2871" s="1">
        <v>1</v>
      </c>
      <c r="F2871" s="1">
        <v>55</v>
      </c>
      <c r="L2871" s="8">
        <v>1</v>
      </c>
      <c r="M2871" s="8"/>
      <c r="AO2871" s="3">
        <v>0</v>
      </c>
      <c r="AP2871" s="3">
        <v>1</v>
      </c>
    </row>
    <row r="2872" spans="1:44" x14ac:dyDescent="0.3">
      <c r="A2872" s="1" t="s">
        <v>56</v>
      </c>
      <c r="B2872" s="7">
        <v>40764</v>
      </c>
      <c r="C2872" s="1">
        <v>11</v>
      </c>
      <c r="D2872" s="1">
        <v>83</v>
      </c>
      <c r="E2872" s="1">
        <v>1</v>
      </c>
      <c r="F2872" s="1">
        <v>56</v>
      </c>
      <c r="AO2872" s="3">
        <v>0</v>
      </c>
      <c r="AP2872" s="3">
        <v>1</v>
      </c>
    </row>
    <row r="2873" spans="1:44" x14ac:dyDescent="0.3">
      <c r="A2873" s="1" t="s">
        <v>56</v>
      </c>
      <c r="B2873" s="7">
        <v>40764</v>
      </c>
      <c r="C2873" s="1">
        <v>11</v>
      </c>
      <c r="D2873" s="1">
        <v>83</v>
      </c>
      <c r="E2873" s="1">
        <v>1</v>
      </c>
      <c r="F2873" s="1">
        <v>57</v>
      </c>
      <c r="J2873" s="3">
        <v>0</v>
      </c>
      <c r="K2873" s="3">
        <v>1</v>
      </c>
    </row>
    <row r="2874" spans="1:44" x14ac:dyDescent="0.3">
      <c r="A2874" s="1" t="s">
        <v>56</v>
      </c>
      <c r="B2874" s="7">
        <v>40764</v>
      </c>
      <c r="C2874" s="1">
        <v>11</v>
      </c>
      <c r="D2874" s="1">
        <v>83</v>
      </c>
      <c r="E2874" s="1">
        <v>1</v>
      </c>
      <c r="F2874" s="1">
        <v>58</v>
      </c>
      <c r="J2874" s="3">
        <v>0</v>
      </c>
      <c r="K2874" s="3">
        <v>1</v>
      </c>
      <c r="AQ2874" s="3">
        <v>0</v>
      </c>
      <c r="AR2874" s="3">
        <v>1</v>
      </c>
    </row>
    <row r="2875" spans="1:44" x14ac:dyDescent="0.3">
      <c r="A2875" s="1" t="s">
        <v>56</v>
      </c>
      <c r="B2875" s="7">
        <v>40764</v>
      </c>
      <c r="C2875" s="1">
        <v>11</v>
      </c>
      <c r="D2875" s="1">
        <v>83</v>
      </c>
      <c r="E2875" s="1">
        <v>1</v>
      </c>
      <c r="F2875" s="1">
        <v>59</v>
      </c>
      <c r="J2875" s="3">
        <v>0</v>
      </c>
      <c r="K2875" s="3">
        <v>1</v>
      </c>
      <c r="AQ2875" s="1">
        <v>1</v>
      </c>
    </row>
    <row r="2876" spans="1:44" x14ac:dyDescent="0.3">
      <c r="A2876" s="1" t="s">
        <v>56</v>
      </c>
      <c r="B2876" s="7">
        <v>40764</v>
      </c>
      <c r="C2876" s="1">
        <v>11</v>
      </c>
      <c r="D2876" s="1">
        <v>83</v>
      </c>
      <c r="E2876" s="1">
        <v>1</v>
      </c>
      <c r="F2876" s="1">
        <v>60</v>
      </c>
      <c r="J2876" s="1">
        <v>1</v>
      </c>
      <c r="L2876" s="8">
        <v>1</v>
      </c>
      <c r="M2876" s="8"/>
    </row>
    <row r="2877" spans="1:44" x14ac:dyDescent="0.3">
      <c r="A2877" s="1" t="s">
        <v>56</v>
      </c>
      <c r="B2877" s="7">
        <v>40764</v>
      </c>
      <c r="C2877" s="1">
        <v>11</v>
      </c>
      <c r="D2877" s="1">
        <v>83</v>
      </c>
      <c r="E2877" s="1">
        <v>1</v>
      </c>
      <c r="F2877" s="1">
        <v>61</v>
      </c>
      <c r="H2877" s="1">
        <v>1</v>
      </c>
      <c r="AQ2877" s="1">
        <v>1</v>
      </c>
    </row>
    <row r="2878" spans="1:44" x14ac:dyDescent="0.3">
      <c r="A2878" s="1" t="s">
        <v>56</v>
      </c>
      <c r="B2878" s="7">
        <v>40764</v>
      </c>
      <c r="C2878" s="1">
        <v>11</v>
      </c>
      <c r="D2878" s="1">
        <v>83</v>
      </c>
      <c r="E2878" s="1">
        <v>1</v>
      </c>
      <c r="F2878" s="1">
        <v>62</v>
      </c>
      <c r="L2878" s="1">
        <v>1</v>
      </c>
    </row>
    <row r="2879" spans="1:44" x14ac:dyDescent="0.3">
      <c r="A2879" s="1" t="s">
        <v>56</v>
      </c>
      <c r="B2879" s="7">
        <v>40764</v>
      </c>
      <c r="C2879" s="1">
        <v>11</v>
      </c>
      <c r="D2879" s="1">
        <v>83</v>
      </c>
      <c r="E2879" s="1">
        <v>1</v>
      </c>
      <c r="F2879" s="1">
        <v>63</v>
      </c>
      <c r="H2879" s="1">
        <v>1</v>
      </c>
      <c r="L2879" s="1">
        <v>1</v>
      </c>
    </row>
    <row r="2880" spans="1:44" x14ac:dyDescent="0.3">
      <c r="A2880" s="1" t="s">
        <v>56</v>
      </c>
      <c r="B2880" s="7">
        <v>40764</v>
      </c>
      <c r="C2880" s="1">
        <v>11</v>
      </c>
      <c r="D2880" s="1">
        <v>83</v>
      </c>
      <c r="E2880" s="1">
        <v>1</v>
      </c>
      <c r="F2880" s="1">
        <v>64</v>
      </c>
      <c r="L2880" s="8">
        <v>1</v>
      </c>
      <c r="M2880" s="8"/>
    </row>
    <row r="2881" spans="1:44" x14ac:dyDescent="0.3">
      <c r="A2881" s="1" t="s">
        <v>56</v>
      </c>
      <c r="B2881" s="7">
        <v>40764</v>
      </c>
      <c r="C2881" s="1">
        <v>11</v>
      </c>
      <c r="D2881" s="1">
        <v>83</v>
      </c>
      <c r="E2881" s="1">
        <v>1</v>
      </c>
      <c r="F2881" s="1">
        <v>65</v>
      </c>
      <c r="L2881" s="1">
        <v>1</v>
      </c>
      <c r="AQ2881" s="1">
        <v>1</v>
      </c>
    </row>
    <row r="2882" spans="1:44" x14ac:dyDescent="0.3">
      <c r="A2882" s="1" t="s">
        <v>56</v>
      </c>
      <c r="B2882" s="7">
        <v>40764</v>
      </c>
      <c r="C2882" s="1">
        <v>11</v>
      </c>
      <c r="D2882" s="1">
        <v>83</v>
      </c>
      <c r="E2882" s="1">
        <v>1</v>
      </c>
      <c r="F2882" s="1">
        <v>66</v>
      </c>
      <c r="AQ2882" s="3">
        <v>0</v>
      </c>
      <c r="AR2882" s="3">
        <v>1</v>
      </c>
    </row>
    <row r="2883" spans="1:44" x14ac:dyDescent="0.3">
      <c r="A2883" s="1" t="s">
        <v>56</v>
      </c>
      <c r="B2883" s="7">
        <v>40764</v>
      </c>
      <c r="C2883" s="1">
        <v>11</v>
      </c>
      <c r="D2883" s="1">
        <v>83</v>
      </c>
      <c r="E2883" s="1">
        <v>1</v>
      </c>
      <c r="F2883" s="1">
        <v>67</v>
      </c>
      <c r="J2883" s="1">
        <v>1</v>
      </c>
      <c r="AQ2883" s="1">
        <v>1</v>
      </c>
    </row>
    <row r="2884" spans="1:44" x14ac:dyDescent="0.3">
      <c r="A2884" s="1" t="s">
        <v>56</v>
      </c>
      <c r="B2884" s="7">
        <v>40764</v>
      </c>
      <c r="C2884" s="1">
        <v>11</v>
      </c>
      <c r="D2884" s="1">
        <v>83</v>
      </c>
      <c r="E2884" s="1">
        <v>1</v>
      </c>
      <c r="F2884" s="1">
        <v>68</v>
      </c>
      <c r="AQ2884" s="3">
        <v>0</v>
      </c>
      <c r="AR2884" s="3">
        <v>1</v>
      </c>
    </row>
    <row r="2885" spans="1:44" x14ac:dyDescent="0.3">
      <c r="A2885" s="1" t="s">
        <v>56</v>
      </c>
      <c r="B2885" s="7">
        <v>40764</v>
      </c>
      <c r="C2885" s="1">
        <v>11</v>
      </c>
      <c r="D2885" s="1">
        <v>83</v>
      </c>
      <c r="E2885" s="1">
        <v>1</v>
      </c>
      <c r="F2885" s="1">
        <v>69</v>
      </c>
      <c r="H2885" s="1">
        <v>1</v>
      </c>
      <c r="I2885" s="1">
        <v>1</v>
      </c>
      <c r="L2885" s="8">
        <v>1</v>
      </c>
      <c r="M2885" s="8"/>
    </row>
    <row r="2886" spans="1:44" x14ac:dyDescent="0.3">
      <c r="A2886" s="1" t="s">
        <v>56</v>
      </c>
      <c r="B2886" s="7">
        <v>40764</v>
      </c>
      <c r="C2886" s="1">
        <v>11</v>
      </c>
      <c r="D2886" s="1">
        <v>83</v>
      </c>
      <c r="E2886" s="1">
        <v>1</v>
      </c>
      <c r="F2886" s="1">
        <v>70</v>
      </c>
      <c r="H2886" s="1">
        <v>1</v>
      </c>
      <c r="I2886" s="1">
        <v>1</v>
      </c>
    </row>
    <row r="2887" spans="1:44" x14ac:dyDescent="0.3">
      <c r="A2887" s="1" t="s">
        <v>56</v>
      </c>
      <c r="B2887" s="7">
        <v>40764</v>
      </c>
      <c r="C2887" s="1">
        <v>11</v>
      </c>
      <c r="D2887" s="1">
        <v>83</v>
      </c>
      <c r="E2887" s="1">
        <v>1</v>
      </c>
      <c r="F2887" s="1">
        <v>71</v>
      </c>
      <c r="AO2887" s="1">
        <v>1</v>
      </c>
    </row>
    <row r="2888" spans="1:44" x14ac:dyDescent="0.3">
      <c r="A2888" s="1" t="s">
        <v>56</v>
      </c>
      <c r="B2888" s="7">
        <v>40764</v>
      </c>
      <c r="C2888" s="1">
        <v>11</v>
      </c>
      <c r="D2888" s="1">
        <v>83</v>
      </c>
      <c r="E2888" s="1">
        <v>1</v>
      </c>
      <c r="F2888" s="1">
        <v>72</v>
      </c>
      <c r="AQ2888" s="1">
        <v>1</v>
      </c>
    </row>
    <row r="2889" spans="1:44" x14ac:dyDescent="0.3">
      <c r="A2889" s="1" t="s">
        <v>56</v>
      </c>
      <c r="B2889" s="7">
        <v>40764</v>
      </c>
      <c r="C2889" s="1">
        <v>11</v>
      </c>
      <c r="D2889" s="1">
        <v>83</v>
      </c>
      <c r="E2889" s="1">
        <v>1</v>
      </c>
      <c r="F2889" s="1">
        <v>73</v>
      </c>
      <c r="L2889" s="1">
        <v>1</v>
      </c>
      <c r="AQ2889" s="3">
        <v>0</v>
      </c>
      <c r="AR2889" s="3">
        <v>1</v>
      </c>
    </row>
    <row r="2890" spans="1:44" x14ac:dyDescent="0.3">
      <c r="A2890" s="1" t="s">
        <v>56</v>
      </c>
      <c r="B2890" s="7">
        <v>40764</v>
      </c>
      <c r="C2890" s="1">
        <v>11</v>
      </c>
      <c r="D2890" s="1">
        <v>83</v>
      </c>
      <c r="E2890" s="1">
        <v>1</v>
      </c>
      <c r="F2890" s="1">
        <v>74</v>
      </c>
      <c r="L2890" s="1">
        <v>1</v>
      </c>
    </row>
    <row r="2891" spans="1:44" x14ac:dyDescent="0.3">
      <c r="A2891" s="1" t="s">
        <v>56</v>
      </c>
      <c r="B2891" s="7">
        <v>40764</v>
      </c>
      <c r="C2891" s="1">
        <v>11</v>
      </c>
      <c r="D2891" s="1">
        <v>83</v>
      </c>
      <c r="E2891" s="1">
        <v>1</v>
      </c>
      <c r="F2891" s="1">
        <v>75</v>
      </c>
      <c r="L2891" s="1">
        <v>1</v>
      </c>
      <c r="AO2891" s="3">
        <v>0</v>
      </c>
      <c r="AP2891" s="3">
        <v>1</v>
      </c>
    </row>
    <row r="2892" spans="1:44" x14ac:dyDescent="0.3">
      <c r="A2892" s="1" t="s">
        <v>56</v>
      </c>
      <c r="B2892" s="7">
        <v>40764</v>
      </c>
      <c r="C2892" s="1">
        <v>11</v>
      </c>
      <c r="D2892" s="1">
        <v>83</v>
      </c>
      <c r="E2892" s="1">
        <v>1</v>
      </c>
      <c r="F2892" s="1">
        <v>76</v>
      </c>
      <c r="AO2892" s="1">
        <v>1</v>
      </c>
      <c r="AQ2892" s="3">
        <v>0</v>
      </c>
      <c r="AR2892" s="3">
        <v>1</v>
      </c>
    </row>
    <row r="2893" spans="1:44" x14ac:dyDescent="0.3">
      <c r="A2893" s="1" t="s">
        <v>56</v>
      </c>
      <c r="B2893" s="7">
        <v>40764</v>
      </c>
      <c r="C2893" s="1">
        <v>11</v>
      </c>
      <c r="D2893" s="1">
        <v>83</v>
      </c>
      <c r="E2893" s="1">
        <v>1</v>
      </c>
      <c r="F2893" s="1">
        <v>77</v>
      </c>
      <c r="I2893" s="1">
        <v>1</v>
      </c>
      <c r="AQ2893" s="3">
        <v>0</v>
      </c>
      <c r="AR2893" s="3">
        <v>1</v>
      </c>
    </row>
    <row r="2894" spans="1:44" x14ac:dyDescent="0.3">
      <c r="A2894" s="1" t="s">
        <v>56</v>
      </c>
      <c r="B2894" s="7">
        <v>40764</v>
      </c>
      <c r="C2894" s="1">
        <v>11</v>
      </c>
      <c r="D2894" s="1">
        <v>83</v>
      </c>
      <c r="E2894" s="1">
        <v>1</v>
      </c>
      <c r="F2894" s="1">
        <v>78</v>
      </c>
      <c r="J2894" s="1">
        <v>1</v>
      </c>
    </row>
    <row r="2895" spans="1:44" x14ac:dyDescent="0.3">
      <c r="A2895" s="1" t="s">
        <v>56</v>
      </c>
      <c r="B2895" s="7">
        <v>40764</v>
      </c>
      <c r="C2895" s="1">
        <v>11</v>
      </c>
      <c r="D2895" s="1">
        <v>83</v>
      </c>
      <c r="E2895" s="1">
        <v>1</v>
      </c>
      <c r="F2895" s="1">
        <v>79</v>
      </c>
      <c r="V2895" s="8">
        <v>1</v>
      </c>
      <c r="AQ2895" s="1">
        <v>1</v>
      </c>
    </row>
    <row r="2896" spans="1:44" x14ac:dyDescent="0.3">
      <c r="A2896" s="1" t="s">
        <v>56</v>
      </c>
      <c r="B2896" s="7">
        <v>40764</v>
      </c>
      <c r="C2896" s="1">
        <v>11</v>
      </c>
      <c r="D2896" s="1">
        <v>83</v>
      </c>
      <c r="E2896" s="1">
        <v>1</v>
      </c>
      <c r="F2896" s="1">
        <v>80</v>
      </c>
      <c r="I2896" s="1">
        <v>1</v>
      </c>
      <c r="J2896" s="1">
        <v>1</v>
      </c>
      <c r="AO2896" s="1">
        <v>1</v>
      </c>
    </row>
    <row r="2897" spans="1:44" x14ac:dyDescent="0.3">
      <c r="A2897" s="1" t="s">
        <v>56</v>
      </c>
      <c r="B2897" s="7">
        <v>40764</v>
      </c>
      <c r="C2897" s="1">
        <v>11</v>
      </c>
      <c r="D2897" s="1">
        <v>83</v>
      </c>
      <c r="E2897" s="1">
        <v>1</v>
      </c>
      <c r="F2897" s="1">
        <v>81</v>
      </c>
      <c r="AQ2897" s="1">
        <v>1</v>
      </c>
    </row>
    <row r="2898" spans="1:44" x14ac:dyDescent="0.3">
      <c r="A2898" s="1" t="s">
        <v>56</v>
      </c>
      <c r="B2898" s="7">
        <v>40764</v>
      </c>
      <c r="C2898" s="1">
        <v>11</v>
      </c>
      <c r="D2898" s="1">
        <v>83</v>
      </c>
      <c r="E2898" s="1">
        <v>1</v>
      </c>
      <c r="F2898" s="1">
        <v>82</v>
      </c>
      <c r="L2898" s="1">
        <v>1</v>
      </c>
    </row>
    <row r="2899" spans="1:44" x14ac:dyDescent="0.3">
      <c r="A2899" s="1" t="s">
        <v>56</v>
      </c>
      <c r="B2899" s="7">
        <v>40764</v>
      </c>
      <c r="C2899" s="1">
        <v>11</v>
      </c>
      <c r="D2899" s="1">
        <v>83</v>
      </c>
      <c r="E2899" s="1">
        <v>1</v>
      </c>
      <c r="F2899" s="1">
        <v>83</v>
      </c>
      <c r="AO2899" s="1">
        <v>1</v>
      </c>
      <c r="AQ2899" s="1">
        <v>1</v>
      </c>
    </row>
    <row r="2900" spans="1:44" x14ac:dyDescent="0.3">
      <c r="A2900" s="1" t="s">
        <v>56</v>
      </c>
      <c r="B2900" s="7">
        <v>40764</v>
      </c>
      <c r="C2900" s="1">
        <v>11</v>
      </c>
      <c r="D2900" s="1">
        <v>83</v>
      </c>
      <c r="E2900" s="1">
        <v>1</v>
      </c>
      <c r="F2900" s="1">
        <v>84</v>
      </c>
      <c r="AQ2900" s="3">
        <v>0</v>
      </c>
      <c r="AR2900" s="3">
        <v>1</v>
      </c>
    </row>
    <row r="2901" spans="1:44" x14ac:dyDescent="0.3">
      <c r="A2901" s="1" t="s">
        <v>56</v>
      </c>
      <c r="B2901" s="7">
        <v>40764</v>
      </c>
      <c r="C2901" s="1">
        <v>11</v>
      </c>
      <c r="D2901" s="1">
        <v>83</v>
      </c>
      <c r="E2901" s="1">
        <v>1</v>
      </c>
      <c r="F2901" s="1">
        <v>85</v>
      </c>
      <c r="AO2901" s="1">
        <v>1</v>
      </c>
    </row>
    <row r="2902" spans="1:44" x14ac:dyDescent="0.3">
      <c r="A2902" s="1" t="s">
        <v>56</v>
      </c>
      <c r="B2902" s="7">
        <v>40764</v>
      </c>
      <c r="C2902" s="1">
        <v>11</v>
      </c>
      <c r="D2902" s="1">
        <v>83</v>
      </c>
      <c r="E2902" s="1">
        <v>1</v>
      </c>
      <c r="F2902" s="1">
        <v>86</v>
      </c>
      <c r="AQ2902" s="3">
        <v>0</v>
      </c>
      <c r="AR2902" s="3">
        <v>1</v>
      </c>
    </row>
    <row r="2903" spans="1:44" x14ac:dyDescent="0.3">
      <c r="A2903" s="1" t="s">
        <v>56</v>
      </c>
      <c r="B2903" s="7">
        <v>40764</v>
      </c>
      <c r="C2903" s="1">
        <v>11</v>
      </c>
      <c r="D2903" s="1">
        <v>83</v>
      </c>
      <c r="E2903" s="1">
        <v>1</v>
      </c>
      <c r="F2903" s="1">
        <v>87</v>
      </c>
      <c r="AO2903" s="1">
        <v>1</v>
      </c>
    </row>
    <row r="2904" spans="1:44" x14ac:dyDescent="0.3">
      <c r="A2904" s="1" t="s">
        <v>56</v>
      </c>
      <c r="B2904" s="7">
        <v>40764</v>
      </c>
      <c r="C2904" s="1">
        <v>11</v>
      </c>
      <c r="D2904" s="1">
        <v>83</v>
      </c>
      <c r="E2904" s="1">
        <v>1</v>
      </c>
      <c r="F2904" s="1">
        <v>88</v>
      </c>
      <c r="J2904" s="1">
        <v>1</v>
      </c>
    </row>
    <row r="2905" spans="1:44" x14ac:dyDescent="0.3">
      <c r="A2905" s="1" t="s">
        <v>56</v>
      </c>
      <c r="B2905" s="7">
        <v>40764</v>
      </c>
      <c r="C2905" s="1">
        <v>11</v>
      </c>
      <c r="D2905" s="1">
        <v>83</v>
      </c>
      <c r="E2905" s="1">
        <v>1</v>
      </c>
      <c r="F2905" s="1">
        <v>89</v>
      </c>
      <c r="L2905" s="8">
        <v>1</v>
      </c>
      <c r="M2905" s="8"/>
    </row>
    <row r="2906" spans="1:44" x14ac:dyDescent="0.3">
      <c r="A2906" s="1" t="s">
        <v>56</v>
      </c>
      <c r="B2906" s="7">
        <v>40764</v>
      </c>
      <c r="C2906" s="1">
        <v>11</v>
      </c>
      <c r="D2906" s="1">
        <v>83</v>
      </c>
      <c r="E2906" s="1">
        <v>1</v>
      </c>
      <c r="F2906" s="1">
        <v>90</v>
      </c>
      <c r="J2906" s="1">
        <v>1</v>
      </c>
      <c r="AQ2906" s="1">
        <v>1</v>
      </c>
    </row>
    <row r="2907" spans="1:44" x14ac:dyDescent="0.3">
      <c r="A2907" s="1" t="s">
        <v>56</v>
      </c>
      <c r="B2907" s="7">
        <v>40764</v>
      </c>
      <c r="C2907" s="1">
        <v>11</v>
      </c>
      <c r="D2907" s="1">
        <v>83</v>
      </c>
      <c r="E2907" s="1">
        <v>1</v>
      </c>
      <c r="F2907" s="1">
        <v>91</v>
      </c>
      <c r="J2907" s="1">
        <v>1</v>
      </c>
    </row>
    <row r="2908" spans="1:44" x14ac:dyDescent="0.3">
      <c r="A2908" s="1" t="s">
        <v>56</v>
      </c>
      <c r="B2908" s="7">
        <v>40764</v>
      </c>
      <c r="C2908" s="1">
        <v>11</v>
      </c>
      <c r="D2908" s="1">
        <v>83</v>
      </c>
      <c r="E2908" s="1">
        <v>1</v>
      </c>
      <c r="F2908" s="1">
        <v>92</v>
      </c>
      <c r="AQ2908" s="3">
        <v>0</v>
      </c>
      <c r="AR2908" s="3">
        <v>1</v>
      </c>
    </row>
    <row r="2909" spans="1:44" x14ac:dyDescent="0.3">
      <c r="A2909" s="1" t="s">
        <v>56</v>
      </c>
      <c r="B2909" s="7">
        <v>40764</v>
      </c>
      <c r="C2909" s="1">
        <v>11</v>
      </c>
      <c r="D2909" s="1">
        <v>83</v>
      </c>
      <c r="E2909" s="1">
        <v>1</v>
      </c>
      <c r="F2909" s="1">
        <v>93</v>
      </c>
      <c r="L2909" s="1">
        <v>1</v>
      </c>
    </row>
    <row r="2910" spans="1:44" x14ac:dyDescent="0.3">
      <c r="A2910" s="1" t="s">
        <v>56</v>
      </c>
      <c r="B2910" s="7">
        <v>40764</v>
      </c>
      <c r="C2910" s="1">
        <v>11</v>
      </c>
      <c r="D2910" s="1">
        <v>83</v>
      </c>
      <c r="E2910" s="1">
        <v>1</v>
      </c>
      <c r="F2910" s="1">
        <v>94</v>
      </c>
      <c r="AQ2910" s="3">
        <v>0</v>
      </c>
      <c r="AR2910" s="3">
        <v>1</v>
      </c>
    </row>
    <row r="2911" spans="1:44" x14ac:dyDescent="0.3">
      <c r="A2911" s="1" t="s">
        <v>56</v>
      </c>
      <c r="B2911" s="7">
        <v>40764</v>
      </c>
      <c r="C2911" s="1">
        <v>11</v>
      </c>
      <c r="D2911" s="1">
        <v>83</v>
      </c>
      <c r="E2911" s="1">
        <v>1</v>
      </c>
      <c r="F2911" s="1">
        <v>95</v>
      </c>
      <c r="AO2911" s="1">
        <v>1</v>
      </c>
      <c r="AQ2911" s="3">
        <v>0</v>
      </c>
      <c r="AR2911" s="3">
        <v>1</v>
      </c>
    </row>
    <row r="2912" spans="1:44" x14ac:dyDescent="0.3">
      <c r="A2912" s="1" t="s">
        <v>56</v>
      </c>
      <c r="B2912" s="7">
        <v>40764</v>
      </c>
      <c r="C2912" s="1">
        <v>11</v>
      </c>
      <c r="D2912" s="1">
        <v>83</v>
      </c>
      <c r="E2912" s="1">
        <v>1</v>
      </c>
      <c r="F2912" s="1">
        <v>96</v>
      </c>
      <c r="AO2912" s="1">
        <v>1</v>
      </c>
      <c r="AQ2912" s="3">
        <v>0</v>
      </c>
      <c r="AR2912" s="3">
        <v>1</v>
      </c>
    </row>
    <row r="2913" spans="1:60" x14ac:dyDescent="0.3">
      <c r="A2913" s="1" t="s">
        <v>56</v>
      </c>
      <c r="B2913" s="7">
        <v>40764</v>
      </c>
      <c r="C2913" s="1">
        <v>11</v>
      </c>
      <c r="D2913" s="1">
        <v>83</v>
      </c>
      <c r="E2913" s="1">
        <v>1</v>
      </c>
      <c r="F2913" s="1">
        <v>97</v>
      </c>
    </row>
    <row r="2914" spans="1:60" x14ac:dyDescent="0.3">
      <c r="A2914" s="1" t="s">
        <v>56</v>
      </c>
      <c r="B2914" s="7">
        <v>40764</v>
      </c>
      <c r="C2914" s="1">
        <v>11</v>
      </c>
      <c r="D2914" s="1">
        <v>83</v>
      </c>
      <c r="E2914" s="1">
        <v>1</v>
      </c>
      <c r="F2914" s="1">
        <v>98</v>
      </c>
      <c r="J2914" s="1">
        <v>1</v>
      </c>
    </row>
    <row r="2915" spans="1:60" x14ac:dyDescent="0.3">
      <c r="A2915" s="1" t="s">
        <v>56</v>
      </c>
      <c r="B2915" s="7">
        <v>40764</v>
      </c>
      <c r="C2915" s="1">
        <v>11</v>
      </c>
      <c r="D2915" s="1">
        <v>83</v>
      </c>
      <c r="E2915" s="1">
        <v>1</v>
      </c>
      <c r="F2915" s="1">
        <v>99</v>
      </c>
    </row>
    <row r="2916" spans="1:60" x14ac:dyDescent="0.3">
      <c r="A2916" s="1" t="s">
        <v>56</v>
      </c>
      <c r="B2916" s="7">
        <v>40764</v>
      </c>
      <c r="C2916" s="1">
        <v>11</v>
      </c>
      <c r="D2916" s="1">
        <v>83</v>
      </c>
      <c r="E2916" s="1">
        <v>1</v>
      </c>
      <c r="F2916" s="1">
        <v>100</v>
      </c>
      <c r="AQ2916" s="1">
        <v>1</v>
      </c>
      <c r="BG2916" s="3">
        <v>0</v>
      </c>
      <c r="BH2916" s="3">
        <v>1</v>
      </c>
    </row>
    <row r="2917" spans="1:60" x14ac:dyDescent="0.3">
      <c r="A2917" s="1" t="s">
        <v>56</v>
      </c>
      <c r="B2917" s="7">
        <v>40764</v>
      </c>
      <c r="C2917" s="1">
        <v>13.5</v>
      </c>
      <c r="D2917" s="1">
        <v>326</v>
      </c>
      <c r="E2917" s="1">
        <v>4</v>
      </c>
      <c r="F2917" s="1">
        <v>1</v>
      </c>
      <c r="J2917" s="1">
        <v>1</v>
      </c>
    </row>
    <row r="2918" spans="1:60" x14ac:dyDescent="0.3">
      <c r="A2918" s="1" t="s">
        <v>56</v>
      </c>
      <c r="B2918" s="7">
        <v>40764</v>
      </c>
      <c r="C2918" s="1">
        <v>13.5</v>
      </c>
      <c r="D2918" s="1">
        <v>326</v>
      </c>
      <c r="E2918" s="1">
        <v>4</v>
      </c>
      <c r="F2918" s="1">
        <v>2</v>
      </c>
      <c r="J2918" s="1">
        <v>1</v>
      </c>
    </row>
    <row r="2919" spans="1:60" x14ac:dyDescent="0.3">
      <c r="A2919" s="1" t="s">
        <v>56</v>
      </c>
      <c r="B2919" s="7">
        <v>40764</v>
      </c>
      <c r="C2919" s="1">
        <v>13.5</v>
      </c>
      <c r="D2919" s="1">
        <v>326</v>
      </c>
      <c r="E2919" s="1">
        <v>4</v>
      </c>
      <c r="F2919" s="1">
        <v>3</v>
      </c>
      <c r="J2919" s="1">
        <v>1</v>
      </c>
    </row>
    <row r="2920" spans="1:60" x14ac:dyDescent="0.3">
      <c r="A2920" s="1" t="s">
        <v>56</v>
      </c>
      <c r="B2920" s="7">
        <v>40764</v>
      </c>
      <c r="C2920" s="1">
        <v>13.5</v>
      </c>
      <c r="D2920" s="1">
        <v>326</v>
      </c>
      <c r="E2920" s="1">
        <v>4</v>
      </c>
      <c r="F2920" s="1">
        <v>4</v>
      </c>
      <c r="J2920" s="1">
        <v>1</v>
      </c>
    </row>
    <row r="2921" spans="1:60" x14ac:dyDescent="0.3">
      <c r="A2921" s="1" t="s">
        <v>56</v>
      </c>
      <c r="B2921" s="7">
        <v>40764</v>
      </c>
      <c r="C2921" s="1">
        <v>13.5</v>
      </c>
      <c r="D2921" s="1">
        <v>326</v>
      </c>
      <c r="E2921" s="1">
        <v>4</v>
      </c>
      <c r="F2921" s="1">
        <v>5</v>
      </c>
      <c r="J2921" s="1">
        <v>1</v>
      </c>
    </row>
    <row r="2922" spans="1:60" x14ac:dyDescent="0.3">
      <c r="A2922" s="1" t="s">
        <v>56</v>
      </c>
      <c r="B2922" s="7">
        <v>40764</v>
      </c>
      <c r="C2922" s="1">
        <v>13.5</v>
      </c>
      <c r="D2922" s="1">
        <v>326</v>
      </c>
      <c r="E2922" s="1">
        <v>4</v>
      </c>
      <c r="F2922" s="1">
        <v>6</v>
      </c>
      <c r="J2922" s="1">
        <v>1</v>
      </c>
    </row>
    <row r="2923" spans="1:60" x14ac:dyDescent="0.3">
      <c r="A2923" s="1" t="s">
        <v>56</v>
      </c>
      <c r="B2923" s="7">
        <v>40764</v>
      </c>
      <c r="C2923" s="1">
        <v>13.5</v>
      </c>
      <c r="D2923" s="1">
        <v>326</v>
      </c>
      <c r="E2923" s="1">
        <v>4</v>
      </c>
      <c r="F2923" s="1">
        <v>7</v>
      </c>
      <c r="I2923" s="1">
        <v>1</v>
      </c>
      <c r="J2923" s="1">
        <v>1</v>
      </c>
    </row>
    <row r="2924" spans="1:60" x14ac:dyDescent="0.3">
      <c r="A2924" s="1" t="s">
        <v>56</v>
      </c>
      <c r="B2924" s="7">
        <v>40764</v>
      </c>
      <c r="C2924" s="1">
        <v>13.5</v>
      </c>
      <c r="D2924" s="1">
        <v>326</v>
      </c>
      <c r="E2924" s="1">
        <v>4</v>
      </c>
      <c r="F2924" s="1">
        <v>8</v>
      </c>
      <c r="I2924" s="1">
        <v>1</v>
      </c>
      <c r="J2924" s="1">
        <v>1</v>
      </c>
    </row>
    <row r="2925" spans="1:60" x14ac:dyDescent="0.3">
      <c r="A2925" s="1" t="s">
        <v>56</v>
      </c>
      <c r="B2925" s="7">
        <v>40764</v>
      </c>
      <c r="C2925" s="1">
        <v>13.5</v>
      </c>
      <c r="D2925" s="1">
        <v>326</v>
      </c>
      <c r="E2925" s="1">
        <v>4</v>
      </c>
      <c r="F2925" s="1">
        <v>9</v>
      </c>
      <c r="J2925" s="1">
        <v>1</v>
      </c>
    </row>
    <row r="2926" spans="1:60" x14ac:dyDescent="0.3">
      <c r="A2926" s="1" t="s">
        <v>56</v>
      </c>
      <c r="B2926" s="7">
        <v>40764</v>
      </c>
      <c r="C2926" s="1">
        <v>13.5</v>
      </c>
      <c r="D2926" s="1">
        <v>326</v>
      </c>
      <c r="E2926" s="1">
        <v>4</v>
      </c>
      <c r="F2926" s="1">
        <v>10</v>
      </c>
      <c r="J2926" s="1">
        <v>1</v>
      </c>
    </row>
    <row r="2927" spans="1:60" x14ac:dyDescent="0.3">
      <c r="A2927" s="1" t="s">
        <v>56</v>
      </c>
      <c r="B2927" s="7">
        <v>40764</v>
      </c>
      <c r="C2927" s="1">
        <v>13.5</v>
      </c>
      <c r="D2927" s="1">
        <v>326</v>
      </c>
      <c r="E2927" s="1">
        <v>4</v>
      </c>
      <c r="F2927" s="1">
        <v>11</v>
      </c>
      <c r="I2927" s="1">
        <v>1</v>
      </c>
      <c r="J2927" s="1">
        <v>1</v>
      </c>
    </row>
    <row r="2928" spans="1:60" x14ac:dyDescent="0.3">
      <c r="A2928" s="1" t="s">
        <v>56</v>
      </c>
      <c r="B2928" s="7">
        <v>40764</v>
      </c>
      <c r="C2928" s="1">
        <v>13.5</v>
      </c>
      <c r="D2928" s="1">
        <v>326</v>
      </c>
      <c r="E2928" s="1">
        <v>4</v>
      </c>
      <c r="F2928" s="1">
        <v>12</v>
      </c>
      <c r="J2928" s="1">
        <v>1</v>
      </c>
    </row>
    <row r="2929" spans="1:14" x14ac:dyDescent="0.3">
      <c r="A2929" s="1" t="s">
        <v>56</v>
      </c>
      <c r="B2929" s="7">
        <v>40764</v>
      </c>
      <c r="C2929" s="1">
        <v>13.5</v>
      </c>
      <c r="D2929" s="1">
        <v>326</v>
      </c>
      <c r="E2929" s="1">
        <v>4</v>
      </c>
      <c r="F2929" s="1">
        <v>13</v>
      </c>
      <c r="J2929" s="1">
        <v>1</v>
      </c>
    </row>
    <row r="2930" spans="1:14" x14ac:dyDescent="0.3">
      <c r="A2930" s="1" t="s">
        <v>56</v>
      </c>
      <c r="B2930" s="7">
        <v>40764</v>
      </c>
      <c r="C2930" s="1">
        <v>13.5</v>
      </c>
      <c r="D2930" s="1">
        <v>326</v>
      </c>
      <c r="E2930" s="1">
        <v>4</v>
      </c>
      <c r="F2930" s="1">
        <v>14</v>
      </c>
      <c r="H2930" s="1">
        <v>1</v>
      </c>
      <c r="I2930" s="1">
        <v>1</v>
      </c>
    </row>
    <row r="2931" spans="1:14" x14ac:dyDescent="0.3">
      <c r="A2931" s="1" t="s">
        <v>56</v>
      </c>
      <c r="B2931" s="7">
        <v>40764</v>
      </c>
      <c r="C2931" s="1">
        <v>13.5</v>
      </c>
      <c r="D2931" s="1">
        <v>326</v>
      </c>
      <c r="E2931" s="1">
        <v>4</v>
      </c>
      <c r="F2931" s="1">
        <v>15</v>
      </c>
      <c r="I2931" s="1">
        <v>1</v>
      </c>
      <c r="L2931" s="1">
        <v>1</v>
      </c>
    </row>
    <row r="2932" spans="1:14" x14ac:dyDescent="0.3">
      <c r="A2932" s="1" t="s">
        <v>56</v>
      </c>
      <c r="B2932" s="7">
        <v>40764</v>
      </c>
      <c r="C2932" s="1">
        <v>13.5</v>
      </c>
      <c r="D2932" s="1">
        <v>326</v>
      </c>
      <c r="E2932" s="1">
        <v>4</v>
      </c>
      <c r="F2932" s="1">
        <v>16</v>
      </c>
      <c r="J2932" s="1">
        <v>1</v>
      </c>
    </row>
    <row r="2933" spans="1:14" x14ac:dyDescent="0.3">
      <c r="A2933" s="1" t="s">
        <v>56</v>
      </c>
      <c r="B2933" s="7">
        <v>40764</v>
      </c>
      <c r="C2933" s="1">
        <v>13.5</v>
      </c>
      <c r="D2933" s="1">
        <v>326</v>
      </c>
      <c r="E2933" s="1">
        <v>4</v>
      </c>
      <c r="F2933" s="1">
        <v>17</v>
      </c>
      <c r="I2933" s="1">
        <v>1</v>
      </c>
      <c r="J2933" s="1">
        <v>1</v>
      </c>
    </row>
    <row r="2934" spans="1:14" x14ac:dyDescent="0.3">
      <c r="A2934" s="1" t="s">
        <v>56</v>
      </c>
      <c r="B2934" s="7">
        <v>40764</v>
      </c>
      <c r="C2934" s="1">
        <v>13.5</v>
      </c>
      <c r="D2934" s="1">
        <v>326</v>
      </c>
      <c r="E2934" s="1">
        <v>4</v>
      </c>
      <c r="F2934" s="1">
        <v>18</v>
      </c>
      <c r="I2934" s="1">
        <v>1</v>
      </c>
    </row>
    <row r="2935" spans="1:14" x14ac:dyDescent="0.3">
      <c r="A2935" s="1" t="s">
        <v>56</v>
      </c>
      <c r="B2935" s="7">
        <v>40764</v>
      </c>
      <c r="C2935" s="1">
        <v>13.5</v>
      </c>
      <c r="D2935" s="1">
        <v>326</v>
      </c>
      <c r="E2935" s="1">
        <v>4</v>
      </c>
      <c r="F2935" s="1">
        <v>19</v>
      </c>
      <c r="J2935" s="1">
        <v>1</v>
      </c>
      <c r="N2935" s="1">
        <v>1</v>
      </c>
    </row>
    <row r="2936" spans="1:14" x14ac:dyDescent="0.3">
      <c r="A2936" s="1" t="s">
        <v>56</v>
      </c>
      <c r="B2936" s="7">
        <v>40764</v>
      </c>
      <c r="C2936" s="1">
        <v>13.5</v>
      </c>
      <c r="D2936" s="1">
        <v>326</v>
      </c>
      <c r="E2936" s="1">
        <v>4</v>
      </c>
      <c r="F2936" s="1">
        <v>20</v>
      </c>
      <c r="I2936" s="1">
        <v>1</v>
      </c>
      <c r="J2936" s="1">
        <v>1</v>
      </c>
    </row>
    <row r="2937" spans="1:14" x14ac:dyDescent="0.3">
      <c r="A2937" s="1" t="s">
        <v>56</v>
      </c>
      <c r="B2937" s="7">
        <v>40764</v>
      </c>
      <c r="C2937" s="1">
        <v>13.5</v>
      </c>
      <c r="D2937" s="1">
        <v>326</v>
      </c>
      <c r="E2937" s="1">
        <v>4</v>
      </c>
      <c r="F2937" s="1">
        <v>21</v>
      </c>
      <c r="I2937" s="1">
        <v>1</v>
      </c>
      <c r="J2937" s="1">
        <v>1</v>
      </c>
    </row>
    <row r="2938" spans="1:14" x14ac:dyDescent="0.3">
      <c r="A2938" s="1" t="s">
        <v>56</v>
      </c>
      <c r="B2938" s="7">
        <v>40764</v>
      </c>
      <c r="C2938" s="1">
        <v>13.5</v>
      </c>
      <c r="D2938" s="1">
        <v>326</v>
      </c>
      <c r="E2938" s="1">
        <v>4</v>
      </c>
      <c r="F2938" s="1">
        <v>22</v>
      </c>
      <c r="J2938" s="1">
        <v>1</v>
      </c>
    </row>
    <row r="2939" spans="1:14" x14ac:dyDescent="0.3">
      <c r="A2939" s="1" t="s">
        <v>56</v>
      </c>
      <c r="B2939" s="7">
        <v>40764</v>
      </c>
      <c r="C2939" s="1">
        <v>13.5</v>
      </c>
      <c r="D2939" s="1">
        <v>326</v>
      </c>
      <c r="E2939" s="1">
        <v>4</v>
      </c>
      <c r="F2939" s="1">
        <v>23</v>
      </c>
      <c r="J2939" s="1">
        <v>1</v>
      </c>
    </row>
    <row r="2940" spans="1:14" x14ac:dyDescent="0.3">
      <c r="A2940" s="1" t="s">
        <v>56</v>
      </c>
      <c r="B2940" s="7">
        <v>40764</v>
      </c>
      <c r="C2940" s="1">
        <v>13.5</v>
      </c>
      <c r="D2940" s="1">
        <v>326</v>
      </c>
      <c r="E2940" s="1">
        <v>4</v>
      </c>
      <c r="F2940" s="1">
        <v>24</v>
      </c>
      <c r="J2940" s="1">
        <v>1</v>
      </c>
    </row>
    <row r="2941" spans="1:14" x14ac:dyDescent="0.3">
      <c r="A2941" s="1" t="s">
        <v>56</v>
      </c>
      <c r="B2941" s="7">
        <v>40764</v>
      </c>
      <c r="C2941" s="1">
        <v>13.5</v>
      </c>
      <c r="D2941" s="1">
        <v>326</v>
      </c>
      <c r="E2941" s="1">
        <v>4</v>
      </c>
      <c r="F2941" s="1">
        <v>25</v>
      </c>
      <c r="J2941" s="1">
        <v>1</v>
      </c>
    </row>
    <row r="2942" spans="1:14" x14ac:dyDescent="0.3">
      <c r="A2942" s="1" t="s">
        <v>56</v>
      </c>
      <c r="B2942" s="7">
        <v>40764</v>
      </c>
      <c r="C2942" s="1">
        <v>13.5</v>
      </c>
      <c r="D2942" s="1">
        <v>326</v>
      </c>
      <c r="E2942" s="1">
        <v>4</v>
      </c>
      <c r="F2942" s="1">
        <v>26</v>
      </c>
      <c r="J2942" s="1">
        <v>1</v>
      </c>
    </row>
    <row r="2943" spans="1:14" x14ac:dyDescent="0.3">
      <c r="A2943" s="1" t="s">
        <v>56</v>
      </c>
      <c r="B2943" s="7">
        <v>40764</v>
      </c>
      <c r="C2943" s="1">
        <v>13.5</v>
      </c>
      <c r="D2943" s="1">
        <v>326</v>
      </c>
      <c r="E2943" s="1">
        <v>4</v>
      </c>
      <c r="F2943" s="1">
        <v>27</v>
      </c>
      <c r="J2943" s="1">
        <v>1</v>
      </c>
    </row>
    <row r="2944" spans="1:14" x14ac:dyDescent="0.3">
      <c r="A2944" s="1" t="s">
        <v>56</v>
      </c>
      <c r="B2944" s="7">
        <v>40764</v>
      </c>
      <c r="C2944" s="1">
        <v>13.5</v>
      </c>
      <c r="D2944" s="1">
        <v>326</v>
      </c>
      <c r="E2944" s="1">
        <v>4</v>
      </c>
      <c r="F2944" s="1">
        <v>28</v>
      </c>
      <c r="I2944" s="1">
        <v>1</v>
      </c>
      <c r="J2944" s="1">
        <v>1</v>
      </c>
    </row>
    <row r="2945" spans="1:18" x14ac:dyDescent="0.3">
      <c r="A2945" s="1" t="s">
        <v>56</v>
      </c>
      <c r="B2945" s="7">
        <v>40764</v>
      </c>
      <c r="C2945" s="1">
        <v>13.5</v>
      </c>
      <c r="D2945" s="1">
        <v>326</v>
      </c>
      <c r="E2945" s="1">
        <v>4</v>
      </c>
      <c r="F2945" s="1">
        <v>29</v>
      </c>
      <c r="I2945" s="1">
        <v>1</v>
      </c>
    </row>
    <row r="2946" spans="1:18" x14ac:dyDescent="0.3">
      <c r="A2946" s="1" t="s">
        <v>56</v>
      </c>
      <c r="B2946" s="7">
        <v>40764</v>
      </c>
      <c r="C2946" s="1">
        <v>13.5</v>
      </c>
      <c r="D2946" s="1">
        <v>326</v>
      </c>
      <c r="E2946" s="1">
        <v>4</v>
      </c>
      <c r="F2946" s="1">
        <v>30</v>
      </c>
      <c r="I2946" s="1">
        <v>1</v>
      </c>
    </row>
    <row r="2947" spans="1:18" x14ac:dyDescent="0.3">
      <c r="A2947" s="1" t="s">
        <v>56</v>
      </c>
      <c r="B2947" s="7">
        <v>40764</v>
      </c>
      <c r="C2947" s="1">
        <v>13.5</v>
      </c>
      <c r="D2947" s="1">
        <v>326</v>
      </c>
      <c r="E2947" s="1">
        <v>4</v>
      </c>
      <c r="F2947" s="1">
        <v>31</v>
      </c>
      <c r="J2947" s="1">
        <v>1</v>
      </c>
    </row>
    <row r="2948" spans="1:18" x14ac:dyDescent="0.3">
      <c r="A2948" s="1" t="s">
        <v>56</v>
      </c>
      <c r="B2948" s="7">
        <v>40764</v>
      </c>
      <c r="C2948" s="1">
        <v>13.5</v>
      </c>
      <c r="D2948" s="1">
        <v>326</v>
      </c>
      <c r="E2948" s="1">
        <v>4</v>
      </c>
      <c r="F2948" s="1">
        <v>32</v>
      </c>
      <c r="I2948" s="1">
        <v>1</v>
      </c>
      <c r="R2948" s="1">
        <v>1</v>
      </c>
    </row>
    <row r="2949" spans="1:18" x14ac:dyDescent="0.3">
      <c r="A2949" s="1" t="s">
        <v>56</v>
      </c>
      <c r="B2949" s="7">
        <v>40764</v>
      </c>
      <c r="C2949" s="1">
        <v>13.5</v>
      </c>
      <c r="D2949" s="1">
        <v>326</v>
      </c>
      <c r="E2949" s="1">
        <v>4</v>
      </c>
      <c r="F2949" s="1">
        <v>33</v>
      </c>
      <c r="J2949" s="1">
        <v>1</v>
      </c>
    </row>
    <row r="2950" spans="1:18" x14ac:dyDescent="0.3">
      <c r="A2950" s="1" t="s">
        <v>56</v>
      </c>
      <c r="B2950" s="7">
        <v>40764</v>
      </c>
      <c r="C2950" s="1">
        <v>13.5</v>
      </c>
      <c r="D2950" s="1">
        <v>326</v>
      </c>
      <c r="E2950" s="1">
        <v>4</v>
      </c>
      <c r="F2950" s="1">
        <v>34</v>
      </c>
      <c r="J2950" s="1">
        <v>1</v>
      </c>
    </row>
    <row r="2951" spans="1:18" x14ac:dyDescent="0.3">
      <c r="A2951" s="1" t="s">
        <v>56</v>
      </c>
      <c r="B2951" s="7">
        <v>40764</v>
      </c>
      <c r="C2951" s="1">
        <v>13.5</v>
      </c>
      <c r="D2951" s="1">
        <v>326</v>
      </c>
      <c r="E2951" s="1">
        <v>4</v>
      </c>
      <c r="F2951" s="1">
        <v>35</v>
      </c>
      <c r="J2951" s="1">
        <v>1</v>
      </c>
    </row>
    <row r="2952" spans="1:18" x14ac:dyDescent="0.3">
      <c r="A2952" s="1" t="s">
        <v>56</v>
      </c>
      <c r="B2952" s="7">
        <v>40764</v>
      </c>
      <c r="C2952" s="1">
        <v>13.5</v>
      </c>
      <c r="D2952" s="1">
        <v>326</v>
      </c>
      <c r="E2952" s="1">
        <v>4</v>
      </c>
      <c r="F2952" s="1">
        <v>36</v>
      </c>
      <c r="J2952" s="3">
        <v>0</v>
      </c>
      <c r="K2952" s="3">
        <v>1</v>
      </c>
    </row>
    <row r="2953" spans="1:18" x14ac:dyDescent="0.3">
      <c r="A2953" s="1" t="s">
        <v>56</v>
      </c>
      <c r="B2953" s="7">
        <v>40764</v>
      </c>
      <c r="C2953" s="1">
        <v>13.5</v>
      </c>
      <c r="D2953" s="1">
        <v>326</v>
      </c>
      <c r="E2953" s="1">
        <v>4</v>
      </c>
      <c r="F2953" s="1">
        <v>37</v>
      </c>
      <c r="J2953" s="1">
        <v>1</v>
      </c>
    </row>
    <row r="2954" spans="1:18" x14ac:dyDescent="0.3">
      <c r="A2954" s="1" t="s">
        <v>56</v>
      </c>
      <c r="B2954" s="7">
        <v>40764</v>
      </c>
      <c r="C2954" s="1">
        <v>13.5</v>
      </c>
      <c r="D2954" s="1">
        <v>326</v>
      </c>
      <c r="E2954" s="1">
        <v>4</v>
      </c>
      <c r="F2954" s="1">
        <v>38</v>
      </c>
      <c r="J2954" s="1">
        <v>1</v>
      </c>
    </row>
    <row r="2955" spans="1:18" x14ac:dyDescent="0.3">
      <c r="A2955" s="1" t="s">
        <v>56</v>
      </c>
      <c r="B2955" s="7">
        <v>40764</v>
      </c>
      <c r="C2955" s="1">
        <v>13.5</v>
      </c>
      <c r="D2955" s="1">
        <v>326</v>
      </c>
      <c r="E2955" s="1">
        <v>4</v>
      </c>
      <c r="F2955" s="1">
        <v>39</v>
      </c>
      <c r="I2955" s="1">
        <v>1</v>
      </c>
      <c r="J2955" s="1">
        <v>1</v>
      </c>
    </row>
    <row r="2956" spans="1:18" x14ac:dyDescent="0.3">
      <c r="A2956" s="1" t="s">
        <v>56</v>
      </c>
      <c r="B2956" s="7">
        <v>40764</v>
      </c>
      <c r="C2956" s="1">
        <v>13.5</v>
      </c>
      <c r="D2956" s="1">
        <v>326</v>
      </c>
      <c r="E2956" s="1">
        <v>4</v>
      </c>
      <c r="F2956" s="1">
        <v>40</v>
      </c>
      <c r="J2956" s="1">
        <v>1</v>
      </c>
    </row>
    <row r="2957" spans="1:18" x14ac:dyDescent="0.3">
      <c r="A2957" s="1" t="s">
        <v>56</v>
      </c>
      <c r="B2957" s="7">
        <v>40764</v>
      </c>
      <c r="C2957" s="1">
        <v>13.5</v>
      </c>
      <c r="D2957" s="1">
        <v>326</v>
      </c>
      <c r="E2957" s="1">
        <v>4</v>
      </c>
      <c r="F2957" s="1">
        <v>41</v>
      </c>
      <c r="I2957" s="1">
        <v>1</v>
      </c>
      <c r="N2957" s="1">
        <v>1</v>
      </c>
    </row>
    <row r="2958" spans="1:18" x14ac:dyDescent="0.3">
      <c r="A2958" s="1" t="s">
        <v>56</v>
      </c>
      <c r="B2958" s="7">
        <v>40764</v>
      </c>
      <c r="C2958" s="1">
        <v>13.5</v>
      </c>
      <c r="D2958" s="1">
        <v>326</v>
      </c>
      <c r="E2958" s="1">
        <v>4</v>
      </c>
      <c r="F2958" s="1">
        <v>42</v>
      </c>
      <c r="J2958" s="1">
        <v>1</v>
      </c>
    </row>
    <row r="2959" spans="1:18" x14ac:dyDescent="0.3">
      <c r="A2959" s="1" t="s">
        <v>56</v>
      </c>
      <c r="B2959" s="7">
        <v>40764</v>
      </c>
      <c r="C2959" s="1">
        <v>13.5</v>
      </c>
      <c r="D2959" s="1">
        <v>326</v>
      </c>
      <c r="E2959" s="1">
        <v>4</v>
      </c>
      <c r="F2959" s="1">
        <v>43</v>
      </c>
      <c r="J2959" s="1">
        <v>1</v>
      </c>
    </row>
    <row r="2960" spans="1:18" x14ac:dyDescent="0.3">
      <c r="A2960" s="1" t="s">
        <v>56</v>
      </c>
      <c r="B2960" s="7">
        <v>40764</v>
      </c>
      <c r="C2960" s="1">
        <v>13.5</v>
      </c>
      <c r="D2960" s="1">
        <v>326</v>
      </c>
      <c r="E2960" s="1">
        <v>4</v>
      </c>
      <c r="F2960" s="1">
        <v>44</v>
      </c>
      <c r="J2960" s="1">
        <v>1</v>
      </c>
    </row>
    <row r="2961" spans="1:30" x14ac:dyDescent="0.3">
      <c r="A2961" s="1" t="s">
        <v>56</v>
      </c>
      <c r="B2961" s="7">
        <v>40764</v>
      </c>
      <c r="C2961" s="1">
        <v>13.5</v>
      </c>
      <c r="D2961" s="1">
        <v>326</v>
      </c>
      <c r="E2961" s="1">
        <v>4</v>
      </c>
      <c r="F2961" s="1">
        <v>45</v>
      </c>
      <c r="I2961" s="1">
        <v>1</v>
      </c>
      <c r="AD2961" s="1">
        <v>1</v>
      </c>
    </row>
    <row r="2962" spans="1:30" x14ac:dyDescent="0.3">
      <c r="A2962" s="1" t="s">
        <v>56</v>
      </c>
      <c r="B2962" s="7">
        <v>40764</v>
      </c>
      <c r="C2962" s="1">
        <v>13.5</v>
      </c>
      <c r="D2962" s="1">
        <v>326</v>
      </c>
      <c r="E2962" s="1">
        <v>4</v>
      </c>
      <c r="F2962" s="1">
        <v>46</v>
      </c>
      <c r="J2962" s="1">
        <v>1</v>
      </c>
    </row>
    <row r="2963" spans="1:30" x14ac:dyDescent="0.3">
      <c r="A2963" s="1" t="s">
        <v>56</v>
      </c>
      <c r="B2963" s="7">
        <v>40764</v>
      </c>
      <c r="C2963" s="1">
        <v>13.5</v>
      </c>
      <c r="D2963" s="1">
        <v>326</v>
      </c>
      <c r="E2963" s="1">
        <v>4</v>
      </c>
      <c r="F2963" s="1">
        <v>47</v>
      </c>
      <c r="J2963" s="1">
        <v>1</v>
      </c>
      <c r="N2963" s="8">
        <v>1</v>
      </c>
      <c r="O2963" s="8"/>
    </row>
    <row r="2964" spans="1:30" x14ac:dyDescent="0.3">
      <c r="A2964" s="1" t="s">
        <v>56</v>
      </c>
      <c r="B2964" s="7">
        <v>40764</v>
      </c>
      <c r="C2964" s="1">
        <v>13.5</v>
      </c>
      <c r="D2964" s="1">
        <v>326</v>
      </c>
      <c r="E2964" s="1">
        <v>4</v>
      </c>
      <c r="F2964" s="1">
        <v>48</v>
      </c>
      <c r="I2964" s="1">
        <v>1</v>
      </c>
      <c r="J2964" s="1">
        <v>1</v>
      </c>
    </row>
    <row r="2965" spans="1:30" x14ac:dyDescent="0.3">
      <c r="A2965" s="1" t="s">
        <v>56</v>
      </c>
      <c r="B2965" s="7">
        <v>40764</v>
      </c>
      <c r="C2965" s="1">
        <v>13.5</v>
      </c>
      <c r="D2965" s="1">
        <v>326</v>
      </c>
      <c r="E2965" s="1">
        <v>4</v>
      </c>
      <c r="F2965" s="1">
        <v>49</v>
      </c>
      <c r="J2965" s="1">
        <v>1</v>
      </c>
    </row>
    <row r="2966" spans="1:30" x14ac:dyDescent="0.3">
      <c r="A2966" s="1" t="s">
        <v>56</v>
      </c>
      <c r="B2966" s="7">
        <v>40764</v>
      </c>
      <c r="C2966" s="1">
        <v>13.5</v>
      </c>
      <c r="D2966" s="1">
        <v>326</v>
      </c>
      <c r="E2966" s="1">
        <v>4</v>
      </c>
      <c r="F2966" s="1">
        <v>50</v>
      </c>
      <c r="I2966" s="1">
        <v>1</v>
      </c>
      <c r="J2966" s="1">
        <v>1</v>
      </c>
    </row>
    <row r="2967" spans="1:30" x14ac:dyDescent="0.3">
      <c r="A2967" s="1" t="s">
        <v>56</v>
      </c>
      <c r="B2967" s="7">
        <v>40764</v>
      </c>
      <c r="C2967" s="1">
        <v>13.5</v>
      </c>
      <c r="D2967" s="1">
        <v>326</v>
      </c>
      <c r="E2967" s="1">
        <v>4</v>
      </c>
      <c r="F2967" s="1">
        <v>51</v>
      </c>
      <c r="J2967" s="1">
        <v>1</v>
      </c>
    </row>
    <row r="2968" spans="1:30" x14ac:dyDescent="0.3">
      <c r="A2968" s="1" t="s">
        <v>56</v>
      </c>
      <c r="B2968" s="7">
        <v>40764</v>
      </c>
      <c r="C2968" s="1">
        <v>13.5</v>
      </c>
      <c r="D2968" s="1">
        <v>326</v>
      </c>
      <c r="E2968" s="1">
        <v>4</v>
      </c>
      <c r="F2968" s="1">
        <v>52</v>
      </c>
      <c r="J2968" s="1">
        <v>1</v>
      </c>
    </row>
    <row r="2969" spans="1:30" x14ac:dyDescent="0.3">
      <c r="A2969" s="1" t="s">
        <v>56</v>
      </c>
      <c r="B2969" s="7">
        <v>40764</v>
      </c>
      <c r="C2969" s="1">
        <v>13.5</v>
      </c>
      <c r="D2969" s="1">
        <v>326</v>
      </c>
      <c r="E2969" s="1">
        <v>4</v>
      </c>
      <c r="F2969" s="1">
        <v>53</v>
      </c>
      <c r="J2969" s="1">
        <v>1</v>
      </c>
    </row>
    <row r="2970" spans="1:30" x14ac:dyDescent="0.3">
      <c r="A2970" s="1" t="s">
        <v>56</v>
      </c>
      <c r="B2970" s="7">
        <v>40764</v>
      </c>
      <c r="C2970" s="1">
        <v>13.5</v>
      </c>
      <c r="D2970" s="1">
        <v>326</v>
      </c>
      <c r="E2970" s="1">
        <v>4</v>
      </c>
      <c r="F2970" s="1">
        <v>54</v>
      </c>
      <c r="J2970" s="1">
        <v>1</v>
      </c>
    </row>
    <row r="2971" spans="1:30" x14ac:dyDescent="0.3">
      <c r="A2971" s="1" t="s">
        <v>56</v>
      </c>
      <c r="B2971" s="7">
        <v>40764</v>
      </c>
      <c r="C2971" s="1">
        <v>13.5</v>
      </c>
      <c r="D2971" s="1">
        <v>326</v>
      </c>
      <c r="E2971" s="1">
        <v>4</v>
      </c>
      <c r="F2971" s="1">
        <v>55</v>
      </c>
      <c r="J2971" s="1">
        <v>1</v>
      </c>
    </row>
    <row r="2972" spans="1:30" x14ac:dyDescent="0.3">
      <c r="A2972" s="1" t="s">
        <v>56</v>
      </c>
      <c r="B2972" s="7">
        <v>40764</v>
      </c>
      <c r="C2972" s="1">
        <v>13.5</v>
      </c>
      <c r="D2972" s="1">
        <v>326</v>
      </c>
      <c r="E2972" s="1">
        <v>4</v>
      </c>
      <c r="F2972" s="1">
        <v>56</v>
      </c>
      <c r="I2972" s="1">
        <v>1</v>
      </c>
      <c r="J2972" s="1">
        <v>1</v>
      </c>
    </row>
    <row r="2973" spans="1:30" x14ac:dyDescent="0.3">
      <c r="A2973" s="1" t="s">
        <v>56</v>
      </c>
      <c r="B2973" s="7">
        <v>40764</v>
      </c>
      <c r="C2973" s="1">
        <v>13.5</v>
      </c>
      <c r="D2973" s="1">
        <v>326</v>
      </c>
      <c r="E2973" s="1">
        <v>4</v>
      </c>
      <c r="F2973" s="1">
        <v>57</v>
      </c>
      <c r="J2973" s="1">
        <v>1</v>
      </c>
      <c r="R2973" s="1">
        <v>1</v>
      </c>
    </row>
    <row r="2974" spans="1:30" x14ac:dyDescent="0.3">
      <c r="A2974" s="1" t="s">
        <v>56</v>
      </c>
      <c r="B2974" s="7">
        <v>40764</v>
      </c>
      <c r="C2974" s="1">
        <v>13.5</v>
      </c>
      <c r="D2974" s="1">
        <v>326</v>
      </c>
      <c r="E2974" s="1">
        <v>4</v>
      </c>
      <c r="F2974" s="1">
        <v>58</v>
      </c>
      <c r="J2974" s="1">
        <v>1</v>
      </c>
    </row>
    <row r="2975" spans="1:30" x14ac:dyDescent="0.3">
      <c r="A2975" s="1" t="s">
        <v>56</v>
      </c>
      <c r="B2975" s="7">
        <v>40764</v>
      </c>
      <c r="C2975" s="1">
        <v>13.5</v>
      </c>
      <c r="D2975" s="1">
        <v>326</v>
      </c>
      <c r="E2975" s="1">
        <v>4</v>
      </c>
      <c r="F2975" s="1">
        <v>59</v>
      </c>
      <c r="J2975" s="1">
        <v>1</v>
      </c>
    </row>
    <row r="2976" spans="1:30" x14ac:dyDescent="0.3">
      <c r="A2976" s="1" t="s">
        <v>56</v>
      </c>
      <c r="B2976" s="7">
        <v>40764</v>
      </c>
      <c r="C2976" s="1">
        <v>13.5</v>
      </c>
      <c r="D2976" s="1">
        <v>326</v>
      </c>
      <c r="E2976" s="1">
        <v>4</v>
      </c>
      <c r="F2976" s="1">
        <v>60</v>
      </c>
      <c r="J2976" s="1">
        <v>1</v>
      </c>
    </row>
    <row r="2977" spans="1:14" x14ac:dyDescent="0.3">
      <c r="A2977" s="1" t="s">
        <v>56</v>
      </c>
      <c r="B2977" s="7">
        <v>40764</v>
      </c>
      <c r="C2977" s="1">
        <v>13.5</v>
      </c>
      <c r="D2977" s="1">
        <v>326</v>
      </c>
      <c r="E2977" s="1">
        <v>4</v>
      </c>
      <c r="F2977" s="1">
        <v>61</v>
      </c>
      <c r="J2977" s="1">
        <v>1</v>
      </c>
      <c r="L2977" s="1">
        <v>1</v>
      </c>
    </row>
    <row r="2978" spans="1:14" x14ac:dyDescent="0.3">
      <c r="A2978" s="1" t="s">
        <v>56</v>
      </c>
      <c r="B2978" s="7">
        <v>40764</v>
      </c>
      <c r="C2978" s="1">
        <v>13.5</v>
      </c>
      <c r="D2978" s="1">
        <v>326</v>
      </c>
      <c r="E2978" s="1">
        <v>4</v>
      </c>
      <c r="F2978" s="1">
        <v>62</v>
      </c>
      <c r="J2978" s="1">
        <v>1</v>
      </c>
    </row>
    <row r="2979" spans="1:14" x14ac:dyDescent="0.3">
      <c r="A2979" s="1" t="s">
        <v>56</v>
      </c>
      <c r="B2979" s="7">
        <v>40764</v>
      </c>
      <c r="C2979" s="1">
        <v>13.5</v>
      </c>
      <c r="D2979" s="1">
        <v>326</v>
      </c>
      <c r="E2979" s="1">
        <v>4</v>
      </c>
      <c r="F2979" s="1">
        <v>63</v>
      </c>
      <c r="J2979" s="1">
        <v>1</v>
      </c>
    </row>
    <row r="2980" spans="1:14" x14ac:dyDescent="0.3">
      <c r="A2980" s="1" t="s">
        <v>56</v>
      </c>
      <c r="B2980" s="7">
        <v>40764</v>
      </c>
      <c r="C2980" s="1">
        <v>13.5</v>
      </c>
      <c r="D2980" s="1">
        <v>326</v>
      </c>
      <c r="E2980" s="1">
        <v>4</v>
      </c>
      <c r="F2980" s="1">
        <v>64</v>
      </c>
      <c r="I2980" s="1">
        <v>1</v>
      </c>
      <c r="J2980" s="1">
        <v>1</v>
      </c>
    </row>
    <row r="2981" spans="1:14" x14ac:dyDescent="0.3">
      <c r="A2981" s="1" t="s">
        <v>56</v>
      </c>
      <c r="B2981" s="7">
        <v>40764</v>
      </c>
      <c r="C2981" s="1">
        <v>13.5</v>
      </c>
      <c r="D2981" s="1">
        <v>326</v>
      </c>
      <c r="E2981" s="1">
        <v>4</v>
      </c>
      <c r="F2981" s="1">
        <v>65</v>
      </c>
      <c r="J2981" s="1">
        <v>1</v>
      </c>
    </row>
    <row r="2982" spans="1:14" x14ac:dyDescent="0.3">
      <c r="A2982" s="1" t="s">
        <v>56</v>
      </c>
      <c r="B2982" s="7">
        <v>40764</v>
      </c>
      <c r="C2982" s="1">
        <v>13.5</v>
      </c>
      <c r="D2982" s="1">
        <v>326</v>
      </c>
      <c r="E2982" s="1">
        <v>4</v>
      </c>
      <c r="F2982" s="1">
        <v>66</v>
      </c>
      <c r="J2982" s="1">
        <v>1</v>
      </c>
    </row>
    <row r="2983" spans="1:14" x14ac:dyDescent="0.3">
      <c r="A2983" s="1" t="s">
        <v>56</v>
      </c>
      <c r="B2983" s="7">
        <v>40764</v>
      </c>
      <c r="C2983" s="1">
        <v>13.5</v>
      </c>
      <c r="D2983" s="1">
        <v>326</v>
      </c>
      <c r="E2983" s="1">
        <v>4</v>
      </c>
      <c r="F2983" s="1">
        <v>67</v>
      </c>
      <c r="J2983" s="1">
        <v>1</v>
      </c>
    </row>
    <row r="2984" spans="1:14" x14ac:dyDescent="0.3">
      <c r="A2984" s="1" t="s">
        <v>56</v>
      </c>
      <c r="B2984" s="7">
        <v>40764</v>
      </c>
      <c r="C2984" s="1">
        <v>13.5</v>
      </c>
      <c r="D2984" s="1">
        <v>326</v>
      </c>
      <c r="E2984" s="1">
        <v>4</v>
      </c>
      <c r="F2984" s="1">
        <v>68</v>
      </c>
      <c r="J2984" s="1">
        <v>1</v>
      </c>
    </row>
    <row r="2985" spans="1:14" x14ac:dyDescent="0.3">
      <c r="A2985" s="1" t="s">
        <v>56</v>
      </c>
      <c r="B2985" s="7">
        <v>40764</v>
      </c>
      <c r="C2985" s="1">
        <v>13.5</v>
      </c>
      <c r="D2985" s="1">
        <v>326</v>
      </c>
      <c r="E2985" s="1">
        <v>4</v>
      </c>
      <c r="F2985" s="1">
        <v>69</v>
      </c>
      <c r="J2985" s="1">
        <v>1</v>
      </c>
    </row>
    <row r="2986" spans="1:14" x14ac:dyDescent="0.3">
      <c r="A2986" s="1" t="s">
        <v>56</v>
      </c>
      <c r="B2986" s="7">
        <v>40764</v>
      </c>
      <c r="C2986" s="1">
        <v>13.5</v>
      </c>
      <c r="D2986" s="1">
        <v>326</v>
      </c>
      <c r="E2986" s="1">
        <v>4</v>
      </c>
      <c r="F2986" s="1">
        <v>70</v>
      </c>
      <c r="J2986" s="1">
        <v>1</v>
      </c>
    </row>
    <row r="2987" spans="1:14" x14ac:dyDescent="0.3">
      <c r="A2987" s="1" t="s">
        <v>56</v>
      </c>
      <c r="B2987" s="7">
        <v>40764</v>
      </c>
      <c r="C2987" s="1">
        <v>13.5</v>
      </c>
      <c r="D2987" s="1">
        <v>326</v>
      </c>
      <c r="E2987" s="1">
        <v>4</v>
      </c>
      <c r="F2987" s="1">
        <v>71</v>
      </c>
      <c r="I2987" s="1">
        <v>1</v>
      </c>
    </row>
    <row r="2988" spans="1:14" x14ac:dyDescent="0.3">
      <c r="A2988" s="1" t="s">
        <v>56</v>
      </c>
      <c r="B2988" s="7">
        <v>40764</v>
      </c>
      <c r="C2988" s="1">
        <v>13.5</v>
      </c>
      <c r="D2988" s="1">
        <v>326</v>
      </c>
      <c r="E2988" s="1">
        <v>4</v>
      </c>
      <c r="F2988" s="1">
        <v>72</v>
      </c>
      <c r="H2988" s="1">
        <v>1</v>
      </c>
      <c r="I2988" s="1">
        <v>1</v>
      </c>
    </row>
    <row r="2989" spans="1:14" x14ac:dyDescent="0.3">
      <c r="A2989" s="1" t="s">
        <v>56</v>
      </c>
      <c r="B2989" s="7">
        <v>40764</v>
      </c>
      <c r="C2989" s="1">
        <v>13.5</v>
      </c>
      <c r="D2989" s="1">
        <v>326</v>
      </c>
      <c r="E2989" s="1">
        <v>4</v>
      </c>
      <c r="F2989" s="1">
        <v>73</v>
      </c>
      <c r="I2989" s="1">
        <v>1</v>
      </c>
      <c r="J2989" s="1">
        <v>1</v>
      </c>
      <c r="N2989" s="1">
        <v>1</v>
      </c>
    </row>
    <row r="2990" spans="1:14" x14ac:dyDescent="0.3">
      <c r="A2990" s="1" t="s">
        <v>56</v>
      </c>
      <c r="B2990" s="7">
        <v>40764</v>
      </c>
      <c r="C2990" s="1">
        <v>13.5</v>
      </c>
      <c r="D2990" s="1">
        <v>326</v>
      </c>
      <c r="E2990" s="1">
        <v>4</v>
      </c>
      <c r="F2990" s="1">
        <v>74</v>
      </c>
      <c r="J2990" s="1">
        <v>1</v>
      </c>
    </row>
    <row r="2991" spans="1:14" x14ac:dyDescent="0.3">
      <c r="A2991" s="1" t="s">
        <v>56</v>
      </c>
      <c r="B2991" s="7">
        <v>40764</v>
      </c>
      <c r="C2991" s="1">
        <v>13.5</v>
      </c>
      <c r="D2991" s="1">
        <v>326</v>
      </c>
      <c r="E2991" s="1">
        <v>4</v>
      </c>
      <c r="F2991" s="1">
        <v>75</v>
      </c>
      <c r="I2991" s="1">
        <v>1</v>
      </c>
      <c r="J2991" s="1">
        <v>1</v>
      </c>
    </row>
    <row r="2992" spans="1:14" x14ac:dyDescent="0.3">
      <c r="A2992" s="1" t="s">
        <v>56</v>
      </c>
      <c r="B2992" s="7">
        <v>40764</v>
      </c>
      <c r="C2992" s="1">
        <v>13.5</v>
      </c>
      <c r="D2992" s="1">
        <v>326</v>
      </c>
      <c r="E2992" s="1">
        <v>4</v>
      </c>
      <c r="F2992" s="1">
        <v>76</v>
      </c>
      <c r="I2992" s="1">
        <v>1</v>
      </c>
      <c r="J2992" s="1">
        <v>1</v>
      </c>
    </row>
    <row r="2993" spans="1:35" x14ac:dyDescent="0.3">
      <c r="A2993" s="1" t="s">
        <v>56</v>
      </c>
      <c r="B2993" s="7">
        <v>40764</v>
      </c>
      <c r="C2993" s="1">
        <v>13.5</v>
      </c>
      <c r="D2993" s="1">
        <v>326</v>
      </c>
      <c r="E2993" s="1">
        <v>4</v>
      </c>
      <c r="F2993" s="1">
        <v>77</v>
      </c>
      <c r="J2993" s="3">
        <v>0</v>
      </c>
      <c r="K2993" s="3">
        <v>1</v>
      </c>
    </row>
    <row r="2994" spans="1:35" x14ac:dyDescent="0.3">
      <c r="A2994" s="1" t="s">
        <v>56</v>
      </c>
      <c r="B2994" s="7">
        <v>40764</v>
      </c>
      <c r="C2994" s="1">
        <v>13.5</v>
      </c>
      <c r="D2994" s="1">
        <v>326</v>
      </c>
      <c r="E2994" s="1">
        <v>4</v>
      </c>
      <c r="F2994" s="1">
        <v>78</v>
      </c>
      <c r="J2994" s="1">
        <v>1</v>
      </c>
    </row>
    <row r="2995" spans="1:35" x14ac:dyDescent="0.3">
      <c r="A2995" s="1" t="s">
        <v>56</v>
      </c>
      <c r="B2995" s="7">
        <v>40764</v>
      </c>
      <c r="C2995" s="1">
        <v>13.5</v>
      </c>
      <c r="D2995" s="1">
        <v>326</v>
      </c>
      <c r="E2995" s="1">
        <v>4</v>
      </c>
      <c r="F2995" s="1">
        <v>79</v>
      </c>
      <c r="J2995" s="1">
        <v>1</v>
      </c>
    </row>
    <row r="2996" spans="1:35" x14ac:dyDescent="0.3">
      <c r="A2996" s="1" t="s">
        <v>56</v>
      </c>
      <c r="B2996" s="7">
        <v>40764</v>
      </c>
      <c r="C2996" s="1">
        <v>13.5</v>
      </c>
      <c r="D2996" s="1">
        <v>326</v>
      </c>
      <c r="E2996" s="1">
        <v>4</v>
      </c>
      <c r="F2996" s="1">
        <v>80</v>
      </c>
      <c r="J2996" s="1">
        <v>1</v>
      </c>
    </row>
    <row r="2997" spans="1:35" x14ac:dyDescent="0.3">
      <c r="A2997" s="1" t="s">
        <v>56</v>
      </c>
      <c r="B2997" s="7">
        <v>40764</v>
      </c>
      <c r="C2997" s="1">
        <v>13.5</v>
      </c>
      <c r="D2997" s="1">
        <v>326</v>
      </c>
      <c r="E2997" s="1">
        <v>4</v>
      </c>
      <c r="F2997" s="1">
        <v>81</v>
      </c>
      <c r="J2997" s="1">
        <v>1</v>
      </c>
      <c r="L2997" s="1">
        <v>1</v>
      </c>
      <c r="AI2997" s="1">
        <v>1</v>
      </c>
    </row>
    <row r="2998" spans="1:35" x14ac:dyDescent="0.3">
      <c r="A2998" s="1" t="s">
        <v>56</v>
      </c>
      <c r="B2998" s="7">
        <v>40764</v>
      </c>
      <c r="C2998" s="1">
        <v>13.5</v>
      </c>
      <c r="D2998" s="1">
        <v>326</v>
      </c>
      <c r="E2998" s="1">
        <v>4</v>
      </c>
      <c r="F2998" s="1">
        <v>82</v>
      </c>
      <c r="J2998" s="1">
        <v>1</v>
      </c>
    </row>
    <row r="2999" spans="1:35" x14ac:dyDescent="0.3">
      <c r="A2999" s="1" t="s">
        <v>56</v>
      </c>
      <c r="B2999" s="7">
        <v>40764</v>
      </c>
      <c r="C2999" s="1">
        <v>13.5</v>
      </c>
      <c r="D2999" s="1">
        <v>326</v>
      </c>
      <c r="E2999" s="1">
        <v>4</v>
      </c>
      <c r="F2999" s="1">
        <v>83</v>
      </c>
      <c r="I2999" s="1">
        <v>1</v>
      </c>
    </row>
    <row r="3000" spans="1:35" x14ac:dyDescent="0.3">
      <c r="A3000" s="1" t="s">
        <v>56</v>
      </c>
      <c r="B3000" s="7">
        <v>40764</v>
      </c>
      <c r="C3000" s="1">
        <v>13.5</v>
      </c>
      <c r="D3000" s="1">
        <v>326</v>
      </c>
      <c r="E3000" s="1">
        <v>4</v>
      </c>
      <c r="F3000" s="1">
        <v>84</v>
      </c>
      <c r="J3000" s="1">
        <v>1</v>
      </c>
      <c r="L3000" s="1">
        <v>1</v>
      </c>
    </row>
    <row r="3001" spans="1:35" x14ac:dyDescent="0.3">
      <c r="A3001" s="1" t="s">
        <v>56</v>
      </c>
      <c r="B3001" s="7">
        <v>40764</v>
      </c>
      <c r="C3001" s="1">
        <v>13.5</v>
      </c>
      <c r="D3001" s="1">
        <v>326</v>
      </c>
      <c r="E3001" s="1">
        <v>4</v>
      </c>
      <c r="F3001" s="1">
        <v>85</v>
      </c>
      <c r="I3001" s="1">
        <v>1</v>
      </c>
      <c r="J3001" s="1">
        <v>1</v>
      </c>
    </row>
    <row r="3002" spans="1:35" x14ac:dyDescent="0.3">
      <c r="A3002" s="1" t="s">
        <v>56</v>
      </c>
      <c r="B3002" s="7">
        <v>40764</v>
      </c>
      <c r="C3002" s="1">
        <v>13.5</v>
      </c>
      <c r="D3002" s="1">
        <v>326</v>
      </c>
      <c r="E3002" s="1">
        <v>4</v>
      </c>
      <c r="F3002" s="1">
        <v>86</v>
      </c>
      <c r="J3002" s="1">
        <v>1</v>
      </c>
    </row>
    <row r="3003" spans="1:35" x14ac:dyDescent="0.3">
      <c r="A3003" s="1" t="s">
        <v>56</v>
      </c>
      <c r="B3003" s="7">
        <v>40764</v>
      </c>
      <c r="C3003" s="1">
        <v>13.5</v>
      </c>
      <c r="D3003" s="1">
        <v>326</v>
      </c>
      <c r="E3003" s="1">
        <v>4</v>
      </c>
      <c r="F3003" s="1">
        <v>87</v>
      </c>
      <c r="J3003" s="1">
        <v>1</v>
      </c>
    </row>
    <row r="3004" spans="1:35" x14ac:dyDescent="0.3">
      <c r="A3004" s="1" t="s">
        <v>56</v>
      </c>
      <c r="B3004" s="7">
        <v>40764</v>
      </c>
      <c r="C3004" s="1">
        <v>13.5</v>
      </c>
      <c r="D3004" s="1">
        <v>326</v>
      </c>
      <c r="E3004" s="1">
        <v>4</v>
      </c>
      <c r="F3004" s="1">
        <v>88</v>
      </c>
      <c r="I3004" s="1">
        <v>1</v>
      </c>
      <c r="J3004" s="1">
        <v>1</v>
      </c>
    </row>
    <row r="3005" spans="1:35" x14ac:dyDescent="0.3">
      <c r="A3005" s="1" t="s">
        <v>56</v>
      </c>
      <c r="B3005" s="7">
        <v>40764</v>
      </c>
      <c r="C3005" s="1">
        <v>13.5</v>
      </c>
      <c r="D3005" s="1">
        <v>326</v>
      </c>
      <c r="E3005" s="1">
        <v>4</v>
      </c>
      <c r="F3005" s="1">
        <v>89</v>
      </c>
      <c r="J3005" s="1">
        <v>1</v>
      </c>
    </row>
    <row r="3006" spans="1:35" x14ac:dyDescent="0.3">
      <c r="A3006" s="1" t="s">
        <v>56</v>
      </c>
      <c r="B3006" s="7">
        <v>40764</v>
      </c>
      <c r="C3006" s="1">
        <v>13.5</v>
      </c>
      <c r="D3006" s="1">
        <v>326</v>
      </c>
      <c r="E3006" s="1">
        <v>4</v>
      </c>
      <c r="F3006" s="1">
        <v>90</v>
      </c>
      <c r="J3006" s="1">
        <v>1</v>
      </c>
    </row>
    <row r="3007" spans="1:35" x14ac:dyDescent="0.3">
      <c r="A3007" s="1" t="s">
        <v>56</v>
      </c>
      <c r="B3007" s="7">
        <v>40764</v>
      </c>
      <c r="C3007" s="1">
        <v>13.5</v>
      </c>
      <c r="D3007" s="1">
        <v>326</v>
      </c>
      <c r="E3007" s="1">
        <v>4</v>
      </c>
      <c r="F3007" s="1">
        <v>91</v>
      </c>
      <c r="H3007" s="1">
        <v>1</v>
      </c>
      <c r="I3007" s="1">
        <v>1</v>
      </c>
      <c r="J3007" s="1">
        <v>1</v>
      </c>
    </row>
    <row r="3008" spans="1:35" x14ac:dyDescent="0.3">
      <c r="A3008" s="1" t="s">
        <v>56</v>
      </c>
      <c r="B3008" s="7">
        <v>40764</v>
      </c>
      <c r="C3008" s="1">
        <v>13.5</v>
      </c>
      <c r="D3008" s="1">
        <v>326</v>
      </c>
      <c r="E3008" s="1">
        <v>4</v>
      </c>
      <c r="F3008" s="1">
        <v>92</v>
      </c>
      <c r="J3008" s="1">
        <v>1</v>
      </c>
    </row>
    <row r="3009" spans="1:90" x14ac:dyDescent="0.3">
      <c r="A3009" s="1" t="s">
        <v>56</v>
      </c>
      <c r="B3009" s="7">
        <v>40764</v>
      </c>
      <c r="C3009" s="1">
        <v>13.5</v>
      </c>
      <c r="D3009" s="1">
        <v>326</v>
      </c>
      <c r="E3009" s="1">
        <v>4</v>
      </c>
      <c r="F3009" s="1">
        <v>93</v>
      </c>
      <c r="I3009" s="1">
        <v>1</v>
      </c>
      <c r="J3009" s="1">
        <v>1</v>
      </c>
    </row>
    <row r="3010" spans="1:90" x14ac:dyDescent="0.3">
      <c r="A3010" s="1" t="s">
        <v>56</v>
      </c>
      <c r="B3010" s="7">
        <v>40764</v>
      </c>
      <c r="C3010" s="1">
        <v>13.5</v>
      </c>
      <c r="D3010" s="1">
        <v>326</v>
      </c>
      <c r="E3010" s="1">
        <v>4</v>
      </c>
      <c r="F3010" s="1">
        <v>94</v>
      </c>
      <c r="I3010" s="1">
        <v>1</v>
      </c>
      <c r="J3010" s="1">
        <v>1</v>
      </c>
    </row>
    <row r="3011" spans="1:90" x14ac:dyDescent="0.3">
      <c r="A3011" s="1" t="s">
        <v>56</v>
      </c>
      <c r="B3011" s="7">
        <v>40764</v>
      </c>
      <c r="C3011" s="1">
        <v>13.5</v>
      </c>
      <c r="D3011" s="1">
        <v>326</v>
      </c>
      <c r="E3011" s="1">
        <v>4</v>
      </c>
      <c r="F3011" s="1">
        <v>95</v>
      </c>
      <c r="I3011" s="1">
        <v>1</v>
      </c>
      <c r="J3011" s="1">
        <v>1</v>
      </c>
    </row>
    <row r="3012" spans="1:90" x14ac:dyDescent="0.3">
      <c r="A3012" s="1" t="s">
        <v>56</v>
      </c>
      <c r="B3012" s="7">
        <v>40764</v>
      </c>
      <c r="C3012" s="1">
        <v>13.5</v>
      </c>
      <c r="D3012" s="1">
        <v>326</v>
      </c>
      <c r="E3012" s="1">
        <v>4</v>
      </c>
      <c r="F3012" s="1">
        <v>96</v>
      </c>
      <c r="I3012" s="1">
        <v>1</v>
      </c>
      <c r="J3012" s="1">
        <v>1</v>
      </c>
    </row>
    <row r="3013" spans="1:90" x14ac:dyDescent="0.3">
      <c r="A3013" s="1" t="s">
        <v>56</v>
      </c>
      <c r="B3013" s="7">
        <v>40764</v>
      </c>
      <c r="C3013" s="1">
        <v>13.5</v>
      </c>
      <c r="D3013" s="1">
        <v>326</v>
      </c>
      <c r="E3013" s="1">
        <v>4</v>
      </c>
      <c r="F3013" s="1">
        <v>97</v>
      </c>
      <c r="I3013" s="1">
        <v>1</v>
      </c>
    </row>
    <row r="3014" spans="1:90" x14ac:dyDescent="0.3">
      <c r="A3014" s="1" t="s">
        <v>56</v>
      </c>
      <c r="B3014" s="7">
        <v>40764</v>
      </c>
      <c r="C3014" s="1">
        <v>13.5</v>
      </c>
      <c r="D3014" s="1">
        <v>326</v>
      </c>
      <c r="E3014" s="1">
        <v>4</v>
      </c>
      <c r="F3014" s="1">
        <v>98</v>
      </c>
      <c r="T3014" s="1">
        <v>1</v>
      </c>
    </row>
    <row r="3015" spans="1:90" x14ac:dyDescent="0.3">
      <c r="A3015" s="1" t="s">
        <v>56</v>
      </c>
      <c r="B3015" s="7">
        <v>40764</v>
      </c>
      <c r="C3015" s="1">
        <v>13.5</v>
      </c>
      <c r="D3015" s="1">
        <v>326</v>
      </c>
      <c r="E3015" s="1">
        <v>4</v>
      </c>
      <c r="F3015" s="1">
        <v>99</v>
      </c>
      <c r="J3015" s="1">
        <v>1</v>
      </c>
      <c r="T3015" s="8">
        <v>1</v>
      </c>
      <c r="U3015" s="8"/>
    </row>
    <row r="3016" spans="1:90" x14ac:dyDescent="0.3">
      <c r="A3016" s="1" t="s">
        <v>56</v>
      </c>
      <c r="B3016" s="7">
        <v>40764</v>
      </c>
      <c r="C3016" s="1">
        <v>13.5</v>
      </c>
      <c r="D3016" s="1">
        <v>326</v>
      </c>
      <c r="E3016" s="1">
        <v>4</v>
      </c>
      <c r="F3016" s="1">
        <v>100</v>
      </c>
      <c r="J3016" s="1">
        <v>1</v>
      </c>
    </row>
    <row r="3017" spans="1:90" s="12" customFormat="1" x14ac:dyDescent="0.3">
      <c r="A3017" s="14" t="s">
        <v>56</v>
      </c>
      <c r="B3017" s="13"/>
      <c r="G3017" s="12">
        <f>SUM(G2817:G3016)</f>
        <v>0</v>
      </c>
      <c r="H3017" s="12">
        <f t="shared" ref="H3017" si="1108">SUM(H2817:H3016)</f>
        <v>7</v>
      </c>
      <c r="I3017" s="12">
        <f t="shared" ref="I3017" si="1109">SUM(I2817:I3016)</f>
        <v>41</v>
      </c>
      <c r="J3017" s="12">
        <f t="shared" ref="J3017" si="1110">SUM(J2817:J3016)</f>
        <v>120</v>
      </c>
      <c r="K3017" s="12">
        <f t="shared" ref="K3017" si="1111">SUM(K2817:K3016)</f>
        <v>8</v>
      </c>
      <c r="L3017" s="12">
        <f t="shared" ref="L3017" si="1112">SUM(L2817:L3016)</f>
        <v>23</v>
      </c>
      <c r="M3017" s="12">
        <f t="shared" ref="M3017" si="1113">SUM(M2817:M3016)</f>
        <v>0</v>
      </c>
      <c r="N3017" s="12">
        <f t="shared" ref="N3017" si="1114">SUM(N2817:N3016)</f>
        <v>7</v>
      </c>
      <c r="O3017" s="12">
        <f t="shared" ref="O3017" si="1115">SUM(O2817:O3016)</f>
        <v>0</v>
      </c>
      <c r="P3017" s="12">
        <f t="shared" ref="P3017" si="1116">SUM(P2817:P3016)</f>
        <v>0</v>
      </c>
      <c r="Q3017" s="12">
        <f t="shared" ref="Q3017" si="1117">SUM(Q2817:Q3016)</f>
        <v>0</v>
      </c>
      <c r="R3017" s="12">
        <f t="shared" ref="R3017" si="1118">SUM(R2817:R3016)</f>
        <v>2</v>
      </c>
      <c r="S3017" s="12">
        <f t="shared" ref="S3017" si="1119">SUM(S2817:S3016)</f>
        <v>0</v>
      </c>
      <c r="T3017" s="12">
        <f t="shared" ref="T3017" si="1120">SUM(T2817:T3016)</f>
        <v>2</v>
      </c>
      <c r="U3017" s="12">
        <f t="shared" ref="U3017" si="1121">SUM(U2817:U3016)</f>
        <v>0</v>
      </c>
      <c r="V3017" s="12">
        <f t="shared" ref="V3017" si="1122">SUM(V2817:V3016)</f>
        <v>1</v>
      </c>
      <c r="W3017" s="12">
        <f t="shared" ref="W3017" si="1123">SUM(W2817:W3016)</f>
        <v>0</v>
      </c>
      <c r="X3017" s="12">
        <f t="shared" ref="X3017" si="1124">SUM(X2817:X3016)</f>
        <v>0</v>
      </c>
      <c r="Y3017" s="12">
        <f t="shared" ref="Y3017" si="1125">SUM(Y2817:Y3016)</f>
        <v>0</v>
      </c>
      <c r="Z3017" s="12">
        <f t="shared" ref="Z3017" si="1126">SUM(Z2817:Z3016)</f>
        <v>0</v>
      </c>
      <c r="AA3017" s="12">
        <f t="shared" ref="AA3017" si="1127">SUM(AA2817:AA3016)</f>
        <v>0</v>
      </c>
      <c r="AB3017" s="12">
        <f t="shared" ref="AB3017" si="1128">SUM(AB2817:AB3016)</f>
        <v>0</v>
      </c>
      <c r="AC3017" s="12">
        <f t="shared" ref="AC3017" si="1129">SUM(AC2817:AC3016)</f>
        <v>0</v>
      </c>
      <c r="AD3017" s="12">
        <f t="shared" ref="AD3017" si="1130">SUM(AD2817:AD3016)</f>
        <v>1</v>
      </c>
      <c r="AE3017" s="12">
        <f t="shared" ref="AE3017" si="1131">SUM(AE2817:AE3016)</f>
        <v>0</v>
      </c>
      <c r="AF3017" s="12">
        <f t="shared" ref="AF3017" si="1132">SUM(AF2817:AF3016)</f>
        <v>0</v>
      </c>
      <c r="AG3017" s="12">
        <f t="shared" ref="AG3017" si="1133">SUM(AG2817:AG3016)</f>
        <v>0</v>
      </c>
      <c r="AH3017" s="12">
        <f t="shared" ref="AH3017" si="1134">SUM(AH2817:AH3016)</f>
        <v>0</v>
      </c>
      <c r="AI3017" s="12">
        <f t="shared" ref="AI3017" si="1135">SUM(AI2817:AI3016)</f>
        <v>1</v>
      </c>
      <c r="AJ3017" s="12">
        <f t="shared" ref="AJ3017" si="1136">SUM(AJ2817:AJ3016)</f>
        <v>0</v>
      </c>
      <c r="AK3017" s="12">
        <f t="shared" ref="AK3017" si="1137">SUM(AK2817:AK3016)</f>
        <v>0</v>
      </c>
      <c r="AL3017" s="12">
        <f t="shared" ref="AL3017" si="1138">SUM(AL2817:AL3016)</f>
        <v>0</v>
      </c>
      <c r="AM3017" s="12">
        <f t="shared" ref="AM3017" si="1139">SUM(AM2817:AM3016)</f>
        <v>0</v>
      </c>
      <c r="AN3017" s="12">
        <f t="shared" ref="AN3017" si="1140">SUM(AN2817:AN3016)</f>
        <v>0</v>
      </c>
      <c r="AO3017" s="12">
        <f t="shared" ref="AO3017" si="1141">SUM(AO2817:AO3016)</f>
        <v>15</v>
      </c>
      <c r="AP3017" s="12">
        <f t="shared" ref="AP3017" si="1142">SUM(AP2817:AP3016)</f>
        <v>3</v>
      </c>
      <c r="AQ3017" s="12">
        <f t="shared" ref="AQ3017" si="1143">SUM(AQ2817:AQ3016)</f>
        <v>21</v>
      </c>
      <c r="AR3017" s="12">
        <f t="shared" ref="AR3017" si="1144">SUM(AR2817:AR3016)</f>
        <v>14</v>
      </c>
      <c r="AS3017" s="12">
        <f t="shared" ref="AS3017" si="1145">SUM(AS2817:AS3016)</f>
        <v>0</v>
      </c>
      <c r="AT3017" s="12">
        <f t="shared" ref="AT3017" si="1146">SUM(AT2817:AT3016)</f>
        <v>0</v>
      </c>
      <c r="AU3017" s="12">
        <f t="shared" ref="AU3017" si="1147">SUM(AU2817:AU3016)</f>
        <v>0</v>
      </c>
      <c r="AV3017" s="12">
        <f t="shared" ref="AV3017" si="1148">SUM(AV2817:AV3016)</f>
        <v>0</v>
      </c>
      <c r="AW3017" s="12">
        <f t="shared" ref="AW3017" si="1149">SUM(AW2817:AW3016)</f>
        <v>0</v>
      </c>
      <c r="AX3017" s="12">
        <f t="shared" ref="AX3017" si="1150">SUM(AX2817:AX3016)</f>
        <v>0</v>
      </c>
      <c r="AY3017" s="12">
        <f t="shared" ref="AY3017" si="1151">SUM(AY2817:AY3016)</f>
        <v>0</v>
      </c>
      <c r="AZ3017" s="12">
        <f t="shared" ref="AZ3017" si="1152">SUM(AZ2817:AZ3016)</f>
        <v>0</v>
      </c>
      <c r="BA3017" s="12">
        <f t="shared" ref="BA3017" si="1153">SUM(BA2817:BA3016)</f>
        <v>0</v>
      </c>
      <c r="BB3017" s="12">
        <f t="shared" ref="BB3017" si="1154">SUM(BB2817:BB3016)</f>
        <v>0</v>
      </c>
      <c r="BC3017" s="12">
        <f t="shared" ref="BC3017" si="1155">SUM(BC2817:BC3016)</f>
        <v>0</v>
      </c>
      <c r="BD3017" s="12">
        <f t="shared" ref="BD3017" si="1156">SUM(BD2817:BD3016)</f>
        <v>0</v>
      </c>
      <c r="BE3017" s="12">
        <f t="shared" ref="BE3017" si="1157">SUM(BE2817:BE3016)</f>
        <v>0</v>
      </c>
      <c r="BF3017" s="12">
        <f t="shared" ref="BF3017" si="1158">SUM(BF2817:BF3016)</f>
        <v>0</v>
      </c>
      <c r="BG3017" s="12">
        <f t="shared" ref="BG3017" si="1159">SUM(BG2817:BG3016)</f>
        <v>0</v>
      </c>
      <c r="BH3017" s="12">
        <f t="shared" ref="BH3017" si="1160">SUM(BH2817:BH3016)</f>
        <v>1</v>
      </c>
      <c r="BI3017" s="12">
        <f t="shared" ref="BI3017" si="1161">SUM(BI2817:BI3016)</f>
        <v>0</v>
      </c>
      <c r="BJ3017" s="12">
        <f t="shared" ref="BJ3017" si="1162">SUM(BJ2817:BJ3016)</f>
        <v>0</v>
      </c>
      <c r="BK3017" s="12">
        <f t="shared" ref="BK3017" si="1163">SUM(BK2817:BK3016)</f>
        <v>0</v>
      </c>
      <c r="BL3017" s="12">
        <f t="shared" ref="BL3017" si="1164">SUM(BL2817:BL3016)</f>
        <v>0</v>
      </c>
      <c r="BM3017" s="12">
        <f t="shared" ref="BM3017" si="1165">SUM(BM2817:BM3016)</f>
        <v>0</v>
      </c>
      <c r="BN3017" s="12">
        <f t="shared" ref="BN3017" si="1166">SUM(BN2817:BN3016)</f>
        <v>0</v>
      </c>
      <c r="BO3017" s="12">
        <f t="shared" ref="BO3017" si="1167">SUM(BO2817:BO3016)</f>
        <v>0</v>
      </c>
      <c r="BP3017" s="12">
        <f t="shared" ref="BP3017" si="1168">SUM(BP2817:BP3016)</f>
        <v>0</v>
      </c>
      <c r="BQ3017" s="12">
        <f t="shared" ref="BQ3017" si="1169">SUM(BQ2817:BQ3016)</f>
        <v>0</v>
      </c>
      <c r="BR3017" s="12">
        <f t="shared" ref="BR3017" si="1170">SUM(BR2817:BR3016)</f>
        <v>0</v>
      </c>
      <c r="BS3017" s="12">
        <f t="shared" ref="BS3017" si="1171">SUM(BS2817:BS3016)</f>
        <v>0</v>
      </c>
      <c r="BT3017" s="12">
        <f t="shared" ref="BT3017" si="1172">SUM(BT2817:BT3016)</f>
        <v>0</v>
      </c>
      <c r="BU3017" s="12">
        <f t="shared" ref="BU3017" si="1173">SUM(BU2817:BU3016)</f>
        <v>0</v>
      </c>
      <c r="BV3017" s="12">
        <f t="shared" ref="BV3017" si="1174">SUM(BV2817:BV3016)</f>
        <v>0</v>
      </c>
      <c r="BW3017" s="12">
        <f t="shared" ref="BW3017" si="1175">SUM(BW2817:BW3016)</f>
        <v>0</v>
      </c>
      <c r="BX3017" s="12">
        <f t="shared" ref="BX3017" si="1176">SUM(BX2817:BX3016)</f>
        <v>0</v>
      </c>
      <c r="BY3017" s="12">
        <f t="shared" ref="BY3017" si="1177">SUM(BY2817:BY3016)</f>
        <v>0</v>
      </c>
      <c r="BZ3017" s="12">
        <f t="shared" ref="BZ3017" si="1178">SUM(BZ2817:BZ3016)</f>
        <v>0</v>
      </c>
      <c r="CA3017" s="12">
        <f t="shared" ref="CA3017" si="1179">SUM(CA2817:CA3016)</f>
        <v>0</v>
      </c>
      <c r="CB3017" s="12">
        <f t="shared" ref="CB3017" si="1180">SUM(CB2817:CB3016)</f>
        <v>0</v>
      </c>
      <c r="CC3017" s="12">
        <f t="shared" ref="CC3017" si="1181">SUM(CC2817:CC3016)</f>
        <v>0</v>
      </c>
      <c r="CD3017" s="12">
        <f t="shared" ref="CD3017" si="1182">SUM(CD2817:CD3016)</f>
        <v>0</v>
      </c>
      <c r="CE3017" s="12">
        <f t="shared" ref="CE3017" si="1183">SUM(CE2817:CE3016)</f>
        <v>0</v>
      </c>
      <c r="CF3017" s="12">
        <f t="shared" ref="CF3017" si="1184">SUM(CF2817:CF3016)</f>
        <v>0</v>
      </c>
      <c r="CG3017" s="12">
        <f t="shared" ref="CG3017" si="1185">SUM(CG2817:CG3016)</f>
        <v>0</v>
      </c>
      <c r="CH3017" s="12">
        <f t="shared" ref="CH3017" si="1186">SUM(CH2817:CH3016)</f>
        <v>0</v>
      </c>
      <c r="CI3017" s="12">
        <f t="shared" ref="CI3017" si="1187">SUM(CI2817:CI3016)</f>
        <v>0</v>
      </c>
      <c r="CJ3017" s="12">
        <f t="shared" ref="CJ3017" si="1188">SUM(CJ2817:CJ3016)</f>
        <v>0</v>
      </c>
      <c r="CK3017" s="12">
        <f t="shared" ref="CK3017" si="1189">SUM(CK2817:CK3016)</f>
        <v>0</v>
      </c>
      <c r="CL3017" s="12">
        <f t="shared" ref="CL3017" si="1190">SUM(CL2817:CL3016)</f>
        <v>0</v>
      </c>
    </row>
    <row r="3018" spans="1:90" x14ac:dyDescent="0.3">
      <c r="A3018" s="1" t="s">
        <v>58</v>
      </c>
      <c r="B3018" s="7">
        <v>40764</v>
      </c>
      <c r="C3018" s="1">
        <v>5.5</v>
      </c>
      <c r="D3018" s="1">
        <v>239</v>
      </c>
      <c r="E3018" s="1">
        <v>2</v>
      </c>
      <c r="F3018" s="1">
        <v>1</v>
      </c>
      <c r="AA3018" s="1">
        <v>1</v>
      </c>
    </row>
    <row r="3019" spans="1:90" x14ac:dyDescent="0.3">
      <c r="A3019" s="1" t="s">
        <v>58</v>
      </c>
      <c r="B3019" s="7">
        <v>40764</v>
      </c>
      <c r="C3019" s="1">
        <v>5.5</v>
      </c>
      <c r="D3019" s="1">
        <v>239</v>
      </c>
      <c r="E3019" s="1">
        <v>2</v>
      </c>
      <c r="F3019" s="1">
        <v>2</v>
      </c>
      <c r="AA3019" s="1">
        <v>1</v>
      </c>
    </row>
    <row r="3020" spans="1:90" x14ac:dyDescent="0.3">
      <c r="A3020" s="1" t="s">
        <v>58</v>
      </c>
      <c r="B3020" s="7">
        <v>40764</v>
      </c>
      <c r="C3020" s="1">
        <v>5.5</v>
      </c>
      <c r="D3020" s="1">
        <v>239</v>
      </c>
      <c r="E3020" s="1">
        <v>2</v>
      </c>
      <c r="F3020" s="1">
        <v>3</v>
      </c>
      <c r="G3020" s="1">
        <v>1</v>
      </c>
    </row>
    <row r="3021" spans="1:90" x14ac:dyDescent="0.3">
      <c r="A3021" s="1" t="s">
        <v>58</v>
      </c>
      <c r="B3021" s="7">
        <v>40764</v>
      </c>
      <c r="C3021" s="1">
        <v>5.5</v>
      </c>
      <c r="D3021" s="1">
        <v>239</v>
      </c>
      <c r="E3021" s="1">
        <v>2</v>
      </c>
      <c r="F3021" s="1">
        <v>4</v>
      </c>
      <c r="AA3021" s="1">
        <v>1</v>
      </c>
    </row>
    <row r="3022" spans="1:90" x14ac:dyDescent="0.3">
      <c r="A3022" s="1" t="s">
        <v>58</v>
      </c>
      <c r="B3022" s="7">
        <v>40764</v>
      </c>
      <c r="C3022" s="1">
        <v>5.5</v>
      </c>
      <c r="D3022" s="1">
        <v>239</v>
      </c>
      <c r="E3022" s="1">
        <v>2</v>
      </c>
      <c r="F3022" s="1">
        <v>5</v>
      </c>
      <c r="AA3022" s="1">
        <v>1</v>
      </c>
    </row>
    <row r="3023" spans="1:90" x14ac:dyDescent="0.3">
      <c r="A3023" s="1" t="s">
        <v>58</v>
      </c>
      <c r="B3023" s="7">
        <v>40764</v>
      </c>
      <c r="C3023" s="1">
        <v>5.5</v>
      </c>
      <c r="D3023" s="1">
        <v>239</v>
      </c>
      <c r="E3023" s="1">
        <v>2</v>
      </c>
      <c r="F3023" s="1">
        <v>6</v>
      </c>
      <c r="AA3023" s="1">
        <v>1</v>
      </c>
      <c r="AO3023" s="1">
        <v>1</v>
      </c>
    </row>
    <row r="3024" spans="1:90" x14ac:dyDescent="0.3">
      <c r="A3024" s="1" t="s">
        <v>58</v>
      </c>
      <c r="B3024" s="7">
        <v>40764</v>
      </c>
      <c r="C3024" s="1">
        <v>5.5</v>
      </c>
      <c r="D3024" s="1">
        <v>239</v>
      </c>
      <c r="E3024" s="1">
        <v>2</v>
      </c>
      <c r="F3024" s="1">
        <v>7</v>
      </c>
      <c r="AO3024" s="3">
        <v>0</v>
      </c>
      <c r="AP3024" s="3">
        <v>1</v>
      </c>
    </row>
    <row r="3025" spans="1:60" x14ac:dyDescent="0.3">
      <c r="A3025" s="1" t="s">
        <v>58</v>
      </c>
      <c r="B3025" s="7">
        <v>40764</v>
      </c>
      <c r="C3025" s="1">
        <v>5.5</v>
      </c>
      <c r="D3025" s="1">
        <v>239</v>
      </c>
      <c r="E3025" s="1">
        <v>2</v>
      </c>
      <c r="F3025" s="1">
        <v>8</v>
      </c>
      <c r="AA3025" s="1">
        <v>1</v>
      </c>
    </row>
    <row r="3026" spans="1:60" x14ac:dyDescent="0.3">
      <c r="A3026" s="1" t="s">
        <v>58</v>
      </c>
      <c r="B3026" s="7">
        <v>40764</v>
      </c>
      <c r="C3026" s="1">
        <v>5.5</v>
      </c>
      <c r="D3026" s="1">
        <v>239</v>
      </c>
      <c r="E3026" s="1">
        <v>2</v>
      </c>
      <c r="F3026" s="1">
        <v>9</v>
      </c>
      <c r="I3026" s="1">
        <v>1</v>
      </c>
    </row>
    <row r="3027" spans="1:60" x14ac:dyDescent="0.3">
      <c r="A3027" s="1" t="s">
        <v>58</v>
      </c>
      <c r="B3027" s="7">
        <v>40764</v>
      </c>
      <c r="C3027" s="1">
        <v>5.5</v>
      </c>
      <c r="D3027" s="1">
        <v>239</v>
      </c>
      <c r="E3027" s="1">
        <v>2</v>
      </c>
      <c r="F3027" s="1">
        <v>10</v>
      </c>
      <c r="I3027" s="1">
        <v>1</v>
      </c>
    </row>
    <row r="3028" spans="1:60" x14ac:dyDescent="0.3">
      <c r="A3028" s="1" t="s">
        <v>58</v>
      </c>
      <c r="B3028" s="7">
        <v>40764</v>
      </c>
      <c r="C3028" s="1">
        <v>5.5</v>
      </c>
      <c r="D3028" s="1">
        <v>239</v>
      </c>
      <c r="E3028" s="1">
        <v>2</v>
      </c>
      <c r="F3028" s="1">
        <v>11</v>
      </c>
      <c r="AA3028" s="1">
        <v>1</v>
      </c>
    </row>
    <row r="3029" spans="1:60" x14ac:dyDescent="0.3">
      <c r="A3029" s="1" t="s">
        <v>58</v>
      </c>
      <c r="B3029" s="7">
        <v>40764</v>
      </c>
      <c r="C3029" s="1">
        <v>5.5</v>
      </c>
      <c r="D3029" s="1">
        <v>239</v>
      </c>
      <c r="E3029" s="1">
        <v>2</v>
      </c>
      <c r="F3029" s="1">
        <v>12</v>
      </c>
      <c r="AA3029" s="1">
        <v>1</v>
      </c>
    </row>
    <row r="3030" spans="1:60" x14ac:dyDescent="0.3">
      <c r="A3030" s="1" t="s">
        <v>58</v>
      </c>
      <c r="B3030" s="7">
        <v>40764</v>
      </c>
      <c r="C3030" s="1">
        <v>5.5</v>
      </c>
      <c r="D3030" s="1">
        <v>239</v>
      </c>
      <c r="E3030" s="1">
        <v>2</v>
      </c>
      <c r="F3030" s="1">
        <v>13</v>
      </c>
      <c r="G3030" s="1">
        <v>1</v>
      </c>
    </row>
    <row r="3031" spans="1:60" x14ac:dyDescent="0.3">
      <c r="A3031" s="1" t="s">
        <v>58</v>
      </c>
      <c r="B3031" s="7">
        <v>40764</v>
      </c>
      <c r="C3031" s="1">
        <v>5.5</v>
      </c>
      <c r="D3031" s="1">
        <v>239</v>
      </c>
      <c r="E3031" s="1">
        <v>2</v>
      </c>
      <c r="F3031" s="1">
        <v>14</v>
      </c>
      <c r="J3031" s="1">
        <v>1</v>
      </c>
    </row>
    <row r="3032" spans="1:60" x14ac:dyDescent="0.3">
      <c r="A3032" s="1" t="s">
        <v>58</v>
      </c>
      <c r="B3032" s="7">
        <v>40764</v>
      </c>
      <c r="C3032" s="1">
        <v>5.5</v>
      </c>
      <c r="D3032" s="1">
        <v>239</v>
      </c>
      <c r="E3032" s="1">
        <v>2</v>
      </c>
      <c r="F3032" s="1">
        <v>15</v>
      </c>
      <c r="AA3032" s="1">
        <v>1</v>
      </c>
    </row>
    <row r="3033" spans="1:60" x14ac:dyDescent="0.3">
      <c r="A3033" s="1" t="s">
        <v>58</v>
      </c>
      <c r="B3033" s="7">
        <v>40764</v>
      </c>
      <c r="C3033" s="1">
        <v>5.5</v>
      </c>
      <c r="D3033" s="1">
        <v>239</v>
      </c>
      <c r="E3033" s="1">
        <v>2</v>
      </c>
      <c r="F3033" s="1">
        <v>16</v>
      </c>
      <c r="AA3033" s="1">
        <v>1</v>
      </c>
      <c r="BG3033" s="3">
        <v>0</v>
      </c>
      <c r="BH3033" s="3">
        <v>1</v>
      </c>
    </row>
    <row r="3034" spans="1:60" x14ac:dyDescent="0.3">
      <c r="A3034" s="1" t="s">
        <v>58</v>
      </c>
      <c r="B3034" s="7">
        <v>40764</v>
      </c>
      <c r="C3034" s="1">
        <v>5.5</v>
      </c>
      <c r="D3034" s="1">
        <v>239</v>
      </c>
      <c r="E3034" s="1">
        <v>2</v>
      </c>
      <c r="F3034" s="1">
        <v>17</v>
      </c>
      <c r="J3034" s="1">
        <v>1</v>
      </c>
    </row>
    <row r="3035" spans="1:60" x14ac:dyDescent="0.3">
      <c r="A3035" s="1" t="s">
        <v>58</v>
      </c>
      <c r="B3035" s="7">
        <v>40764</v>
      </c>
      <c r="C3035" s="1">
        <v>5.5</v>
      </c>
      <c r="D3035" s="1">
        <v>239</v>
      </c>
      <c r="E3035" s="1">
        <v>2</v>
      </c>
      <c r="F3035" s="1">
        <v>18</v>
      </c>
      <c r="AA3035" s="1">
        <v>1</v>
      </c>
    </row>
    <row r="3036" spans="1:60" x14ac:dyDescent="0.3">
      <c r="A3036" s="1" t="s">
        <v>58</v>
      </c>
      <c r="B3036" s="7">
        <v>40764</v>
      </c>
      <c r="C3036" s="1">
        <v>5.5</v>
      </c>
      <c r="D3036" s="1">
        <v>239</v>
      </c>
      <c r="E3036" s="1">
        <v>2</v>
      </c>
      <c r="F3036" s="1">
        <v>19</v>
      </c>
      <c r="J3036" s="1">
        <v>1</v>
      </c>
    </row>
    <row r="3037" spans="1:60" x14ac:dyDescent="0.3">
      <c r="A3037" s="1" t="s">
        <v>58</v>
      </c>
      <c r="B3037" s="7">
        <v>40764</v>
      </c>
      <c r="C3037" s="1">
        <v>5.5</v>
      </c>
      <c r="D3037" s="1">
        <v>239</v>
      </c>
      <c r="E3037" s="1">
        <v>2</v>
      </c>
      <c r="F3037" s="1">
        <v>20</v>
      </c>
      <c r="AA3037" s="1">
        <v>1</v>
      </c>
    </row>
    <row r="3038" spans="1:60" x14ac:dyDescent="0.3">
      <c r="A3038" s="1" t="s">
        <v>58</v>
      </c>
      <c r="B3038" s="7">
        <v>40764</v>
      </c>
      <c r="C3038" s="1">
        <v>5.5</v>
      </c>
      <c r="D3038" s="1">
        <v>239</v>
      </c>
      <c r="E3038" s="1">
        <v>2</v>
      </c>
      <c r="F3038" s="1">
        <v>21</v>
      </c>
      <c r="H3038" s="1">
        <v>1</v>
      </c>
    </row>
    <row r="3039" spans="1:60" x14ac:dyDescent="0.3">
      <c r="A3039" s="1" t="s">
        <v>58</v>
      </c>
      <c r="B3039" s="7">
        <v>40764</v>
      </c>
      <c r="C3039" s="1">
        <v>5.5</v>
      </c>
      <c r="D3039" s="1">
        <v>239</v>
      </c>
      <c r="E3039" s="1">
        <v>2</v>
      </c>
      <c r="F3039" s="1">
        <v>22</v>
      </c>
      <c r="J3039" s="3">
        <v>0</v>
      </c>
      <c r="K3039" s="3">
        <v>1</v>
      </c>
    </row>
    <row r="3040" spans="1:60" x14ac:dyDescent="0.3">
      <c r="A3040" s="1" t="s">
        <v>58</v>
      </c>
      <c r="B3040" s="7">
        <v>40764</v>
      </c>
      <c r="C3040" s="1">
        <v>5.5</v>
      </c>
      <c r="D3040" s="1">
        <v>239</v>
      </c>
      <c r="E3040" s="1">
        <v>2</v>
      </c>
      <c r="F3040" s="1">
        <v>23</v>
      </c>
      <c r="I3040" s="1">
        <v>1</v>
      </c>
    </row>
    <row r="3041" spans="1:27" x14ac:dyDescent="0.3">
      <c r="A3041" s="1" t="s">
        <v>58</v>
      </c>
      <c r="B3041" s="7">
        <v>40764</v>
      </c>
      <c r="C3041" s="1">
        <v>5.5</v>
      </c>
      <c r="D3041" s="1">
        <v>239</v>
      </c>
      <c r="E3041" s="1">
        <v>2</v>
      </c>
      <c r="F3041" s="1">
        <v>24</v>
      </c>
      <c r="J3041" s="1">
        <v>1</v>
      </c>
    </row>
    <row r="3042" spans="1:27" x14ac:dyDescent="0.3">
      <c r="A3042" s="1" t="s">
        <v>58</v>
      </c>
      <c r="B3042" s="7">
        <v>40764</v>
      </c>
      <c r="C3042" s="1">
        <v>5.5</v>
      </c>
      <c r="D3042" s="1">
        <v>239</v>
      </c>
      <c r="E3042" s="1">
        <v>2</v>
      </c>
      <c r="F3042" s="1">
        <v>25</v>
      </c>
      <c r="AA3042" s="1">
        <v>1</v>
      </c>
    </row>
    <row r="3043" spans="1:27" x14ac:dyDescent="0.3">
      <c r="A3043" s="1" t="s">
        <v>58</v>
      </c>
      <c r="B3043" s="7">
        <v>40764</v>
      </c>
      <c r="C3043" s="1">
        <v>5.5</v>
      </c>
      <c r="D3043" s="1">
        <v>239</v>
      </c>
      <c r="E3043" s="1">
        <v>2</v>
      </c>
      <c r="F3043" s="1">
        <v>26</v>
      </c>
      <c r="I3043" s="1">
        <v>1</v>
      </c>
    </row>
    <row r="3044" spans="1:27" x14ac:dyDescent="0.3">
      <c r="A3044" s="1" t="s">
        <v>58</v>
      </c>
      <c r="B3044" s="7">
        <v>40764</v>
      </c>
      <c r="C3044" s="1">
        <v>5.5</v>
      </c>
      <c r="D3044" s="1">
        <v>239</v>
      </c>
      <c r="E3044" s="1">
        <v>2</v>
      </c>
      <c r="F3044" s="1">
        <v>27</v>
      </c>
      <c r="J3044" s="1">
        <v>1</v>
      </c>
    </row>
    <row r="3045" spans="1:27" x14ac:dyDescent="0.3">
      <c r="A3045" s="1" t="s">
        <v>58</v>
      </c>
      <c r="B3045" s="7">
        <v>40764</v>
      </c>
      <c r="C3045" s="1">
        <v>5.5</v>
      </c>
      <c r="D3045" s="1">
        <v>239</v>
      </c>
      <c r="E3045" s="1">
        <v>2</v>
      </c>
      <c r="F3045" s="1">
        <v>28</v>
      </c>
    </row>
    <row r="3046" spans="1:27" x14ac:dyDescent="0.3">
      <c r="A3046" s="1" t="s">
        <v>58</v>
      </c>
      <c r="B3046" s="7">
        <v>40764</v>
      </c>
      <c r="C3046" s="1">
        <v>5.5</v>
      </c>
      <c r="D3046" s="1">
        <v>239</v>
      </c>
      <c r="E3046" s="1">
        <v>2</v>
      </c>
      <c r="F3046" s="1">
        <v>29</v>
      </c>
      <c r="N3046" s="1">
        <v>1</v>
      </c>
    </row>
    <row r="3047" spans="1:27" x14ac:dyDescent="0.3">
      <c r="A3047" s="1" t="s">
        <v>58</v>
      </c>
      <c r="B3047" s="7">
        <v>40764</v>
      </c>
      <c r="C3047" s="1">
        <v>5.5</v>
      </c>
      <c r="D3047" s="1">
        <v>239</v>
      </c>
      <c r="E3047" s="1">
        <v>2</v>
      </c>
      <c r="F3047" s="1">
        <v>30</v>
      </c>
      <c r="J3047" s="1">
        <v>1</v>
      </c>
    </row>
    <row r="3048" spans="1:27" x14ac:dyDescent="0.3">
      <c r="A3048" s="1" t="s">
        <v>58</v>
      </c>
      <c r="B3048" s="7">
        <v>40764</v>
      </c>
      <c r="C3048" s="1">
        <v>5.5</v>
      </c>
      <c r="D3048" s="1">
        <v>239</v>
      </c>
      <c r="E3048" s="1">
        <v>2</v>
      </c>
      <c r="F3048" s="1">
        <v>31</v>
      </c>
      <c r="I3048" s="1">
        <v>1</v>
      </c>
      <c r="L3048" s="1">
        <v>1</v>
      </c>
    </row>
    <row r="3049" spans="1:27" x14ac:dyDescent="0.3">
      <c r="A3049" s="1" t="s">
        <v>58</v>
      </c>
      <c r="B3049" s="7">
        <v>40764</v>
      </c>
      <c r="C3049" s="1">
        <v>5.5</v>
      </c>
      <c r="D3049" s="1">
        <v>239</v>
      </c>
      <c r="E3049" s="1">
        <v>2</v>
      </c>
      <c r="F3049" s="1">
        <v>32</v>
      </c>
      <c r="J3049" s="1">
        <v>1</v>
      </c>
    </row>
    <row r="3050" spans="1:27" x14ac:dyDescent="0.3">
      <c r="A3050" s="1" t="s">
        <v>58</v>
      </c>
      <c r="B3050" s="7">
        <v>40764</v>
      </c>
      <c r="C3050" s="1">
        <v>5.5</v>
      </c>
      <c r="D3050" s="1">
        <v>239</v>
      </c>
      <c r="E3050" s="1">
        <v>2</v>
      </c>
      <c r="F3050" s="1">
        <v>33</v>
      </c>
      <c r="J3050" s="1">
        <v>1</v>
      </c>
    </row>
    <row r="3051" spans="1:27" x14ac:dyDescent="0.3">
      <c r="A3051" s="1" t="s">
        <v>58</v>
      </c>
      <c r="B3051" s="7">
        <v>40764</v>
      </c>
      <c r="C3051" s="1">
        <v>5.5</v>
      </c>
      <c r="D3051" s="1">
        <v>239</v>
      </c>
      <c r="E3051" s="1">
        <v>2</v>
      </c>
      <c r="F3051" s="1">
        <v>34</v>
      </c>
      <c r="I3051" s="1">
        <v>1</v>
      </c>
    </row>
    <row r="3052" spans="1:27" x14ac:dyDescent="0.3">
      <c r="A3052" s="1" t="s">
        <v>58</v>
      </c>
      <c r="B3052" s="7">
        <v>40764</v>
      </c>
      <c r="C3052" s="1">
        <v>5.5</v>
      </c>
      <c r="D3052" s="1">
        <v>239</v>
      </c>
      <c r="E3052" s="1">
        <v>2</v>
      </c>
      <c r="F3052" s="1">
        <v>35</v>
      </c>
      <c r="J3052" s="3">
        <v>0</v>
      </c>
      <c r="K3052" s="3">
        <v>1</v>
      </c>
    </row>
    <row r="3053" spans="1:27" x14ac:dyDescent="0.3">
      <c r="A3053" s="1" t="s">
        <v>58</v>
      </c>
      <c r="B3053" s="7">
        <v>40764</v>
      </c>
      <c r="C3053" s="1">
        <v>5.5</v>
      </c>
      <c r="D3053" s="1">
        <v>239</v>
      </c>
      <c r="E3053" s="1">
        <v>2</v>
      </c>
      <c r="F3053" s="1">
        <v>36</v>
      </c>
      <c r="J3053" s="1">
        <v>1</v>
      </c>
      <c r="AA3053" s="1">
        <v>1</v>
      </c>
    </row>
    <row r="3054" spans="1:27" x14ac:dyDescent="0.3">
      <c r="A3054" s="1" t="s">
        <v>58</v>
      </c>
      <c r="B3054" s="7">
        <v>40764</v>
      </c>
      <c r="C3054" s="1">
        <v>5.5</v>
      </c>
      <c r="D3054" s="1">
        <v>239</v>
      </c>
      <c r="E3054" s="1">
        <v>2</v>
      </c>
      <c r="F3054" s="1">
        <v>37</v>
      </c>
      <c r="J3054" s="1">
        <v>1</v>
      </c>
    </row>
    <row r="3055" spans="1:27" x14ac:dyDescent="0.3">
      <c r="A3055" s="1" t="s">
        <v>58</v>
      </c>
      <c r="B3055" s="7">
        <v>40764</v>
      </c>
      <c r="C3055" s="1">
        <v>5.5</v>
      </c>
      <c r="D3055" s="1">
        <v>239</v>
      </c>
      <c r="E3055" s="1">
        <v>2</v>
      </c>
      <c r="F3055" s="1">
        <v>38</v>
      </c>
      <c r="H3055" s="1">
        <v>1</v>
      </c>
    </row>
    <row r="3056" spans="1:27" x14ac:dyDescent="0.3">
      <c r="A3056" s="1" t="s">
        <v>58</v>
      </c>
      <c r="B3056" s="7">
        <v>40764</v>
      </c>
      <c r="C3056" s="1">
        <v>5.5</v>
      </c>
      <c r="D3056" s="1">
        <v>239</v>
      </c>
      <c r="E3056" s="1">
        <v>2</v>
      </c>
      <c r="F3056" s="1">
        <v>39</v>
      </c>
      <c r="N3056" s="1">
        <v>1</v>
      </c>
    </row>
    <row r="3057" spans="1:41" x14ac:dyDescent="0.3">
      <c r="A3057" s="1" t="s">
        <v>58</v>
      </c>
      <c r="B3057" s="7">
        <v>40764</v>
      </c>
      <c r="C3057" s="1">
        <v>5.5</v>
      </c>
      <c r="D3057" s="1">
        <v>239</v>
      </c>
      <c r="E3057" s="1">
        <v>2</v>
      </c>
      <c r="F3057" s="1">
        <v>40</v>
      </c>
    </row>
    <row r="3058" spans="1:41" x14ac:dyDescent="0.3">
      <c r="A3058" s="1" t="s">
        <v>58</v>
      </c>
      <c r="B3058" s="7">
        <v>40764</v>
      </c>
      <c r="C3058" s="1">
        <v>5.5</v>
      </c>
      <c r="D3058" s="1">
        <v>239</v>
      </c>
      <c r="E3058" s="1">
        <v>2</v>
      </c>
      <c r="F3058" s="1">
        <v>41</v>
      </c>
      <c r="L3058" s="3">
        <v>0</v>
      </c>
      <c r="M3058" s="3">
        <v>1</v>
      </c>
    </row>
    <row r="3059" spans="1:41" x14ac:dyDescent="0.3">
      <c r="A3059" s="1" t="s">
        <v>58</v>
      </c>
      <c r="B3059" s="7">
        <v>40764</v>
      </c>
      <c r="C3059" s="1">
        <v>5.5</v>
      </c>
      <c r="D3059" s="1">
        <v>239</v>
      </c>
      <c r="E3059" s="1">
        <v>2</v>
      </c>
      <c r="F3059" s="1">
        <v>42</v>
      </c>
      <c r="AA3059" s="1">
        <v>1</v>
      </c>
    </row>
    <row r="3060" spans="1:41" x14ac:dyDescent="0.3">
      <c r="A3060" s="1" t="s">
        <v>58</v>
      </c>
      <c r="B3060" s="7">
        <v>40764</v>
      </c>
      <c r="C3060" s="1">
        <v>5.5</v>
      </c>
      <c r="D3060" s="1">
        <v>239</v>
      </c>
      <c r="E3060" s="1">
        <v>2</v>
      </c>
      <c r="F3060" s="1">
        <v>43</v>
      </c>
      <c r="J3060" s="3">
        <v>0</v>
      </c>
      <c r="K3060" s="3">
        <v>1</v>
      </c>
    </row>
    <row r="3061" spans="1:41" x14ac:dyDescent="0.3">
      <c r="A3061" s="1" t="s">
        <v>58</v>
      </c>
      <c r="B3061" s="7">
        <v>40764</v>
      </c>
      <c r="C3061" s="1">
        <v>5.5</v>
      </c>
      <c r="D3061" s="1">
        <v>239</v>
      </c>
      <c r="E3061" s="1">
        <v>2</v>
      </c>
      <c r="F3061" s="1">
        <v>44</v>
      </c>
      <c r="AA3061" s="1">
        <v>1</v>
      </c>
    </row>
    <row r="3062" spans="1:41" x14ac:dyDescent="0.3">
      <c r="A3062" s="1" t="s">
        <v>58</v>
      </c>
      <c r="B3062" s="7">
        <v>40764</v>
      </c>
      <c r="C3062" s="1">
        <v>5.5</v>
      </c>
      <c r="D3062" s="1">
        <v>239</v>
      </c>
      <c r="E3062" s="1">
        <v>2</v>
      </c>
      <c r="F3062" s="1">
        <v>45</v>
      </c>
      <c r="AA3062" s="1">
        <v>1</v>
      </c>
    </row>
    <row r="3063" spans="1:41" x14ac:dyDescent="0.3">
      <c r="A3063" s="1" t="s">
        <v>58</v>
      </c>
      <c r="B3063" s="7">
        <v>40764</v>
      </c>
      <c r="C3063" s="1">
        <v>5.5</v>
      </c>
      <c r="D3063" s="1">
        <v>239</v>
      </c>
      <c r="E3063" s="1">
        <v>2</v>
      </c>
      <c r="F3063" s="1">
        <v>46</v>
      </c>
      <c r="J3063" s="3">
        <v>0</v>
      </c>
      <c r="K3063" s="3">
        <v>1</v>
      </c>
    </row>
    <row r="3064" spans="1:41" x14ac:dyDescent="0.3">
      <c r="A3064" s="1" t="s">
        <v>58</v>
      </c>
      <c r="B3064" s="7">
        <v>40764</v>
      </c>
      <c r="C3064" s="1">
        <v>5.5</v>
      </c>
      <c r="D3064" s="1">
        <v>239</v>
      </c>
      <c r="E3064" s="1">
        <v>2</v>
      </c>
      <c r="F3064" s="1">
        <v>47</v>
      </c>
      <c r="J3064" s="1">
        <v>1</v>
      </c>
    </row>
    <row r="3065" spans="1:41" x14ac:dyDescent="0.3">
      <c r="A3065" s="1" t="s">
        <v>58</v>
      </c>
      <c r="B3065" s="7">
        <v>40764</v>
      </c>
      <c r="C3065" s="1">
        <v>5.5</v>
      </c>
      <c r="D3065" s="1">
        <v>239</v>
      </c>
      <c r="E3065" s="1">
        <v>2</v>
      </c>
      <c r="F3065" s="1">
        <v>48</v>
      </c>
      <c r="J3065" s="3">
        <v>0</v>
      </c>
      <c r="K3065" s="3">
        <v>1</v>
      </c>
    </row>
    <row r="3066" spans="1:41" x14ac:dyDescent="0.3">
      <c r="A3066" s="1" t="s">
        <v>58</v>
      </c>
      <c r="B3066" s="7">
        <v>40764</v>
      </c>
      <c r="C3066" s="1">
        <v>5.5</v>
      </c>
      <c r="D3066" s="1">
        <v>239</v>
      </c>
      <c r="E3066" s="1">
        <v>2</v>
      </c>
      <c r="F3066" s="1">
        <v>49</v>
      </c>
    </row>
    <row r="3067" spans="1:41" x14ac:dyDescent="0.3">
      <c r="A3067" s="1" t="s">
        <v>58</v>
      </c>
      <c r="B3067" s="7">
        <v>40764</v>
      </c>
      <c r="C3067" s="1">
        <v>5.5</v>
      </c>
      <c r="D3067" s="1">
        <v>239</v>
      </c>
      <c r="E3067" s="1">
        <v>2</v>
      </c>
      <c r="F3067" s="1">
        <v>50</v>
      </c>
    </row>
    <row r="3068" spans="1:41" x14ac:dyDescent="0.3">
      <c r="A3068" s="1" t="s">
        <v>58</v>
      </c>
      <c r="B3068" s="7">
        <v>40764</v>
      </c>
      <c r="C3068" s="1">
        <v>5.5</v>
      </c>
      <c r="D3068" s="1">
        <v>239</v>
      </c>
      <c r="E3068" s="1">
        <v>2</v>
      </c>
      <c r="F3068" s="1">
        <v>51</v>
      </c>
      <c r="J3068" s="3">
        <v>0</v>
      </c>
      <c r="K3068" s="3">
        <v>1</v>
      </c>
      <c r="AA3068" s="1">
        <v>1</v>
      </c>
    </row>
    <row r="3069" spans="1:41" x14ac:dyDescent="0.3">
      <c r="A3069" s="1" t="s">
        <v>58</v>
      </c>
      <c r="B3069" s="7">
        <v>40764</v>
      </c>
      <c r="C3069" s="1">
        <v>5.5</v>
      </c>
      <c r="D3069" s="1">
        <v>239</v>
      </c>
      <c r="E3069" s="1">
        <v>2</v>
      </c>
      <c r="F3069" s="1">
        <v>52</v>
      </c>
      <c r="I3069" s="1">
        <v>1</v>
      </c>
      <c r="AO3069" s="1">
        <v>1</v>
      </c>
    </row>
    <row r="3070" spans="1:41" x14ac:dyDescent="0.3">
      <c r="A3070" s="1" t="s">
        <v>58</v>
      </c>
      <c r="B3070" s="7">
        <v>40764</v>
      </c>
      <c r="C3070" s="1">
        <v>5.5</v>
      </c>
      <c r="D3070" s="1">
        <v>239</v>
      </c>
      <c r="E3070" s="1">
        <v>2</v>
      </c>
      <c r="F3070" s="1">
        <v>53</v>
      </c>
      <c r="AA3070" s="1">
        <v>1</v>
      </c>
    </row>
    <row r="3071" spans="1:41" x14ac:dyDescent="0.3">
      <c r="A3071" s="1" t="s">
        <v>58</v>
      </c>
      <c r="B3071" s="7">
        <v>40764</v>
      </c>
      <c r="C3071" s="1">
        <v>5.5</v>
      </c>
      <c r="D3071" s="1">
        <v>239</v>
      </c>
      <c r="E3071" s="1">
        <v>2</v>
      </c>
      <c r="F3071" s="1">
        <v>54</v>
      </c>
      <c r="AA3071" s="1">
        <v>1</v>
      </c>
    </row>
    <row r="3072" spans="1:41" x14ac:dyDescent="0.3">
      <c r="A3072" s="1" t="s">
        <v>58</v>
      </c>
      <c r="B3072" s="7">
        <v>40764</v>
      </c>
      <c r="C3072" s="1">
        <v>5.5</v>
      </c>
      <c r="D3072" s="1">
        <v>239</v>
      </c>
      <c r="E3072" s="1">
        <v>2</v>
      </c>
      <c r="F3072" s="1">
        <v>55</v>
      </c>
      <c r="AA3072" s="1">
        <v>1</v>
      </c>
      <c r="AO3072" s="1">
        <v>1</v>
      </c>
    </row>
    <row r="3073" spans="1:41" x14ac:dyDescent="0.3">
      <c r="A3073" s="1" t="s">
        <v>58</v>
      </c>
      <c r="B3073" s="7">
        <v>40764</v>
      </c>
      <c r="C3073" s="1">
        <v>5.5</v>
      </c>
      <c r="D3073" s="1">
        <v>239</v>
      </c>
      <c r="E3073" s="1">
        <v>2</v>
      </c>
      <c r="F3073" s="1">
        <v>56</v>
      </c>
      <c r="J3073" s="3">
        <v>0</v>
      </c>
      <c r="K3073" s="3">
        <v>1</v>
      </c>
    </row>
    <row r="3074" spans="1:41" x14ac:dyDescent="0.3">
      <c r="A3074" s="1" t="s">
        <v>58</v>
      </c>
      <c r="B3074" s="7">
        <v>40764</v>
      </c>
      <c r="C3074" s="1">
        <v>5.5</v>
      </c>
      <c r="D3074" s="1">
        <v>239</v>
      </c>
      <c r="E3074" s="1">
        <v>2</v>
      </c>
      <c r="F3074" s="1">
        <v>57</v>
      </c>
      <c r="J3074" s="1">
        <v>1</v>
      </c>
    </row>
    <row r="3075" spans="1:41" x14ac:dyDescent="0.3">
      <c r="A3075" s="1" t="s">
        <v>58</v>
      </c>
      <c r="B3075" s="7">
        <v>40764</v>
      </c>
      <c r="C3075" s="1">
        <v>5.5</v>
      </c>
      <c r="D3075" s="1">
        <v>239</v>
      </c>
      <c r="E3075" s="1">
        <v>2</v>
      </c>
      <c r="F3075" s="1">
        <v>58</v>
      </c>
      <c r="I3075" s="1">
        <v>1</v>
      </c>
      <c r="AO3075" s="1">
        <v>1</v>
      </c>
    </row>
    <row r="3076" spans="1:41" x14ac:dyDescent="0.3">
      <c r="A3076" s="1" t="s">
        <v>58</v>
      </c>
      <c r="B3076" s="7">
        <v>40764</v>
      </c>
      <c r="C3076" s="1">
        <v>5.5</v>
      </c>
      <c r="D3076" s="1">
        <v>239</v>
      </c>
      <c r="E3076" s="1">
        <v>2</v>
      </c>
      <c r="F3076" s="1">
        <v>59</v>
      </c>
      <c r="AA3076" s="1">
        <v>1</v>
      </c>
    </row>
    <row r="3077" spans="1:41" x14ac:dyDescent="0.3">
      <c r="A3077" s="1" t="s">
        <v>58</v>
      </c>
      <c r="B3077" s="7">
        <v>40764</v>
      </c>
      <c r="C3077" s="1">
        <v>5.5</v>
      </c>
      <c r="D3077" s="1">
        <v>239</v>
      </c>
      <c r="E3077" s="1">
        <v>2</v>
      </c>
      <c r="F3077" s="1">
        <v>60</v>
      </c>
    </row>
    <row r="3078" spans="1:41" x14ac:dyDescent="0.3">
      <c r="A3078" s="1" t="s">
        <v>58</v>
      </c>
      <c r="B3078" s="7">
        <v>40764</v>
      </c>
      <c r="C3078" s="1">
        <v>5.5</v>
      </c>
      <c r="D3078" s="1">
        <v>239</v>
      </c>
      <c r="E3078" s="1">
        <v>2</v>
      </c>
      <c r="F3078" s="1">
        <v>61</v>
      </c>
      <c r="J3078" s="1">
        <v>1</v>
      </c>
      <c r="AO3078" s="1">
        <v>1</v>
      </c>
    </row>
    <row r="3079" spans="1:41" x14ac:dyDescent="0.3">
      <c r="A3079" s="1" t="s">
        <v>58</v>
      </c>
      <c r="B3079" s="7">
        <v>40764</v>
      </c>
      <c r="C3079" s="1">
        <v>5.5</v>
      </c>
      <c r="D3079" s="1">
        <v>239</v>
      </c>
      <c r="E3079" s="1">
        <v>2</v>
      </c>
      <c r="F3079" s="1">
        <v>62</v>
      </c>
    </row>
    <row r="3080" spans="1:41" x14ac:dyDescent="0.3">
      <c r="A3080" s="1" t="s">
        <v>58</v>
      </c>
      <c r="B3080" s="7">
        <v>40764</v>
      </c>
      <c r="C3080" s="1">
        <v>5.5</v>
      </c>
      <c r="D3080" s="1">
        <v>239</v>
      </c>
      <c r="E3080" s="1">
        <v>2</v>
      </c>
      <c r="F3080" s="1">
        <v>63</v>
      </c>
      <c r="I3080" s="1">
        <v>1</v>
      </c>
      <c r="AA3080" s="1">
        <v>1</v>
      </c>
    </row>
    <row r="3081" spans="1:41" x14ac:dyDescent="0.3">
      <c r="A3081" s="1" t="s">
        <v>58</v>
      </c>
      <c r="B3081" s="7">
        <v>40764</v>
      </c>
      <c r="C3081" s="1">
        <v>5.5</v>
      </c>
      <c r="D3081" s="1">
        <v>239</v>
      </c>
      <c r="E3081" s="1">
        <v>2</v>
      </c>
      <c r="F3081" s="1">
        <v>64</v>
      </c>
    </row>
    <row r="3082" spans="1:41" x14ac:dyDescent="0.3">
      <c r="A3082" s="1" t="s">
        <v>58</v>
      </c>
      <c r="B3082" s="7">
        <v>40764</v>
      </c>
      <c r="C3082" s="1">
        <v>5.5</v>
      </c>
      <c r="D3082" s="1">
        <v>239</v>
      </c>
      <c r="E3082" s="1">
        <v>2</v>
      </c>
      <c r="F3082" s="1">
        <v>65</v>
      </c>
      <c r="H3082" s="1">
        <v>1</v>
      </c>
    </row>
    <row r="3083" spans="1:41" x14ac:dyDescent="0.3">
      <c r="A3083" s="1" t="s">
        <v>58</v>
      </c>
      <c r="B3083" s="7">
        <v>40764</v>
      </c>
      <c r="C3083" s="1">
        <v>5.5</v>
      </c>
      <c r="D3083" s="1">
        <v>239</v>
      </c>
      <c r="E3083" s="1">
        <v>2</v>
      </c>
      <c r="F3083" s="1">
        <v>66</v>
      </c>
      <c r="J3083" s="1">
        <v>1</v>
      </c>
    </row>
    <row r="3084" spans="1:41" x14ac:dyDescent="0.3">
      <c r="A3084" s="1" t="s">
        <v>58</v>
      </c>
      <c r="B3084" s="7">
        <v>40764</v>
      </c>
      <c r="C3084" s="1">
        <v>5.5</v>
      </c>
      <c r="D3084" s="1">
        <v>239</v>
      </c>
      <c r="E3084" s="1">
        <v>2</v>
      </c>
      <c r="F3084" s="1">
        <v>67</v>
      </c>
      <c r="AA3084" s="1">
        <v>1</v>
      </c>
      <c r="AO3084" s="1">
        <v>1</v>
      </c>
    </row>
    <row r="3085" spans="1:41" x14ac:dyDescent="0.3">
      <c r="A3085" s="1" t="s">
        <v>58</v>
      </c>
      <c r="B3085" s="7">
        <v>40764</v>
      </c>
      <c r="C3085" s="1">
        <v>5.5</v>
      </c>
      <c r="D3085" s="1">
        <v>239</v>
      </c>
      <c r="E3085" s="1">
        <v>2</v>
      </c>
      <c r="F3085" s="1">
        <v>68</v>
      </c>
      <c r="J3085" s="3">
        <v>0</v>
      </c>
      <c r="K3085" s="3">
        <v>1</v>
      </c>
    </row>
    <row r="3086" spans="1:41" x14ac:dyDescent="0.3">
      <c r="A3086" s="1" t="s">
        <v>58</v>
      </c>
      <c r="B3086" s="7">
        <v>40764</v>
      </c>
      <c r="C3086" s="1">
        <v>5.5</v>
      </c>
      <c r="D3086" s="1">
        <v>239</v>
      </c>
      <c r="E3086" s="1">
        <v>2</v>
      </c>
      <c r="F3086" s="1">
        <v>69</v>
      </c>
      <c r="L3086" s="1">
        <v>1</v>
      </c>
      <c r="AO3086" s="1">
        <v>1</v>
      </c>
    </row>
    <row r="3087" spans="1:41" x14ac:dyDescent="0.3">
      <c r="A3087" s="1" t="s">
        <v>58</v>
      </c>
      <c r="B3087" s="7">
        <v>40764</v>
      </c>
      <c r="C3087" s="1">
        <v>5.5</v>
      </c>
      <c r="D3087" s="1">
        <v>239</v>
      </c>
      <c r="E3087" s="1">
        <v>2</v>
      </c>
      <c r="F3087" s="1">
        <v>70</v>
      </c>
    </row>
    <row r="3088" spans="1:41" x14ac:dyDescent="0.3">
      <c r="A3088" s="1" t="s">
        <v>58</v>
      </c>
      <c r="B3088" s="7">
        <v>40764</v>
      </c>
      <c r="C3088" s="1">
        <v>5.5</v>
      </c>
      <c r="D3088" s="1">
        <v>239</v>
      </c>
      <c r="E3088" s="1">
        <v>2</v>
      </c>
      <c r="F3088" s="1">
        <v>71</v>
      </c>
      <c r="J3088" s="1">
        <v>1</v>
      </c>
    </row>
    <row r="3089" spans="1:45" x14ac:dyDescent="0.3">
      <c r="A3089" s="1" t="s">
        <v>58</v>
      </c>
      <c r="B3089" s="7">
        <v>40764</v>
      </c>
      <c r="C3089" s="1">
        <v>5.5</v>
      </c>
      <c r="D3089" s="1">
        <v>239</v>
      </c>
      <c r="E3089" s="1">
        <v>2</v>
      </c>
      <c r="F3089" s="1">
        <v>72</v>
      </c>
    </row>
    <row r="3090" spans="1:45" x14ac:dyDescent="0.3">
      <c r="A3090" s="1" t="s">
        <v>58</v>
      </c>
      <c r="B3090" s="7">
        <v>40764</v>
      </c>
      <c r="C3090" s="1">
        <v>5.5</v>
      </c>
      <c r="D3090" s="1">
        <v>239</v>
      </c>
      <c r="E3090" s="1">
        <v>2</v>
      </c>
      <c r="F3090" s="1">
        <v>73</v>
      </c>
      <c r="AO3090" s="1">
        <v>1</v>
      </c>
    </row>
    <row r="3091" spans="1:45" x14ac:dyDescent="0.3">
      <c r="A3091" s="1" t="s">
        <v>58</v>
      </c>
      <c r="B3091" s="7">
        <v>40764</v>
      </c>
      <c r="C3091" s="1">
        <v>5.5</v>
      </c>
      <c r="D3091" s="1">
        <v>239</v>
      </c>
      <c r="E3091" s="1">
        <v>2</v>
      </c>
      <c r="F3091" s="1">
        <v>74</v>
      </c>
      <c r="AO3091" s="1">
        <v>1</v>
      </c>
    </row>
    <row r="3092" spans="1:45" x14ac:dyDescent="0.3">
      <c r="A3092" s="1" t="s">
        <v>58</v>
      </c>
      <c r="B3092" s="7">
        <v>40764</v>
      </c>
      <c r="C3092" s="1">
        <v>5.5</v>
      </c>
      <c r="D3092" s="1">
        <v>239</v>
      </c>
      <c r="E3092" s="1">
        <v>2</v>
      </c>
      <c r="F3092" s="1">
        <v>75</v>
      </c>
      <c r="J3092" s="3">
        <v>0</v>
      </c>
      <c r="K3092" s="3">
        <v>1</v>
      </c>
    </row>
    <row r="3093" spans="1:45" x14ac:dyDescent="0.3">
      <c r="A3093" s="1" t="s">
        <v>58</v>
      </c>
      <c r="B3093" s="7">
        <v>40764</v>
      </c>
      <c r="C3093" s="1">
        <v>5.5</v>
      </c>
      <c r="D3093" s="1">
        <v>239</v>
      </c>
      <c r="E3093" s="1">
        <v>2</v>
      </c>
      <c r="F3093" s="1">
        <v>76</v>
      </c>
      <c r="J3093" s="1">
        <v>1</v>
      </c>
    </row>
    <row r="3094" spans="1:45" x14ac:dyDescent="0.3">
      <c r="A3094" s="1" t="s">
        <v>58</v>
      </c>
      <c r="B3094" s="7">
        <v>40764</v>
      </c>
      <c r="C3094" s="1">
        <v>5.5</v>
      </c>
      <c r="D3094" s="1">
        <v>239</v>
      </c>
      <c r="E3094" s="1">
        <v>2</v>
      </c>
      <c r="F3094" s="1">
        <v>77</v>
      </c>
      <c r="AA3094" s="1">
        <v>1</v>
      </c>
    </row>
    <row r="3095" spans="1:45" x14ac:dyDescent="0.3">
      <c r="A3095" s="1" t="s">
        <v>58</v>
      </c>
      <c r="B3095" s="7">
        <v>40764</v>
      </c>
      <c r="C3095" s="1">
        <v>5.5</v>
      </c>
      <c r="D3095" s="1">
        <v>239</v>
      </c>
      <c r="E3095" s="1">
        <v>2</v>
      </c>
      <c r="F3095" s="1">
        <v>78</v>
      </c>
      <c r="J3095" s="1">
        <v>1</v>
      </c>
    </row>
    <row r="3096" spans="1:45" x14ac:dyDescent="0.3">
      <c r="A3096" s="1" t="s">
        <v>58</v>
      </c>
      <c r="B3096" s="7">
        <v>40764</v>
      </c>
      <c r="C3096" s="1">
        <v>5.5</v>
      </c>
      <c r="D3096" s="1">
        <v>239</v>
      </c>
      <c r="E3096" s="1">
        <v>2</v>
      </c>
      <c r="F3096" s="1">
        <v>79</v>
      </c>
      <c r="AO3096" s="1">
        <v>1</v>
      </c>
    </row>
    <row r="3097" spans="1:45" x14ac:dyDescent="0.3">
      <c r="A3097" s="1" t="s">
        <v>58</v>
      </c>
      <c r="B3097" s="7">
        <v>40764</v>
      </c>
      <c r="C3097" s="1">
        <v>5.5</v>
      </c>
      <c r="D3097" s="1">
        <v>239</v>
      </c>
      <c r="E3097" s="1">
        <v>2</v>
      </c>
      <c r="F3097" s="1">
        <v>80</v>
      </c>
    </row>
    <row r="3098" spans="1:45" x14ac:dyDescent="0.3">
      <c r="A3098" s="1" t="s">
        <v>58</v>
      </c>
      <c r="B3098" s="7">
        <v>40764</v>
      </c>
      <c r="C3098" s="1">
        <v>5.5</v>
      </c>
      <c r="D3098" s="1">
        <v>239</v>
      </c>
      <c r="E3098" s="1">
        <v>2</v>
      </c>
      <c r="F3098" s="1">
        <v>81</v>
      </c>
      <c r="J3098" s="1">
        <v>1</v>
      </c>
    </row>
    <row r="3099" spans="1:45" x14ac:dyDescent="0.3">
      <c r="A3099" s="1" t="s">
        <v>58</v>
      </c>
      <c r="B3099" s="7">
        <v>40764</v>
      </c>
      <c r="C3099" s="1">
        <v>5.5</v>
      </c>
      <c r="D3099" s="1">
        <v>239</v>
      </c>
      <c r="E3099" s="1">
        <v>2</v>
      </c>
      <c r="F3099" s="1">
        <v>82</v>
      </c>
      <c r="J3099" s="1">
        <v>1</v>
      </c>
    </row>
    <row r="3100" spans="1:45" x14ac:dyDescent="0.3">
      <c r="A3100" s="1" t="s">
        <v>58</v>
      </c>
      <c r="B3100" s="7">
        <v>40764</v>
      </c>
      <c r="C3100" s="1">
        <v>5.5</v>
      </c>
      <c r="D3100" s="1">
        <v>239</v>
      </c>
      <c r="E3100" s="1">
        <v>2</v>
      </c>
      <c r="F3100" s="1">
        <v>83</v>
      </c>
      <c r="J3100" s="3">
        <v>0</v>
      </c>
      <c r="K3100" s="3">
        <v>1</v>
      </c>
    </row>
    <row r="3101" spans="1:45" x14ac:dyDescent="0.3">
      <c r="A3101" s="1" t="s">
        <v>58</v>
      </c>
      <c r="B3101" s="7">
        <v>40764</v>
      </c>
      <c r="C3101" s="1">
        <v>5.5</v>
      </c>
      <c r="D3101" s="1">
        <v>239</v>
      </c>
      <c r="E3101" s="1">
        <v>2</v>
      </c>
      <c r="F3101" s="1">
        <v>84</v>
      </c>
      <c r="AO3101" s="3">
        <v>0</v>
      </c>
      <c r="AP3101" s="3">
        <v>1</v>
      </c>
    </row>
    <row r="3102" spans="1:45" x14ac:dyDescent="0.3">
      <c r="A3102" s="1" t="s">
        <v>58</v>
      </c>
      <c r="B3102" s="7">
        <v>40764</v>
      </c>
      <c r="C3102" s="1">
        <v>5.5</v>
      </c>
      <c r="D3102" s="1">
        <v>239</v>
      </c>
      <c r="E3102" s="1">
        <v>2</v>
      </c>
      <c r="F3102" s="1">
        <v>85</v>
      </c>
      <c r="AO3102" s="1">
        <v>1</v>
      </c>
    </row>
    <row r="3103" spans="1:45" x14ac:dyDescent="0.3">
      <c r="A3103" s="1" t="s">
        <v>58</v>
      </c>
      <c r="B3103" s="7">
        <v>40764</v>
      </c>
      <c r="C3103" s="1">
        <v>5.5</v>
      </c>
      <c r="D3103" s="1">
        <v>239</v>
      </c>
      <c r="E3103" s="1">
        <v>2</v>
      </c>
      <c r="F3103" s="1">
        <v>86</v>
      </c>
      <c r="AS3103" s="1">
        <v>1</v>
      </c>
    </row>
    <row r="3104" spans="1:45" x14ac:dyDescent="0.3">
      <c r="A3104" s="1" t="s">
        <v>58</v>
      </c>
      <c r="B3104" s="7">
        <v>40764</v>
      </c>
      <c r="C3104" s="1">
        <v>5.5</v>
      </c>
      <c r="D3104" s="1">
        <v>239</v>
      </c>
      <c r="E3104" s="1">
        <v>2</v>
      </c>
      <c r="F3104" s="1">
        <v>87</v>
      </c>
      <c r="I3104" s="1">
        <v>1</v>
      </c>
    </row>
    <row r="3105" spans="1:45" x14ac:dyDescent="0.3">
      <c r="A3105" s="1" t="s">
        <v>58</v>
      </c>
      <c r="B3105" s="7">
        <v>40764</v>
      </c>
      <c r="C3105" s="1">
        <v>5.5</v>
      </c>
      <c r="D3105" s="1">
        <v>239</v>
      </c>
      <c r="E3105" s="1">
        <v>2</v>
      </c>
      <c r="F3105" s="1">
        <v>88</v>
      </c>
      <c r="J3105" s="1">
        <v>1</v>
      </c>
    </row>
    <row r="3106" spans="1:45" x14ac:dyDescent="0.3">
      <c r="A3106" s="1" t="s">
        <v>58</v>
      </c>
      <c r="B3106" s="7">
        <v>40764</v>
      </c>
      <c r="C3106" s="1">
        <v>5.5</v>
      </c>
      <c r="D3106" s="1">
        <v>239</v>
      </c>
      <c r="E3106" s="1">
        <v>2</v>
      </c>
      <c r="F3106" s="1">
        <v>89</v>
      </c>
      <c r="I3106" s="1">
        <v>1</v>
      </c>
    </row>
    <row r="3107" spans="1:45" x14ac:dyDescent="0.3">
      <c r="A3107" s="1" t="s">
        <v>58</v>
      </c>
      <c r="B3107" s="7">
        <v>40764</v>
      </c>
      <c r="C3107" s="1">
        <v>5.5</v>
      </c>
      <c r="D3107" s="1">
        <v>239</v>
      </c>
      <c r="E3107" s="1">
        <v>2</v>
      </c>
      <c r="F3107" s="1">
        <v>90</v>
      </c>
    </row>
    <row r="3108" spans="1:45" x14ac:dyDescent="0.3">
      <c r="A3108" s="1" t="s">
        <v>58</v>
      </c>
      <c r="B3108" s="7">
        <v>40764</v>
      </c>
      <c r="C3108" s="1">
        <v>5.5</v>
      </c>
      <c r="D3108" s="1">
        <v>239</v>
      </c>
      <c r="E3108" s="1">
        <v>2</v>
      </c>
      <c r="F3108" s="1">
        <v>91</v>
      </c>
      <c r="J3108" s="1">
        <v>1</v>
      </c>
    </row>
    <row r="3109" spans="1:45" x14ac:dyDescent="0.3">
      <c r="A3109" s="1" t="s">
        <v>58</v>
      </c>
      <c r="B3109" s="7">
        <v>40764</v>
      </c>
      <c r="C3109" s="1">
        <v>5.5</v>
      </c>
      <c r="D3109" s="1">
        <v>239</v>
      </c>
      <c r="E3109" s="1">
        <v>2</v>
      </c>
      <c r="F3109" s="1">
        <v>92</v>
      </c>
      <c r="J3109" s="3">
        <v>0</v>
      </c>
      <c r="K3109" s="3">
        <v>1</v>
      </c>
    </row>
    <row r="3110" spans="1:45" x14ac:dyDescent="0.3">
      <c r="A3110" s="1" t="s">
        <v>58</v>
      </c>
      <c r="B3110" s="7">
        <v>40764</v>
      </c>
      <c r="C3110" s="1">
        <v>5.5</v>
      </c>
      <c r="D3110" s="1">
        <v>239</v>
      </c>
      <c r="E3110" s="1">
        <v>2</v>
      </c>
      <c r="F3110" s="1">
        <v>93</v>
      </c>
    </row>
    <row r="3111" spans="1:45" x14ac:dyDescent="0.3">
      <c r="A3111" s="1" t="s">
        <v>58</v>
      </c>
      <c r="B3111" s="7">
        <v>40764</v>
      </c>
      <c r="C3111" s="1">
        <v>5.5</v>
      </c>
      <c r="D3111" s="1">
        <v>239</v>
      </c>
      <c r="E3111" s="1">
        <v>2</v>
      </c>
      <c r="F3111" s="1">
        <v>94</v>
      </c>
    </row>
    <row r="3112" spans="1:45" x14ac:dyDescent="0.3">
      <c r="A3112" s="1" t="s">
        <v>58</v>
      </c>
      <c r="B3112" s="7">
        <v>40764</v>
      </c>
      <c r="C3112" s="1">
        <v>5.5</v>
      </c>
      <c r="D3112" s="1">
        <v>239</v>
      </c>
      <c r="E3112" s="1">
        <v>2</v>
      </c>
      <c r="F3112" s="1">
        <v>95</v>
      </c>
      <c r="AO3112" s="1">
        <v>1</v>
      </c>
    </row>
    <row r="3113" spans="1:45" x14ac:dyDescent="0.3">
      <c r="A3113" s="1" t="s">
        <v>58</v>
      </c>
      <c r="B3113" s="7">
        <v>40764</v>
      </c>
      <c r="C3113" s="1">
        <v>5.5</v>
      </c>
      <c r="D3113" s="1">
        <v>239</v>
      </c>
      <c r="E3113" s="1">
        <v>2</v>
      </c>
      <c r="F3113" s="1">
        <v>96</v>
      </c>
      <c r="H3113" s="1">
        <v>1</v>
      </c>
    </row>
    <row r="3114" spans="1:45" x14ac:dyDescent="0.3">
      <c r="A3114" s="1" t="s">
        <v>58</v>
      </c>
      <c r="B3114" s="7">
        <v>40764</v>
      </c>
      <c r="C3114" s="1">
        <v>5.5</v>
      </c>
      <c r="D3114" s="1">
        <v>239</v>
      </c>
      <c r="E3114" s="1">
        <v>2</v>
      </c>
      <c r="F3114" s="1">
        <v>97</v>
      </c>
      <c r="J3114" s="3">
        <v>0</v>
      </c>
      <c r="K3114" s="3">
        <v>1</v>
      </c>
      <c r="AS3114" s="1">
        <v>1</v>
      </c>
    </row>
    <row r="3115" spans="1:45" x14ac:dyDescent="0.3">
      <c r="A3115" s="1" t="s">
        <v>58</v>
      </c>
      <c r="B3115" s="7">
        <v>40764</v>
      </c>
      <c r="C3115" s="1">
        <v>5.5</v>
      </c>
      <c r="D3115" s="1">
        <v>239</v>
      </c>
      <c r="E3115" s="1">
        <v>2</v>
      </c>
      <c r="F3115" s="1">
        <v>98</v>
      </c>
      <c r="J3115" s="3">
        <v>0</v>
      </c>
      <c r="K3115" s="3">
        <v>1</v>
      </c>
    </row>
    <row r="3116" spans="1:45" x14ac:dyDescent="0.3">
      <c r="A3116" s="1" t="s">
        <v>58</v>
      </c>
      <c r="B3116" s="7">
        <v>40764</v>
      </c>
      <c r="C3116" s="1">
        <v>5.5</v>
      </c>
      <c r="D3116" s="1">
        <v>239</v>
      </c>
      <c r="E3116" s="1">
        <v>2</v>
      </c>
      <c r="F3116" s="1">
        <v>99</v>
      </c>
      <c r="H3116" s="1">
        <v>1</v>
      </c>
    </row>
    <row r="3117" spans="1:45" x14ac:dyDescent="0.3">
      <c r="A3117" s="1" t="s">
        <v>58</v>
      </c>
      <c r="B3117" s="7">
        <v>40764</v>
      </c>
      <c r="C3117" s="1">
        <v>5.5</v>
      </c>
      <c r="D3117" s="1">
        <v>239</v>
      </c>
      <c r="E3117" s="1">
        <v>2</v>
      </c>
      <c r="F3117" s="1">
        <v>100</v>
      </c>
      <c r="J3117" s="3">
        <v>0</v>
      </c>
      <c r="K3117" s="3">
        <v>1</v>
      </c>
    </row>
    <row r="3118" spans="1:45" x14ac:dyDescent="0.3">
      <c r="A3118" s="1" t="s">
        <v>58</v>
      </c>
      <c r="B3118" s="7">
        <v>40764</v>
      </c>
      <c r="C3118" s="1">
        <v>8</v>
      </c>
      <c r="D3118" s="1">
        <v>182</v>
      </c>
      <c r="E3118" s="1">
        <v>3</v>
      </c>
      <c r="F3118" s="1">
        <v>1</v>
      </c>
      <c r="AA3118" s="1">
        <v>1</v>
      </c>
    </row>
    <row r="3119" spans="1:45" x14ac:dyDescent="0.3">
      <c r="A3119" s="1" t="s">
        <v>58</v>
      </c>
      <c r="B3119" s="7">
        <v>40764</v>
      </c>
      <c r="C3119" s="1">
        <v>8</v>
      </c>
      <c r="D3119" s="1">
        <v>182</v>
      </c>
      <c r="E3119" s="1">
        <v>3</v>
      </c>
      <c r="F3119" s="1">
        <v>2</v>
      </c>
      <c r="AA3119" s="1">
        <v>1</v>
      </c>
    </row>
    <row r="3120" spans="1:45" x14ac:dyDescent="0.3">
      <c r="A3120" s="1" t="s">
        <v>58</v>
      </c>
      <c r="B3120" s="7">
        <v>40764</v>
      </c>
      <c r="C3120" s="1">
        <v>8</v>
      </c>
      <c r="D3120" s="1">
        <v>182</v>
      </c>
      <c r="E3120" s="1">
        <v>3</v>
      </c>
      <c r="F3120" s="1">
        <v>3</v>
      </c>
      <c r="AA3120" s="1">
        <v>1</v>
      </c>
      <c r="AO3120" s="1">
        <v>1</v>
      </c>
    </row>
    <row r="3121" spans="1:70" x14ac:dyDescent="0.3">
      <c r="A3121" s="1" t="s">
        <v>58</v>
      </c>
      <c r="B3121" s="7">
        <v>40764</v>
      </c>
      <c r="C3121" s="1">
        <v>8</v>
      </c>
      <c r="D3121" s="1">
        <v>182</v>
      </c>
      <c r="E3121" s="1">
        <v>3</v>
      </c>
      <c r="F3121" s="1">
        <v>4</v>
      </c>
      <c r="AA3121" s="1">
        <v>1</v>
      </c>
    </row>
    <row r="3122" spans="1:70" x14ac:dyDescent="0.3">
      <c r="A3122" s="1" t="s">
        <v>58</v>
      </c>
      <c r="B3122" s="7">
        <v>40764</v>
      </c>
      <c r="C3122" s="1">
        <v>8</v>
      </c>
      <c r="D3122" s="1">
        <v>182</v>
      </c>
      <c r="E3122" s="1">
        <v>3</v>
      </c>
      <c r="F3122" s="1">
        <v>5</v>
      </c>
      <c r="H3122" s="1">
        <v>1</v>
      </c>
      <c r="P3122" s="3">
        <v>0</v>
      </c>
      <c r="Q3122" s="3">
        <v>1</v>
      </c>
      <c r="AA3122" s="1">
        <v>1</v>
      </c>
    </row>
    <row r="3123" spans="1:70" x14ac:dyDescent="0.3">
      <c r="A3123" s="1" t="s">
        <v>58</v>
      </c>
      <c r="B3123" s="7">
        <v>40764</v>
      </c>
      <c r="C3123" s="1">
        <v>8</v>
      </c>
      <c r="D3123" s="1">
        <v>182</v>
      </c>
      <c r="E3123" s="1">
        <v>3</v>
      </c>
      <c r="F3123" s="1">
        <v>6</v>
      </c>
      <c r="L3123" s="1">
        <v>1</v>
      </c>
      <c r="BR3123" s="1">
        <v>1</v>
      </c>
    </row>
    <row r="3124" spans="1:70" x14ac:dyDescent="0.3">
      <c r="A3124" s="1" t="s">
        <v>58</v>
      </c>
      <c r="B3124" s="7">
        <v>40764</v>
      </c>
      <c r="C3124" s="1">
        <v>8</v>
      </c>
      <c r="D3124" s="1">
        <v>182</v>
      </c>
      <c r="E3124" s="1">
        <v>3</v>
      </c>
      <c r="F3124" s="1">
        <v>7</v>
      </c>
      <c r="L3124" s="1">
        <v>1</v>
      </c>
      <c r="AA3124" s="1">
        <v>1</v>
      </c>
    </row>
    <row r="3125" spans="1:70" x14ac:dyDescent="0.3">
      <c r="A3125" s="1" t="s">
        <v>58</v>
      </c>
      <c r="B3125" s="7">
        <v>40764</v>
      </c>
      <c r="C3125" s="1">
        <v>8</v>
      </c>
      <c r="D3125" s="1">
        <v>182</v>
      </c>
      <c r="E3125" s="1">
        <v>3</v>
      </c>
      <c r="F3125" s="1">
        <v>8</v>
      </c>
      <c r="R3125" s="3">
        <v>0</v>
      </c>
      <c r="S3125" s="3">
        <v>1</v>
      </c>
      <c r="AA3125" s="1">
        <v>1</v>
      </c>
    </row>
    <row r="3126" spans="1:70" x14ac:dyDescent="0.3">
      <c r="A3126" s="1" t="s">
        <v>58</v>
      </c>
      <c r="B3126" s="7">
        <v>40764</v>
      </c>
      <c r="C3126" s="1">
        <v>8</v>
      </c>
      <c r="D3126" s="1">
        <v>182</v>
      </c>
      <c r="E3126" s="1">
        <v>3</v>
      </c>
      <c r="F3126" s="1">
        <v>9</v>
      </c>
      <c r="R3126" s="3">
        <v>0</v>
      </c>
      <c r="S3126" s="3">
        <v>1</v>
      </c>
      <c r="AA3126" s="1">
        <v>1</v>
      </c>
    </row>
    <row r="3127" spans="1:70" x14ac:dyDescent="0.3">
      <c r="A3127" s="1" t="s">
        <v>58</v>
      </c>
      <c r="B3127" s="7">
        <v>40764</v>
      </c>
      <c r="C3127" s="1">
        <v>8</v>
      </c>
      <c r="D3127" s="1">
        <v>182</v>
      </c>
      <c r="E3127" s="1">
        <v>3</v>
      </c>
      <c r="F3127" s="1">
        <v>10</v>
      </c>
      <c r="R3127" s="3">
        <v>0</v>
      </c>
      <c r="S3127" s="3">
        <v>1</v>
      </c>
      <c r="AA3127" s="1">
        <v>1</v>
      </c>
    </row>
    <row r="3128" spans="1:70" x14ac:dyDescent="0.3">
      <c r="A3128" s="1" t="s">
        <v>58</v>
      </c>
      <c r="B3128" s="7">
        <v>40764</v>
      </c>
      <c r="C3128" s="1">
        <v>8</v>
      </c>
      <c r="D3128" s="1">
        <v>182</v>
      </c>
      <c r="E3128" s="1">
        <v>3</v>
      </c>
      <c r="F3128" s="1">
        <v>11</v>
      </c>
      <c r="AA3128" s="1">
        <v>1</v>
      </c>
    </row>
    <row r="3129" spans="1:70" x14ac:dyDescent="0.3">
      <c r="A3129" s="1" t="s">
        <v>58</v>
      </c>
      <c r="B3129" s="7">
        <v>40764</v>
      </c>
      <c r="C3129" s="1">
        <v>8</v>
      </c>
      <c r="D3129" s="1">
        <v>182</v>
      </c>
      <c r="E3129" s="1">
        <v>3</v>
      </c>
      <c r="F3129" s="1">
        <v>12</v>
      </c>
      <c r="H3129" s="1">
        <v>1</v>
      </c>
      <c r="AA3129" s="1">
        <v>1</v>
      </c>
    </row>
    <row r="3130" spans="1:70" x14ac:dyDescent="0.3">
      <c r="A3130" s="1" t="s">
        <v>58</v>
      </c>
      <c r="B3130" s="7">
        <v>40764</v>
      </c>
      <c r="C3130" s="1">
        <v>8</v>
      </c>
      <c r="D3130" s="1">
        <v>182</v>
      </c>
      <c r="E3130" s="1">
        <v>3</v>
      </c>
      <c r="F3130" s="1">
        <v>13</v>
      </c>
      <c r="AA3130" s="1">
        <v>1</v>
      </c>
    </row>
    <row r="3131" spans="1:70" x14ac:dyDescent="0.3">
      <c r="A3131" s="1" t="s">
        <v>58</v>
      </c>
      <c r="B3131" s="7">
        <v>40764</v>
      </c>
      <c r="C3131" s="1">
        <v>8</v>
      </c>
      <c r="D3131" s="1">
        <v>182</v>
      </c>
      <c r="E3131" s="1">
        <v>3</v>
      </c>
      <c r="F3131" s="1">
        <v>14</v>
      </c>
      <c r="AA3131" s="1">
        <v>1</v>
      </c>
      <c r="AK3131" s="1">
        <v>1</v>
      </c>
      <c r="AO3131" s="1">
        <v>1</v>
      </c>
    </row>
    <row r="3132" spans="1:70" x14ac:dyDescent="0.3">
      <c r="A3132" s="1" t="s">
        <v>58</v>
      </c>
      <c r="B3132" s="7">
        <v>40764</v>
      </c>
      <c r="C3132" s="1">
        <v>8</v>
      </c>
      <c r="D3132" s="1">
        <v>182</v>
      </c>
      <c r="E3132" s="1">
        <v>3</v>
      </c>
      <c r="F3132" s="1">
        <v>15</v>
      </c>
      <c r="L3132" s="1">
        <v>1</v>
      </c>
      <c r="AA3132" s="1">
        <v>1</v>
      </c>
    </row>
    <row r="3133" spans="1:70" x14ac:dyDescent="0.3">
      <c r="A3133" s="1" t="s">
        <v>58</v>
      </c>
      <c r="B3133" s="7">
        <v>40764</v>
      </c>
      <c r="C3133" s="1">
        <v>8</v>
      </c>
      <c r="D3133" s="1">
        <v>182</v>
      </c>
      <c r="E3133" s="1">
        <v>3</v>
      </c>
      <c r="F3133" s="1">
        <v>16</v>
      </c>
      <c r="AK3133" s="1">
        <v>1</v>
      </c>
    </row>
    <row r="3134" spans="1:70" x14ac:dyDescent="0.3">
      <c r="A3134" s="1" t="s">
        <v>58</v>
      </c>
      <c r="B3134" s="7">
        <v>40764</v>
      </c>
      <c r="C3134" s="1">
        <v>8</v>
      </c>
      <c r="D3134" s="1">
        <v>182</v>
      </c>
      <c r="E3134" s="1">
        <v>3</v>
      </c>
      <c r="F3134" s="1">
        <v>17</v>
      </c>
      <c r="L3134" s="1">
        <v>1</v>
      </c>
      <c r="AA3134" s="1">
        <v>1</v>
      </c>
    </row>
    <row r="3135" spans="1:70" x14ac:dyDescent="0.3">
      <c r="A3135" s="1" t="s">
        <v>58</v>
      </c>
      <c r="B3135" s="7">
        <v>40764</v>
      </c>
      <c r="C3135" s="1">
        <v>8</v>
      </c>
      <c r="D3135" s="1">
        <v>182</v>
      </c>
      <c r="E3135" s="1">
        <v>3</v>
      </c>
      <c r="F3135" s="1">
        <v>18</v>
      </c>
      <c r="H3135" s="1">
        <v>1</v>
      </c>
    </row>
    <row r="3136" spans="1:70" x14ac:dyDescent="0.3">
      <c r="A3136" s="1" t="s">
        <v>58</v>
      </c>
      <c r="B3136" s="7">
        <v>40764</v>
      </c>
      <c r="C3136" s="1">
        <v>8</v>
      </c>
      <c r="D3136" s="1">
        <v>182</v>
      </c>
      <c r="E3136" s="1">
        <v>3</v>
      </c>
      <c r="F3136" s="1">
        <v>19</v>
      </c>
      <c r="AA3136" s="1">
        <v>1</v>
      </c>
    </row>
    <row r="3137" spans="1:70" x14ac:dyDescent="0.3">
      <c r="A3137" s="1" t="s">
        <v>58</v>
      </c>
      <c r="B3137" s="7">
        <v>40764</v>
      </c>
      <c r="C3137" s="1">
        <v>8</v>
      </c>
      <c r="D3137" s="1">
        <v>182</v>
      </c>
      <c r="E3137" s="1">
        <v>3</v>
      </c>
      <c r="F3137" s="1">
        <v>20</v>
      </c>
      <c r="R3137" s="3">
        <v>0</v>
      </c>
      <c r="S3137" s="3">
        <v>1</v>
      </c>
      <c r="AA3137" s="1">
        <v>1</v>
      </c>
    </row>
    <row r="3138" spans="1:70" x14ac:dyDescent="0.3">
      <c r="A3138" s="1" t="s">
        <v>58</v>
      </c>
      <c r="B3138" s="7">
        <v>40764</v>
      </c>
      <c r="C3138" s="1">
        <v>8</v>
      </c>
      <c r="D3138" s="1">
        <v>182</v>
      </c>
      <c r="E3138" s="1">
        <v>3</v>
      </c>
      <c r="F3138" s="1">
        <v>21</v>
      </c>
      <c r="AA3138" s="1">
        <v>1</v>
      </c>
    </row>
    <row r="3139" spans="1:70" x14ac:dyDescent="0.3">
      <c r="A3139" s="1" t="s">
        <v>58</v>
      </c>
      <c r="B3139" s="7">
        <v>40764</v>
      </c>
      <c r="C3139" s="1">
        <v>8</v>
      </c>
      <c r="D3139" s="1">
        <v>182</v>
      </c>
      <c r="E3139" s="1">
        <v>3</v>
      </c>
      <c r="F3139" s="1">
        <v>22</v>
      </c>
      <c r="I3139" s="1">
        <v>1</v>
      </c>
      <c r="AA3139" s="1">
        <v>1</v>
      </c>
    </row>
    <row r="3140" spans="1:70" x14ac:dyDescent="0.3">
      <c r="A3140" s="1" t="s">
        <v>58</v>
      </c>
      <c r="B3140" s="7">
        <v>40764</v>
      </c>
      <c r="C3140" s="1">
        <v>8</v>
      </c>
      <c r="D3140" s="1">
        <v>182</v>
      </c>
      <c r="E3140" s="1">
        <v>3</v>
      </c>
      <c r="F3140" s="1">
        <v>23</v>
      </c>
      <c r="I3140" s="1">
        <v>1</v>
      </c>
      <c r="AA3140" s="1">
        <v>1</v>
      </c>
    </row>
    <row r="3141" spans="1:70" x14ac:dyDescent="0.3">
      <c r="A3141" s="1" t="s">
        <v>58</v>
      </c>
      <c r="B3141" s="7">
        <v>40764</v>
      </c>
      <c r="C3141" s="1">
        <v>8</v>
      </c>
      <c r="D3141" s="1">
        <v>182</v>
      </c>
      <c r="E3141" s="1">
        <v>3</v>
      </c>
      <c r="F3141" s="1">
        <v>24</v>
      </c>
      <c r="AA3141" s="1">
        <v>1</v>
      </c>
    </row>
    <row r="3142" spans="1:70" x14ac:dyDescent="0.3">
      <c r="A3142" s="1" t="s">
        <v>58</v>
      </c>
      <c r="B3142" s="7">
        <v>40764</v>
      </c>
      <c r="C3142" s="1">
        <v>8</v>
      </c>
      <c r="D3142" s="1">
        <v>182</v>
      </c>
      <c r="E3142" s="1">
        <v>3</v>
      </c>
      <c r="F3142" s="1">
        <v>25</v>
      </c>
      <c r="L3142" s="1">
        <v>1</v>
      </c>
      <c r="AA3142" s="1">
        <v>1</v>
      </c>
      <c r="BR3142" s="1">
        <v>1</v>
      </c>
    </row>
    <row r="3143" spans="1:70" x14ac:dyDescent="0.3">
      <c r="A3143" s="1" t="s">
        <v>58</v>
      </c>
      <c r="B3143" s="7">
        <v>40764</v>
      </c>
      <c r="C3143" s="1">
        <v>8</v>
      </c>
      <c r="D3143" s="1">
        <v>182</v>
      </c>
      <c r="E3143" s="1">
        <v>3</v>
      </c>
      <c r="F3143" s="1">
        <v>26</v>
      </c>
      <c r="R3143" s="1">
        <v>1</v>
      </c>
      <c r="AA3143" s="1">
        <v>1</v>
      </c>
    </row>
    <row r="3144" spans="1:70" x14ac:dyDescent="0.3">
      <c r="A3144" s="1" t="s">
        <v>58</v>
      </c>
      <c r="B3144" s="7">
        <v>40764</v>
      </c>
      <c r="C3144" s="1">
        <v>8</v>
      </c>
      <c r="D3144" s="1">
        <v>182</v>
      </c>
      <c r="E3144" s="1">
        <v>3</v>
      </c>
      <c r="F3144" s="1">
        <v>27</v>
      </c>
      <c r="H3144" s="1">
        <v>1</v>
      </c>
    </row>
    <row r="3145" spans="1:70" x14ac:dyDescent="0.3">
      <c r="A3145" s="1" t="s">
        <v>58</v>
      </c>
      <c r="B3145" s="7">
        <v>40764</v>
      </c>
      <c r="C3145" s="1">
        <v>8</v>
      </c>
      <c r="D3145" s="1">
        <v>182</v>
      </c>
      <c r="E3145" s="1">
        <v>3</v>
      </c>
      <c r="F3145" s="1">
        <v>28</v>
      </c>
      <c r="H3145" s="1">
        <v>1</v>
      </c>
      <c r="AA3145" s="1">
        <v>1</v>
      </c>
    </row>
    <row r="3146" spans="1:70" x14ac:dyDescent="0.3">
      <c r="A3146" s="1" t="s">
        <v>58</v>
      </c>
      <c r="B3146" s="7">
        <v>40764</v>
      </c>
      <c r="C3146" s="1">
        <v>8</v>
      </c>
      <c r="D3146" s="1">
        <v>182</v>
      </c>
      <c r="E3146" s="1">
        <v>3</v>
      </c>
      <c r="F3146" s="1">
        <v>29</v>
      </c>
      <c r="H3146" s="1">
        <v>1</v>
      </c>
      <c r="R3146" s="1">
        <v>1</v>
      </c>
      <c r="AA3146" s="1">
        <v>1</v>
      </c>
    </row>
    <row r="3147" spans="1:70" x14ac:dyDescent="0.3">
      <c r="A3147" s="1" t="s">
        <v>58</v>
      </c>
      <c r="B3147" s="7">
        <v>40764</v>
      </c>
      <c r="C3147" s="1">
        <v>8</v>
      </c>
      <c r="D3147" s="1">
        <v>182</v>
      </c>
      <c r="E3147" s="1">
        <v>3</v>
      </c>
      <c r="F3147" s="1">
        <v>30</v>
      </c>
      <c r="H3147" s="1">
        <v>1</v>
      </c>
      <c r="R3147" s="1">
        <v>1</v>
      </c>
      <c r="AM3147" s="1">
        <v>1</v>
      </c>
    </row>
    <row r="3148" spans="1:70" x14ac:dyDescent="0.3">
      <c r="A3148" s="1" t="s">
        <v>58</v>
      </c>
      <c r="B3148" s="7">
        <v>40764</v>
      </c>
      <c r="C3148" s="1">
        <v>8</v>
      </c>
      <c r="D3148" s="1">
        <v>182</v>
      </c>
      <c r="E3148" s="1">
        <v>3</v>
      </c>
      <c r="F3148" s="1">
        <v>31</v>
      </c>
      <c r="I3148" s="1">
        <v>1</v>
      </c>
      <c r="AO3148" s="1">
        <v>1</v>
      </c>
      <c r="BR3148" s="1">
        <v>1</v>
      </c>
    </row>
    <row r="3149" spans="1:70" x14ac:dyDescent="0.3">
      <c r="A3149" s="1" t="s">
        <v>58</v>
      </c>
      <c r="B3149" s="7">
        <v>40764</v>
      </c>
      <c r="C3149" s="1">
        <v>8</v>
      </c>
      <c r="D3149" s="1">
        <v>182</v>
      </c>
      <c r="E3149" s="1">
        <v>3</v>
      </c>
      <c r="F3149" s="1">
        <v>32</v>
      </c>
      <c r="AA3149" s="1">
        <v>1</v>
      </c>
    </row>
    <row r="3150" spans="1:70" x14ac:dyDescent="0.3">
      <c r="A3150" s="1" t="s">
        <v>58</v>
      </c>
      <c r="B3150" s="7">
        <v>40764</v>
      </c>
      <c r="C3150" s="1">
        <v>8</v>
      </c>
      <c r="D3150" s="1">
        <v>182</v>
      </c>
      <c r="E3150" s="1">
        <v>3</v>
      </c>
      <c r="F3150" s="1">
        <v>33</v>
      </c>
      <c r="H3150" s="1">
        <v>1</v>
      </c>
      <c r="AA3150" s="1">
        <v>1</v>
      </c>
    </row>
    <row r="3151" spans="1:70" x14ac:dyDescent="0.3">
      <c r="A3151" s="1" t="s">
        <v>58</v>
      </c>
      <c r="B3151" s="7">
        <v>40764</v>
      </c>
      <c r="C3151" s="1">
        <v>8</v>
      </c>
      <c r="D3151" s="1">
        <v>182</v>
      </c>
      <c r="E3151" s="1">
        <v>3</v>
      </c>
      <c r="F3151" s="1">
        <v>34</v>
      </c>
      <c r="L3151" s="1">
        <v>1</v>
      </c>
      <c r="AA3151" s="1">
        <v>1</v>
      </c>
    </row>
    <row r="3152" spans="1:70" x14ac:dyDescent="0.3">
      <c r="A3152" s="1" t="s">
        <v>58</v>
      </c>
      <c r="B3152" s="7">
        <v>40764</v>
      </c>
      <c r="C3152" s="1">
        <v>8</v>
      </c>
      <c r="D3152" s="1">
        <v>182</v>
      </c>
      <c r="E3152" s="1">
        <v>3</v>
      </c>
      <c r="F3152" s="1">
        <v>35</v>
      </c>
      <c r="L3152" s="1">
        <v>1</v>
      </c>
      <c r="AA3152" s="1">
        <v>1</v>
      </c>
    </row>
    <row r="3153" spans="1:70" x14ac:dyDescent="0.3">
      <c r="A3153" s="1" t="s">
        <v>58</v>
      </c>
      <c r="B3153" s="7">
        <v>40764</v>
      </c>
      <c r="C3153" s="1">
        <v>8</v>
      </c>
      <c r="D3153" s="1">
        <v>182</v>
      </c>
      <c r="E3153" s="1">
        <v>3</v>
      </c>
      <c r="F3153" s="1">
        <v>36</v>
      </c>
      <c r="AA3153" s="1">
        <v>1</v>
      </c>
      <c r="AF3153" s="1">
        <v>1</v>
      </c>
    </row>
    <row r="3154" spans="1:70" x14ac:dyDescent="0.3">
      <c r="A3154" s="1" t="s">
        <v>58</v>
      </c>
      <c r="B3154" s="7">
        <v>40764</v>
      </c>
      <c r="C3154" s="1">
        <v>8</v>
      </c>
      <c r="D3154" s="1">
        <v>182</v>
      </c>
      <c r="E3154" s="1">
        <v>3</v>
      </c>
      <c r="F3154" s="1">
        <v>37</v>
      </c>
      <c r="H3154" s="1">
        <v>1</v>
      </c>
      <c r="P3154" s="3">
        <v>0</v>
      </c>
      <c r="Q3154" s="3">
        <v>1</v>
      </c>
      <c r="AF3154" s="1">
        <v>1</v>
      </c>
    </row>
    <row r="3155" spans="1:70" x14ac:dyDescent="0.3">
      <c r="A3155" s="1" t="s">
        <v>58</v>
      </c>
      <c r="B3155" s="7">
        <v>40764</v>
      </c>
      <c r="C3155" s="1">
        <v>8</v>
      </c>
      <c r="D3155" s="1">
        <v>182</v>
      </c>
      <c r="E3155" s="1">
        <v>3</v>
      </c>
      <c r="F3155" s="1">
        <v>38</v>
      </c>
      <c r="H3155" s="1">
        <v>1</v>
      </c>
      <c r="AA3155" s="1">
        <v>1</v>
      </c>
    </row>
    <row r="3156" spans="1:70" x14ac:dyDescent="0.3">
      <c r="A3156" s="1" t="s">
        <v>58</v>
      </c>
      <c r="B3156" s="7">
        <v>40764</v>
      </c>
      <c r="C3156" s="1">
        <v>8</v>
      </c>
      <c r="D3156" s="1">
        <v>182</v>
      </c>
      <c r="E3156" s="1">
        <v>3</v>
      </c>
      <c r="F3156" s="1">
        <v>39</v>
      </c>
      <c r="H3156" s="1">
        <v>1</v>
      </c>
      <c r="AK3156" s="1">
        <v>1</v>
      </c>
    </row>
    <row r="3157" spans="1:70" x14ac:dyDescent="0.3">
      <c r="A3157" s="1" t="s">
        <v>58</v>
      </c>
      <c r="B3157" s="7">
        <v>40764</v>
      </c>
      <c r="C3157" s="1">
        <v>8</v>
      </c>
      <c r="D3157" s="1">
        <v>182</v>
      </c>
      <c r="E3157" s="1">
        <v>3</v>
      </c>
      <c r="F3157" s="1">
        <v>40</v>
      </c>
      <c r="L3157" s="1">
        <v>1</v>
      </c>
      <c r="AA3157" s="1">
        <v>1</v>
      </c>
      <c r="AK3157" s="3">
        <v>0</v>
      </c>
      <c r="AL3157" s="3">
        <v>1</v>
      </c>
    </row>
    <row r="3158" spans="1:70" x14ac:dyDescent="0.3">
      <c r="A3158" s="1" t="s">
        <v>58</v>
      </c>
      <c r="B3158" s="7">
        <v>40764</v>
      </c>
      <c r="C3158" s="1">
        <v>8</v>
      </c>
      <c r="D3158" s="1">
        <v>182</v>
      </c>
      <c r="E3158" s="1">
        <v>3</v>
      </c>
      <c r="F3158" s="1">
        <v>41</v>
      </c>
      <c r="AO3158" s="1">
        <v>1</v>
      </c>
      <c r="BR3158" s="1">
        <v>1</v>
      </c>
    </row>
    <row r="3159" spans="1:70" x14ac:dyDescent="0.3">
      <c r="A3159" s="1" t="s">
        <v>58</v>
      </c>
      <c r="B3159" s="7">
        <v>40764</v>
      </c>
      <c r="C3159" s="1">
        <v>8</v>
      </c>
      <c r="D3159" s="1">
        <v>182</v>
      </c>
      <c r="E3159" s="1">
        <v>3</v>
      </c>
      <c r="F3159" s="1">
        <v>42</v>
      </c>
      <c r="AA3159" s="1">
        <v>1</v>
      </c>
      <c r="AO3159" s="1">
        <v>1</v>
      </c>
    </row>
    <row r="3160" spans="1:70" x14ac:dyDescent="0.3">
      <c r="A3160" s="1" t="s">
        <v>58</v>
      </c>
      <c r="B3160" s="7">
        <v>40764</v>
      </c>
      <c r="C3160" s="1">
        <v>8</v>
      </c>
      <c r="D3160" s="1">
        <v>182</v>
      </c>
      <c r="E3160" s="1">
        <v>3</v>
      </c>
      <c r="F3160" s="1">
        <v>43</v>
      </c>
      <c r="AA3160" s="1">
        <v>1</v>
      </c>
    </row>
    <row r="3161" spans="1:70" x14ac:dyDescent="0.3">
      <c r="A3161" s="1" t="s">
        <v>58</v>
      </c>
      <c r="B3161" s="7">
        <v>40764</v>
      </c>
      <c r="C3161" s="1">
        <v>8</v>
      </c>
      <c r="D3161" s="1">
        <v>182</v>
      </c>
      <c r="E3161" s="1">
        <v>3</v>
      </c>
      <c r="F3161" s="1">
        <v>44</v>
      </c>
      <c r="L3161" s="1">
        <v>1</v>
      </c>
      <c r="AA3161" s="1">
        <v>1</v>
      </c>
    </row>
    <row r="3162" spans="1:70" x14ac:dyDescent="0.3">
      <c r="A3162" s="1" t="s">
        <v>58</v>
      </c>
      <c r="B3162" s="7">
        <v>40764</v>
      </c>
      <c r="C3162" s="1">
        <v>8</v>
      </c>
      <c r="D3162" s="1">
        <v>182</v>
      </c>
      <c r="E3162" s="1">
        <v>3</v>
      </c>
      <c r="F3162" s="1">
        <v>45</v>
      </c>
      <c r="L3162" s="1">
        <v>1</v>
      </c>
      <c r="BR3162" s="1">
        <v>1</v>
      </c>
    </row>
    <row r="3163" spans="1:70" x14ac:dyDescent="0.3">
      <c r="A3163" s="1" t="s">
        <v>58</v>
      </c>
      <c r="B3163" s="7">
        <v>40764</v>
      </c>
      <c r="C3163" s="1">
        <v>8</v>
      </c>
      <c r="D3163" s="1">
        <v>182</v>
      </c>
      <c r="E3163" s="1">
        <v>3</v>
      </c>
      <c r="F3163" s="1">
        <v>46</v>
      </c>
      <c r="P3163" s="1">
        <v>1</v>
      </c>
      <c r="R3163" s="3">
        <v>0</v>
      </c>
      <c r="S3163" s="3">
        <v>1</v>
      </c>
    </row>
    <row r="3164" spans="1:70" x14ac:dyDescent="0.3">
      <c r="A3164" s="1" t="s">
        <v>58</v>
      </c>
      <c r="B3164" s="7">
        <v>40764</v>
      </c>
      <c r="C3164" s="1">
        <v>8</v>
      </c>
      <c r="D3164" s="1">
        <v>182</v>
      </c>
      <c r="E3164" s="1">
        <v>3</v>
      </c>
      <c r="F3164" s="1">
        <v>47</v>
      </c>
      <c r="AA3164" s="1">
        <v>1</v>
      </c>
    </row>
    <row r="3165" spans="1:70" x14ac:dyDescent="0.3">
      <c r="A3165" s="1" t="s">
        <v>58</v>
      </c>
      <c r="B3165" s="7">
        <v>40764</v>
      </c>
      <c r="C3165" s="1">
        <v>8</v>
      </c>
      <c r="D3165" s="1">
        <v>182</v>
      </c>
      <c r="E3165" s="1">
        <v>3</v>
      </c>
      <c r="F3165" s="1">
        <v>48</v>
      </c>
      <c r="L3165" s="1">
        <v>1</v>
      </c>
      <c r="BR3165" s="1">
        <v>1</v>
      </c>
    </row>
    <row r="3166" spans="1:70" x14ac:dyDescent="0.3">
      <c r="A3166" s="1" t="s">
        <v>58</v>
      </c>
      <c r="B3166" s="7">
        <v>40764</v>
      </c>
      <c r="C3166" s="1">
        <v>8</v>
      </c>
      <c r="D3166" s="1">
        <v>182</v>
      </c>
      <c r="E3166" s="1">
        <v>3</v>
      </c>
      <c r="F3166" s="1">
        <v>49</v>
      </c>
      <c r="AA3166" s="1">
        <v>1</v>
      </c>
    </row>
    <row r="3167" spans="1:70" x14ac:dyDescent="0.3">
      <c r="A3167" s="1" t="s">
        <v>58</v>
      </c>
      <c r="B3167" s="7">
        <v>40764</v>
      </c>
      <c r="C3167" s="1">
        <v>8</v>
      </c>
      <c r="D3167" s="1">
        <v>182</v>
      </c>
      <c r="E3167" s="1">
        <v>3</v>
      </c>
      <c r="F3167" s="1">
        <v>50</v>
      </c>
      <c r="L3167" s="1">
        <v>1</v>
      </c>
      <c r="R3167" s="3">
        <v>0</v>
      </c>
      <c r="S3167" s="3">
        <v>1</v>
      </c>
    </row>
    <row r="3168" spans="1:70" x14ac:dyDescent="0.3">
      <c r="A3168" s="1" t="s">
        <v>58</v>
      </c>
      <c r="B3168" s="7">
        <v>40764</v>
      </c>
      <c r="C3168" s="1">
        <v>8</v>
      </c>
      <c r="D3168" s="1">
        <v>182</v>
      </c>
      <c r="E3168" s="1">
        <v>3</v>
      </c>
      <c r="F3168" s="1">
        <v>51</v>
      </c>
      <c r="R3168" s="3">
        <v>0</v>
      </c>
      <c r="S3168" s="3">
        <v>1</v>
      </c>
    </row>
    <row r="3169" spans="1:73" x14ac:dyDescent="0.3">
      <c r="A3169" s="1" t="s">
        <v>58</v>
      </c>
      <c r="B3169" s="7">
        <v>40764</v>
      </c>
      <c r="C3169" s="1">
        <v>8</v>
      </c>
      <c r="D3169" s="1">
        <v>182</v>
      </c>
      <c r="E3169" s="1">
        <v>3</v>
      </c>
      <c r="F3169" s="1">
        <v>52</v>
      </c>
      <c r="AA3169" s="1">
        <v>1</v>
      </c>
    </row>
    <row r="3170" spans="1:73" x14ac:dyDescent="0.3">
      <c r="A3170" s="1" t="s">
        <v>58</v>
      </c>
      <c r="B3170" s="7">
        <v>40764</v>
      </c>
      <c r="C3170" s="1">
        <v>8</v>
      </c>
      <c r="D3170" s="1">
        <v>182</v>
      </c>
      <c r="E3170" s="1">
        <v>3</v>
      </c>
      <c r="F3170" s="1">
        <v>53</v>
      </c>
      <c r="R3170" s="1">
        <v>1</v>
      </c>
      <c r="AA3170" s="1">
        <v>1</v>
      </c>
      <c r="AO3170" s="1">
        <v>1</v>
      </c>
    </row>
    <row r="3171" spans="1:73" x14ac:dyDescent="0.3">
      <c r="A3171" s="1" t="s">
        <v>58</v>
      </c>
      <c r="B3171" s="7">
        <v>40764</v>
      </c>
      <c r="C3171" s="1">
        <v>8</v>
      </c>
      <c r="D3171" s="1">
        <v>182</v>
      </c>
      <c r="E3171" s="1">
        <v>3</v>
      </c>
      <c r="F3171" s="1">
        <v>54</v>
      </c>
      <c r="I3171" s="1">
        <v>1</v>
      </c>
      <c r="L3171" s="1">
        <v>1</v>
      </c>
      <c r="AA3171" s="1">
        <v>1</v>
      </c>
    </row>
    <row r="3172" spans="1:73" x14ac:dyDescent="0.3">
      <c r="A3172" s="1" t="s">
        <v>58</v>
      </c>
      <c r="B3172" s="7">
        <v>40764</v>
      </c>
      <c r="C3172" s="1">
        <v>8</v>
      </c>
      <c r="D3172" s="1">
        <v>182</v>
      </c>
      <c r="E3172" s="1">
        <v>3</v>
      </c>
      <c r="F3172" s="1">
        <v>55</v>
      </c>
      <c r="L3172" s="1">
        <v>1</v>
      </c>
      <c r="AA3172" s="1">
        <v>1</v>
      </c>
      <c r="AO3172" s="1">
        <v>1</v>
      </c>
    </row>
    <row r="3173" spans="1:73" x14ac:dyDescent="0.3">
      <c r="A3173" s="1" t="s">
        <v>58</v>
      </c>
      <c r="B3173" s="7">
        <v>40764</v>
      </c>
      <c r="C3173" s="1">
        <v>8</v>
      </c>
      <c r="D3173" s="1">
        <v>182</v>
      </c>
      <c r="E3173" s="1">
        <v>3</v>
      </c>
      <c r="F3173" s="1">
        <v>56</v>
      </c>
      <c r="R3173" s="1">
        <v>1</v>
      </c>
      <c r="AA3173" s="1">
        <v>1</v>
      </c>
    </row>
    <row r="3174" spans="1:73" x14ac:dyDescent="0.3">
      <c r="A3174" s="1" t="s">
        <v>58</v>
      </c>
      <c r="B3174" s="7">
        <v>40764</v>
      </c>
      <c r="C3174" s="1">
        <v>8</v>
      </c>
      <c r="D3174" s="1">
        <v>182</v>
      </c>
      <c r="E3174" s="1">
        <v>3</v>
      </c>
      <c r="F3174" s="1">
        <v>57</v>
      </c>
      <c r="L3174" s="1">
        <v>1</v>
      </c>
      <c r="AO3174" s="1">
        <v>1</v>
      </c>
    </row>
    <row r="3175" spans="1:73" x14ac:dyDescent="0.3">
      <c r="A3175" s="1" t="s">
        <v>58</v>
      </c>
      <c r="B3175" s="7">
        <v>40764</v>
      </c>
      <c r="C3175" s="1">
        <v>8</v>
      </c>
      <c r="D3175" s="1">
        <v>182</v>
      </c>
      <c r="E3175" s="1">
        <v>3</v>
      </c>
      <c r="F3175" s="1">
        <v>58</v>
      </c>
      <c r="L3175" s="1">
        <v>1</v>
      </c>
      <c r="AA3175" s="1">
        <v>1</v>
      </c>
    </row>
    <row r="3176" spans="1:73" x14ac:dyDescent="0.3">
      <c r="A3176" s="1" t="s">
        <v>58</v>
      </c>
      <c r="B3176" s="7">
        <v>40764</v>
      </c>
      <c r="C3176" s="1">
        <v>8</v>
      </c>
      <c r="D3176" s="1">
        <v>182</v>
      </c>
      <c r="E3176" s="1">
        <v>3</v>
      </c>
      <c r="F3176" s="1">
        <v>59</v>
      </c>
      <c r="H3176" s="1">
        <v>1</v>
      </c>
      <c r="R3176" s="3">
        <v>0</v>
      </c>
      <c r="S3176" s="3">
        <v>1</v>
      </c>
    </row>
    <row r="3177" spans="1:73" x14ac:dyDescent="0.3">
      <c r="A3177" s="1" t="s">
        <v>58</v>
      </c>
      <c r="B3177" s="7">
        <v>40764</v>
      </c>
      <c r="C3177" s="1">
        <v>8</v>
      </c>
      <c r="D3177" s="1">
        <v>182</v>
      </c>
      <c r="E3177" s="1">
        <v>3</v>
      </c>
      <c r="F3177" s="1">
        <v>60</v>
      </c>
      <c r="I3177" s="1">
        <v>1</v>
      </c>
      <c r="P3177" s="1">
        <v>1</v>
      </c>
    </row>
    <row r="3178" spans="1:73" x14ac:dyDescent="0.3">
      <c r="A3178" s="1" t="s">
        <v>58</v>
      </c>
      <c r="B3178" s="7">
        <v>40764</v>
      </c>
      <c r="C3178" s="1">
        <v>8</v>
      </c>
      <c r="D3178" s="1">
        <v>182</v>
      </c>
      <c r="E3178" s="1">
        <v>3</v>
      </c>
      <c r="F3178" s="1">
        <v>61</v>
      </c>
      <c r="L3178" s="1">
        <v>1</v>
      </c>
      <c r="AA3178" s="1">
        <v>1</v>
      </c>
    </row>
    <row r="3179" spans="1:73" x14ac:dyDescent="0.3">
      <c r="A3179" s="1" t="s">
        <v>58</v>
      </c>
      <c r="B3179" s="7">
        <v>40764</v>
      </c>
      <c r="C3179" s="1">
        <v>8</v>
      </c>
      <c r="D3179" s="1">
        <v>182</v>
      </c>
      <c r="E3179" s="1">
        <v>3</v>
      </c>
      <c r="F3179" s="1">
        <v>62</v>
      </c>
      <c r="L3179" s="1">
        <v>1</v>
      </c>
      <c r="AA3179" s="1">
        <v>1</v>
      </c>
    </row>
    <row r="3180" spans="1:73" x14ac:dyDescent="0.3">
      <c r="A3180" s="1" t="s">
        <v>58</v>
      </c>
      <c r="B3180" s="7">
        <v>40764</v>
      </c>
      <c r="C3180" s="1">
        <v>8</v>
      </c>
      <c r="D3180" s="1">
        <v>182</v>
      </c>
      <c r="E3180" s="1">
        <v>3</v>
      </c>
      <c r="F3180" s="1">
        <v>63</v>
      </c>
      <c r="R3180" s="1">
        <v>1</v>
      </c>
      <c r="AA3180" s="1">
        <v>1</v>
      </c>
    </row>
    <row r="3181" spans="1:73" x14ac:dyDescent="0.3">
      <c r="A3181" s="1" t="s">
        <v>58</v>
      </c>
      <c r="B3181" s="7">
        <v>40764</v>
      </c>
      <c r="C3181" s="1">
        <v>8</v>
      </c>
      <c r="D3181" s="1">
        <v>182</v>
      </c>
      <c r="E3181" s="1">
        <v>3</v>
      </c>
      <c r="F3181" s="1">
        <v>64</v>
      </c>
      <c r="AA3181" s="1">
        <v>1</v>
      </c>
    </row>
    <row r="3182" spans="1:73" x14ac:dyDescent="0.3">
      <c r="A3182" s="1" t="s">
        <v>58</v>
      </c>
      <c r="B3182" s="7">
        <v>40764</v>
      </c>
      <c r="C3182" s="1">
        <v>8</v>
      </c>
      <c r="D3182" s="1">
        <v>182</v>
      </c>
      <c r="E3182" s="1">
        <v>3</v>
      </c>
      <c r="F3182" s="1">
        <v>65</v>
      </c>
      <c r="L3182" s="1">
        <v>1</v>
      </c>
      <c r="AA3182" s="1">
        <v>1</v>
      </c>
    </row>
    <row r="3183" spans="1:73" x14ac:dyDescent="0.3">
      <c r="A3183" s="1" t="s">
        <v>58</v>
      </c>
      <c r="B3183" s="7">
        <v>40764</v>
      </c>
      <c r="C3183" s="1">
        <v>8</v>
      </c>
      <c r="D3183" s="1">
        <v>182</v>
      </c>
      <c r="E3183" s="1">
        <v>3</v>
      </c>
      <c r="F3183" s="1">
        <v>66</v>
      </c>
      <c r="L3183" s="1">
        <v>1</v>
      </c>
      <c r="BU3183" s="1">
        <v>1</v>
      </c>
    </row>
    <row r="3184" spans="1:73" x14ac:dyDescent="0.3">
      <c r="A3184" s="1" t="s">
        <v>58</v>
      </c>
      <c r="B3184" s="7">
        <v>40764</v>
      </c>
      <c r="C3184" s="1">
        <v>8</v>
      </c>
      <c r="D3184" s="1">
        <v>182</v>
      </c>
      <c r="E3184" s="1">
        <v>3</v>
      </c>
      <c r="F3184" s="1">
        <v>67</v>
      </c>
      <c r="H3184" s="1">
        <v>1</v>
      </c>
      <c r="I3184" s="1">
        <v>1</v>
      </c>
    </row>
    <row r="3185" spans="1:41" x14ac:dyDescent="0.3">
      <c r="A3185" s="1" t="s">
        <v>58</v>
      </c>
      <c r="B3185" s="7">
        <v>40764</v>
      </c>
      <c r="C3185" s="1">
        <v>8</v>
      </c>
      <c r="D3185" s="1">
        <v>182</v>
      </c>
      <c r="E3185" s="1">
        <v>3</v>
      </c>
      <c r="F3185" s="1">
        <v>68</v>
      </c>
      <c r="L3185" s="1">
        <v>1</v>
      </c>
      <c r="AA3185" s="1">
        <v>1</v>
      </c>
    </row>
    <row r="3186" spans="1:41" x14ac:dyDescent="0.3">
      <c r="A3186" s="1" t="s">
        <v>58</v>
      </c>
      <c r="B3186" s="7">
        <v>40764</v>
      </c>
      <c r="C3186" s="1">
        <v>8</v>
      </c>
      <c r="D3186" s="1">
        <v>182</v>
      </c>
      <c r="E3186" s="1">
        <v>3</v>
      </c>
      <c r="F3186" s="1">
        <v>69</v>
      </c>
      <c r="R3186" s="1">
        <v>1</v>
      </c>
      <c r="AA3186" s="1">
        <v>1</v>
      </c>
    </row>
    <row r="3187" spans="1:41" x14ac:dyDescent="0.3">
      <c r="A3187" s="1" t="s">
        <v>58</v>
      </c>
      <c r="B3187" s="7">
        <v>40764</v>
      </c>
      <c r="C3187" s="1">
        <v>8</v>
      </c>
      <c r="D3187" s="1">
        <v>182</v>
      </c>
      <c r="E3187" s="1">
        <v>3</v>
      </c>
      <c r="F3187" s="1">
        <v>70</v>
      </c>
      <c r="I3187" s="1">
        <v>1</v>
      </c>
    </row>
    <row r="3188" spans="1:41" x14ac:dyDescent="0.3">
      <c r="A3188" s="1" t="s">
        <v>58</v>
      </c>
      <c r="B3188" s="7">
        <v>40764</v>
      </c>
      <c r="C3188" s="1">
        <v>8</v>
      </c>
      <c r="D3188" s="1">
        <v>182</v>
      </c>
      <c r="E3188" s="1">
        <v>3</v>
      </c>
      <c r="F3188" s="1">
        <v>71</v>
      </c>
      <c r="AA3188" s="1">
        <v>1</v>
      </c>
    </row>
    <row r="3189" spans="1:41" x14ac:dyDescent="0.3">
      <c r="A3189" s="1" t="s">
        <v>58</v>
      </c>
      <c r="B3189" s="7">
        <v>40764</v>
      </c>
      <c r="C3189" s="1">
        <v>8</v>
      </c>
      <c r="D3189" s="1">
        <v>182</v>
      </c>
      <c r="E3189" s="1">
        <v>3</v>
      </c>
      <c r="F3189" s="1">
        <v>72</v>
      </c>
      <c r="H3189" s="1">
        <v>1</v>
      </c>
    </row>
    <row r="3190" spans="1:41" x14ac:dyDescent="0.3">
      <c r="A3190" s="1" t="s">
        <v>58</v>
      </c>
      <c r="B3190" s="7">
        <v>40764</v>
      </c>
      <c r="C3190" s="1">
        <v>8</v>
      </c>
      <c r="D3190" s="1">
        <v>182</v>
      </c>
      <c r="E3190" s="1">
        <v>3</v>
      </c>
      <c r="F3190" s="1">
        <v>73</v>
      </c>
    </row>
    <row r="3191" spans="1:41" x14ac:dyDescent="0.3">
      <c r="A3191" s="1" t="s">
        <v>58</v>
      </c>
      <c r="B3191" s="7">
        <v>40764</v>
      </c>
      <c r="C3191" s="1">
        <v>8</v>
      </c>
      <c r="D3191" s="1">
        <v>182</v>
      </c>
      <c r="E3191" s="1">
        <v>3</v>
      </c>
      <c r="F3191" s="1">
        <v>74</v>
      </c>
      <c r="AO3191" s="1">
        <v>1</v>
      </c>
    </row>
    <row r="3192" spans="1:41" x14ac:dyDescent="0.3">
      <c r="A3192" s="1" t="s">
        <v>58</v>
      </c>
      <c r="B3192" s="7">
        <v>40764</v>
      </c>
      <c r="C3192" s="1">
        <v>8</v>
      </c>
      <c r="D3192" s="1">
        <v>182</v>
      </c>
      <c r="E3192" s="1">
        <v>3</v>
      </c>
      <c r="F3192" s="1">
        <v>75</v>
      </c>
      <c r="H3192" s="1">
        <v>1</v>
      </c>
      <c r="L3192" s="1">
        <v>1</v>
      </c>
      <c r="AK3192" s="1">
        <v>1</v>
      </c>
    </row>
    <row r="3193" spans="1:41" x14ac:dyDescent="0.3">
      <c r="A3193" s="1" t="s">
        <v>58</v>
      </c>
      <c r="B3193" s="7">
        <v>40764</v>
      </c>
      <c r="C3193" s="1">
        <v>8</v>
      </c>
      <c r="D3193" s="1">
        <v>182</v>
      </c>
      <c r="E3193" s="1">
        <v>3</v>
      </c>
      <c r="F3193" s="1">
        <v>76</v>
      </c>
      <c r="AK3193" s="1">
        <v>1</v>
      </c>
    </row>
    <row r="3194" spans="1:41" x14ac:dyDescent="0.3">
      <c r="A3194" s="1" t="s">
        <v>58</v>
      </c>
      <c r="B3194" s="7">
        <v>40764</v>
      </c>
      <c r="C3194" s="1">
        <v>8</v>
      </c>
      <c r="D3194" s="1">
        <v>182</v>
      </c>
      <c r="E3194" s="1">
        <v>3</v>
      </c>
      <c r="F3194" s="1">
        <v>77</v>
      </c>
      <c r="R3194" s="1">
        <v>1</v>
      </c>
    </row>
    <row r="3195" spans="1:41" x14ac:dyDescent="0.3">
      <c r="A3195" s="1" t="s">
        <v>58</v>
      </c>
      <c r="B3195" s="7">
        <v>40764</v>
      </c>
      <c r="C3195" s="1">
        <v>8</v>
      </c>
      <c r="D3195" s="1">
        <v>182</v>
      </c>
      <c r="E3195" s="1">
        <v>3</v>
      </c>
      <c r="F3195" s="1">
        <v>78</v>
      </c>
      <c r="R3195" s="3">
        <v>0</v>
      </c>
      <c r="S3195" s="3">
        <v>1</v>
      </c>
      <c r="AA3195" s="1">
        <v>1</v>
      </c>
    </row>
    <row r="3196" spans="1:41" x14ac:dyDescent="0.3">
      <c r="A3196" s="1" t="s">
        <v>58</v>
      </c>
      <c r="B3196" s="7">
        <v>40764</v>
      </c>
      <c r="C3196" s="1">
        <v>8</v>
      </c>
      <c r="D3196" s="1">
        <v>182</v>
      </c>
      <c r="E3196" s="1">
        <v>3</v>
      </c>
      <c r="F3196" s="1">
        <v>79</v>
      </c>
      <c r="R3196" s="3">
        <v>0</v>
      </c>
      <c r="S3196" s="3">
        <v>1</v>
      </c>
    </row>
    <row r="3197" spans="1:41" x14ac:dyDescent="0.3">
      <c r="A3197" s="1" t="s">
        <v>58</v>
      </c>
      <c r="B3197" s="7">
        <v>40764</v>
      </c>
      <c r="C3197" s="1">
        <v>8</v>
      </c>
      <c r="D3197" s="1">
        <v>182</v>
      </c>
      <c r="E3197" s="1">
        <v>3</v>
      </c>
      <c r="F3197" s="1">
        <v>80</v>
      </c>
      <c r="I3197" s="1">
        <v>1</v>
      </c>
    </row>
    <row r="3198" spans="1:41" x14ac:dyDescent="0.3">
      <c r="A3198" s="1" t="s">
        <v>58</v>
      </c>
      <c r="B3198" s="7">
        <v>40764</v>
      </c>
      <c r="C3198" s="1">
        <v>8</v>
      </c>
      <c r="D3198" s="1">
        <v>182</v>
      </c>
      <c r="E3198" s="1">
        <v>3</v>
      </c>
      <c r="F3198" s="1">
        <v>81</v>
      </c>
      <c r="H3198" s="1">
        <v>1</v>
      </c>
    </row>
    <row r="3199" spans="1:41" x14ac:dyDescent="0.3">
      <c r="A3199" s="1" t="s">
        <v>58</v>
      </c>
      <c r="B3199" s="7">
        <v>40764</v>
      </c>
      <c r="C3199" s="1">
        <v>8</v>
      </c>
      <c r="D3199" s="1">
        <v>182</v>
      </c>
      <c r="E3199" s="1">
        <v>3</v>
      </c>
      <c r="F3199" s="1">
        <v>82</v>
      </c>
    </row>
    <row r="3200" spans="1:41" x14ac:dyDescent="0.3">
      <c r="A3200" s="1" t="s">
        <v>58</v>
      </c>
      <c r="B3200" s="7">
        <v>40764</v>
      </c>
      <c r="C3200" s="1">
        <v>8</v>
      </c>
      <c r="D3200" s="1">
        <v>182</v>
      </c>
      <c r="E3200" s="1">
        <v>3</v>
      </c>
      <c r="F3200" s="1">
        <v>83</v>
      </c>
    </row>
    <row r="3201" spans="1:70" x14ac:dyDescent="0.3">
      <c r="A3201" s="1" t="s">
        <v>58</v>
      </c>
      <c r="B3201" s="7">
        <v>40764</v>
      </c>
      <c r="C3201" s="1">
        <v>8</v>
      </c>
      <c r="D3201" s="1">
        <v>182</v>
      </c>
      <c r="E3201" s="1">
        <v>3</v>
      </c>
      <c r="F3201" s="1">
        <v>84</v>
      </c>
      <c r="H3201" s="1">
        <v>1</v>
      </c>
    </row>
    <row r="3202" spans="1:70" x14ac:dyDescent="0.3">
      <c r="A3202" s="1" t="s">
        <v>58</v>
      </c>
      <c r="B3202" s="7">
        <v>40764</v>
      </c>
      <c r="C3202" s="1">
        <v>8</v>
      </c>
      <c r="D3202" s="1">
        <v>182</v>
      </c>
      <c r="E3202" s="1">
        <v>3</v>
      </c>
      <c r="F3202" s="1">
        <v>85</v>
      </c>
    </row>
    <row r="3203" spans="1:70" x14ac:dyDescent="0.3">
      <c r="A3203" s="1" t="s">
        <v>58</v>
      </c>
      <c r="B3203" s="7">
        <v>40764</v>
      </c>
      <c r="C3203" s="1">
        <v>8</v>
      </c>
      <c r="D3203" s="1">
        <v>182</v>
      </c>
      <c r="E3203" s="1">
        <v>3</v>
      </c>
      <c r="F3203" s="1">
        <v>86</v>
      </c>
      <c r="R3203" s="3">
        <v>0</v>
      </c>
      <c r="S3203" s="3">
        <v>1</v>
      </c>
    </row>
    <row r="3204" spans="1:70" x14ac:dyDescent="0.3">
      <c r="A3204" s="1" t="s">
        <v>58</v>
      </c>
      <c r="B3204" s="7">
        <v>40764</v>
      </c>
      <c r="C3204" s="1">
        <v>8</v>
      </c>
      <c r="D3204" s="1">
        <v>182</v>
      </c>
      <c r="E3204" s="1">
        <v>3</v>
      </c>
      <c r="F3204" s="1">
        <v>87</v>
      </c>
      <c r="AA3204" s="1">
        <v>1</v>
      </c>
    </row>
    <row r="3205" spans="1:70" x14ac:dyDescent="0.3">
      <c r="A3205" s="1" t="s">
        <v>58</v>
      </c>
      <c r="B3205" s="7">
        <v>40764</v>
      </c>
      <c r="C3205" s="1">
        <v>8</v>
      </c>
      <c r="D3205" s="1">
        <v>182</v>
      </c>
      <c r="E3205" s="1">
        <v>3</v>
      </c>
      <c r="F3205" s="1">
        <v>88</v>
      </c>
      <c r="AA3205" s="1">
        <v>1</v>
      </c>
      <c r="AK3205" s="1">
        <v>1</v>
      </c>
    </row>
    <row r="3206" spans="1:70" x14ac:dyDescent="0.3">
      <c r="A3206" s="1" t="s">
        <v>58</v>
      </c>
      <c r="B3206" s="7">
        <v>40764</v>
      </c>
      <c r="C3206" s="1">
        <v>8</v>
      </c>
      <c r="D3206" s="1">
        <v>182</v>
      </c>
      <c r="E3206" s="1">
        <v>3</v>
      </c>
      <c r="F3206" s="1">
        <v>89</v>
      </c>
      <c r="AK3206" s="1">
        <v>1</v>
      </c>
    </row>
    <row r="3207" spans="1:70" x14ac:dyDescent="0.3">
      <c r="A3207" s="1" t="s">
        <v>58</v>
      </c>
      <c r="B3207" s="7">
        <v>40764</v>
      </c>
      <c r="C3207" s="1">
        <v>8</v>
      </c>
      <c r="D3207" s="1">
        <v>182</v>
      </c>
      <c r="E3207" s="1">
        <v>3</v>
      </c>
      <c r="F3207" s="1">
        <v>90</v>
      </c>
      <c r="L3207" s="1">
        <v>1</v>
      </c>
      <c r="AK3207" s="3">
        <v>0</v>
      </c>
      <c r="AL3207" s="3">
        <v>1</v>
      </c>
    </row>
    <row r="3208" spans="1:70" x14ac:dyDescent="0.3">
      <c r="A3208" s="1" t="s">
        <v>58</v>
      </c>
      <c r="B3208" s="7">
        <v>40764</v>
      </c>
      <c r="C3208" s="1">
        <v>8</v>
      </c>
      <c r="D3208" s="1">
        <v>182</v>
      </c>
      <c r="E3208" s="1">
        <v>3</v>
      </c>
      <c r="F3208" s="1">
        <v>91</v>
      </c>
      <c r="AA3208" s="1">
        <v>1</v>
      </c>
    </row>
    <row r="3209" spans="1:70" x14ac:dyDescent="0.3">
      <c r="A3209" s="1" t="s">
        <v>58</v>
      </c>
      <c r="B3209" s="7">
        <v>40764</v>
      </c>
      <c r="C3209" s="1">
        <v>8</v>
      </c>
      <c r="D3209" s="1">
        <v>182</v>
      </c>
      <c r="E3209" s="1">
        <v>3</v>
      </c>
      <c r="F3209" s="1">
        <v>92</v>
      </c>
      <c r="AA3209" s="1">
        <v>1</v>
      </c>
    </row>
    <row r="3210" spans="1:70" x14ac:dyDescent="0.3">
      <c r="A3210" s="1" t="s">
        <v>58</v>
      </c>
      <c r="B3210" s="7">
        <v>40764</v>
      </c>
      <c r="C3210" s="1">
        <v>8</v>
      </c>
      <c r="D3210" s="1">
        <v>182</v>
      </c>
      <c r="E3210" s="1">
        <v>3</v>
      </c>
      <c r="F3210" s="1">
        <v>93</v>
      </c>
    </row>
    <row r="3211" spans="1:70" x14ac:dyDescent="0.3">
      <c r="A3211" s="1" t="s">
        <v>58</v>
      </c>
      <c r="B3211" s="7">
        <v>40764</v>
      </c>
      <c r="C3211" s="1">
        <v>8</v>
      </c>
      <c r="D3211" s="1">
        <v>182</v>
      </c>
      <c r="E3211" s="1">
        <v>3</v>
      </c>
      <c r="F3211" s="1">
        <v>94</v>
      </c>
      <c r="R3211" s="1">
        <v>1</v>
      </c>
    </row>
    <row r="3212" spans="1:70" x14ac:dyDescent="0.3">
      <c r="A3212" s="1" t="s">
        <v>58</v>
      </c>
      <c r="B3212" s="7">
        <v>40764</v>
      </c>
      <c r="C3212" s="1">
        <v>8</v>
      </c>
      <c r="D3212" s="1">
        <v>182</v>
      </c>
      <c r="E3212" s="1">
        <v>3</v>
      </c>
      <c r="F3212" s="1">
        <v>95</v>
      </c>
      <c r="R3212" s="3">
        <v>0</v>
      </c>
      <c r="S3212" s="3">
        <v>1</v>
      </c>
    </row>
    <row r="3213" spans="1:70" x14ac:dyDescent="0.3">
      <c r="A3213" s="1" t="s">
        <v>58</v>
      </c>
      <c r="B3213" s="7">
        <v>40764</v>
      </c>
      <c r="C3213" s="1">
        <v>8</v>
      </c>
      <c r="D3213" s="1">
        <v>182</v>
      </c>
      <c r="E3213" s="1">
        <v>3</v>
      </c>
      <c r="F3213" s="1">
        <v>96</v>
      </c>
      <c r="I3213" s="1">
        <v>1</v>
      </c>
      <c r="BR3213" s="1">
        <v>1</v>
      </c>
    </row>
    <row r="3214" spans="1:70" x14ac:dyDescent="0.3">
      <c r="A3214" s="1" t="s">
        <v>58</v>
      </c>
      <c r="B3214" s="7">
        <v>40764</v>
      </c>
      <c r="C3214" s="1">
        <v>8</v>
      </c>
      <c r="D3214" s="1">
        <v>182</v>
      </c>
      <c r="E3214" s="1">
        <v>3</v>
      </c>
      <c r="F3214" s="1">
        <v>97</v>
      </c>
      <c r="I3214" s="1">
        <v>1</v>
      </c>
    </row>
    <row r="3215" spans="1:70" x14ac:dyDescent="0.3">
      <c r="A3215" s="1" t="s">
        <v>58</v>
      </c>
      <c r="B3215" s="7">
        <v>40764</v>
      </c>
      <c r="C3215" s="1">
        <v>8</v>
      </c>
      <c r="D3215" s="1">
        <v>182</v>
      </c>
      <c r="E3215" s="1">
        <v>3</v>
      </c>
      <c r="F3215" s="1">
        <v>98</v>
      </c>
      <c r="I3215" s="1">
        <v>1</v>
      </c>
    </row>
    <row r="3216" spans="1:70" x14ac:dyDescent="0.3">
      <c r="A3216" s="1" t="s">
        <v>58</v>
      </c>
      <c r="B3216" s="7">
        <v>40764</v>
      </c>
      <c r="C3216" s="1">
        <v>8</v>
      </c>
      <c r="D3216" s="1">
        <v>182</v>
      </c>
      <c r="E3216" s="1">
        <v>3</v>
      </c>
      <c r="F3216" s="1">
        <v>99</v>
      </c>
    </row>
    <row r="3217" spans="1:90" x14ac:dyDescent="0.3">
      <c r="A3217" s="1" t="s">
        <v>58</v>
      </c>
      <c r="B3217" s="7">
        <v>40764</v>
      </c>
      <c r="C3217" s="1">
        <v>8</v>
      </c>
      <c r="D3217" s="1">
        <v>182</v>
      </c>
      <c r="E3217" s="1">
        <v>3</v>
      </c>
      <c r="F3217" s="1">
        <v>100</v>
      </c>
      <c r="H3217" s="1">
        <v>1</v>
      </c>
      <c r="AK3217" s="1">
        <v>1</v>
      </c>
    </row>
    <row r="3218" spans="1:90" s="12" customFormat="1" x14ac:dyDescent="0.3">
      <c r="A3218" s="14" t="s">
        <v>58</v>
      </c>
      <c r="B3218" s="13"/>
      <c r="G3218" s="12">
        <f>SUM(G3018:G3217)</f>
        <v>2</v>
      </c>
      <c r="H3218" s="12">
        <f t="shared" ref="H3218" si="1191">SUM(H3018:H3217)</f>
        <v>23</v>
      </c>
      <c r="I3218" s="12">
        <f t="shared" ref="I3218" si="1192">SUM(I3018:I3217)</f>
        <v>22</v>
      </c>
      <c r="J3218" s="12">
        <f t="shared" ref="J3218" si="1193">SUM(J3018:J3217)</f>
        <v>21</v>
      </c>
      <c r="K3218" s="12">
        <f t="shared" ref="K3218" si="1194">SUM(K3018:K3217)</f>
        <v>14</v>
      </c>
      <c r="L3218" s="12">
        <f t="shared" ref="L3218" si="1195">SUM(L3018:L3217)</f>
        <v>25</v>
      </c>
      <c r="M3218" s="12">
        <f t="shared" ref="M3218" si="1196">SUM(M3018:M3217)</f>
        <v>1</v>
      </c>
      <c r="N3218" s="12">
        <f t="shared" ref="N3218" si="1197">SUM(N3018:N3217)</f>
        <v>2</v>
      </c>
      <c r="O3218" s="12">
        <f t="shared" ref="O3218" si="1198">SUM(O3018:O3217)</f>
        <v>0</v>
      </c>
      <c r="P3218" s="12">
        <f t="shared" ref="P3218" si="1199">SUM(P3018:P3217)</f>
        <v>2</v>
      </c>
      <c r="Q3218" s="12">
        <f t="shared" ref="Q3218" si="1200">SUM(Q3018:Q3217)</f>
        <v>2</v>
      </c>
      <c r="R3218" s="12">
        <f t="shared" ref="R3218" si="1201">SUM(R3018:R3217)</f>
        <v>9</v>
      </c>
      <c r="S3218" s="12">
        <f t="shared" ref="S3218" si="1202">SUM(S3018:S3217)</f>
        <v>12</v>
      </c>
      <c r="T3218" s="12">
        <f t="shared" ref="T3218" si="1203">SUM(T3018:T3217)</f>
        <v>0</v>
      </c>
      <c r="U3218" s="12">
        <f t="shared" ref="U3218" si="1204">SUM(U3018:U3217)</f>
        <v>0</v>
      </c>
      <c r="V3218" s="12">
        <f t="shared" ref="V3218" si="1205">SUM(V3018:V3217)</f>
        <v>0</v>
      </c>
      <c r="W3218" s="12">
        <f t="shared" ref="W3218" si="1206">SUM(W3018:W3217)</f>
        <v>0</v>
      </c>
      <c r="X3218" s="12">
        <f t="shared" ref="X3218" si="1207">SUM(X3018:X3217)</f>
        <v>0</v>
      </c>
      <c r="Y3218" s="12">
        <f t="shared" ref="Y3218" si="1208">SUM(Y3018:Y3217)</f>
        <v>0</v>
      </c>
      <c r="Z3218" s="12">
        <f t="shared" ref="Z3218" si="1209">SUM(Z3018:Z3217)</f>
        <v>0</v>
      </c>
      <c r="AA3218" s="12">
        <f t="shared" ref="AA3218" si="1210">SUM(AA3018:AA3217)</f>
        <v>81</v>
      </c>
      <c r="AB3218" s="12">
        <f t="shared" ref="AB3218" si="1211">SUM(AB3018:AB3217)</f>
        <v>0</v>
      </c>
      <c r="AC3218" s="12">
        <f t="shared" ref="AC3218" si="1212">SUM(AC3018:AC3217)</f>
        <v>0</v>
      </c>
      <c r="AD3218" s="12">
        <f t="shared" ref="AD3218" si="1213">SUM(AD3018:AD3217)</f>
        <v>0</v>
      </c>
      <c r="AE3218" s="12">
        <f t="shared" ref="AE3218" si="1214">SUM(AE3018:AE3217)</f>
        <v>0</v>
      </c>
      <c r="AF3218" s="12">
        <f t="shared" ref="AF3218" si="1215">SUM(AF3018:AF3217)</f>
        <v>2</v>
      </c>
      <c r="AG3218" s="12">
        <f t="shared" ref="AG3218" si="1216">SUM(AG3018:AG3217)</f>
        <v>0</v>
      </c>
      <c r="AH3218" s="12">
        <f t="shared" ref="AH3218" si="1217">SUM(AH3018:AH3217)</f>
        <v>0</v>
      </c>
      <c r="AI3218" s="12">
        <f t="shared" ref="AI3218" si="1218">SUM(AI3018:AI3217)</f>
        <v>0</v>
      </c>
      <c r="AJ3218" s="12">
        <f t="shared" ref="AJ3218" si="1219">SUM(AJ3018:AJ3217)</f>
        <v>0</v>
      </c>
      <c r="AK3218" s="12">
        <f t="shared" ref="AK3218" si="1220">SUM(AK3018:AK3217)</f>
        <v>8</v>
      </c>
      <c r="AL3218" s="12">
        <f t="shared" ref="AL3218" si="1221">SUM(AL3018:AL3217)</f>
        <v>2</v>
      </c>
      <c r="AM3218" s="12">
        <f t="shared" ref="AM3218" si="1222">SUM(AM3018:AM3217)</f>
        <v>1</v>
      </c>
      <c r="AN3218" s="12">
        <f t="shared" ref="AN3218" si="1223">SUM(AN3018:AN3217)</f>
        <v>0</v>
      </c>
      <c r="AO3218" s="12">
        <f t="shared" ref="AO3218" si="1224">SUM(AO3018:AO3217)</f>
        <v>21</v>
      </c>
      <c r="AP3218" s="12">
        <f t="shared" ref="AP3218" si="1225">SUM(AP3018:AP3217)</f>
        <v>2</v>
      </c>
      <c r="AQ3218" s="12">
        <f t="shared" ref="AQ3218" si="1226">SUM(AQ3018:AQ3217)</f>
        <v>0</v>
      </c>
      <c r="AR3218" s="12">
        <f t="shared" ref="AR3218" si="1227">SUM(AR3018:AR3217)</f>
        <v>0</v>
      </c>
      <c r="AS3218" s="12">
        <f t="shared" ref="AS3218" si="1228">SUM(AS3018:AS3217)</f>
        <v>2</v>
      </c>
      <c r="AT3218" s="12">
        <f t="shared" ref="AT3218" si="1229">SUM(AT3018:AT3217)</f>
        <v>0</v>
      </c>
      <c r="AU3218" s="12">
        <f t="shared" ref="AU3218" si="1230">SUM(AU3018:AU3217)</f>
        <v>0</v>
      </c>
      <c r="AV3218" s="12">
        <f t="shared" ref="AV3218" si="1231">SUM(AV3018:AV3217)</f>
        <v>0</v>
      </c>
      <c r="AW3218" s="12">
        <f t="shared" ref="AW3218" si="1232">SUM(AW3018:AW3217)</f>
        <v>0</v>
      </c>
      <c r="AX3218" s="12">
        <f t="shared" ref="AX3218" si="1233">SUM(AX3018:AX3217)</f>
        <v>0</v>
      </c>
      <c r="AY3218" s="12">
        <f t="shared" ref="AY3218" si="1234">SUM(AY3018:AY3217)</f>
        <v>0</v>
      </c>
      <c r="AZ3218" s="12">
        <f t="shared" ref="AZ3218" si="1235">SUM(AZ3018:AZ3217)</f>
        <v>0</v>
      </c>
      <c r="BA3218" s="12">
        <f t="shared" ref="BA3218" si="1236">SUM(BA3018:BA3217)</f>
        <v>0</v>
      </c>
      <c r="BB3218" s="12">
        <f t="shared" ref="BB3218" si="1237">SUM(BB3018:BB3217)</f>
        <v>0</v>
      </c>
      <c r="BC3218" s="12">
        <f t="shared" ref="BC3218" si="1238">SUM(BC3018:BC3217)</f>
        <v>0</v>
      </c>
      <c r="BD3218" s="12">
        <f t="shared" ref="BD3218" si="1239">SUM(BD3018:BD3217)</f>
        <v>0</v>
      </c>
      <c r="BE3218" s="12">
        <f t="shared" ref="BE3218" si="1240">SUM(BE3018:BE3217)</f>
        <v>0</v>
      </c>
      <c r="BF3218" s="12">
        <f t="shared" ref="BF3218" si="1241">SUM(BF3018:BF3217)</f>
        <v>0</v>
      </c>
      <c r="BG3218" s="12">
        <f t="shared" ref="BG3218" si="1242">SUM(BG3018:BG3217)</f>
        <v>0</v>
      </c>
      <c r="BH3218" s="12">
        <f t="shared" ref="BH3218" si="1243">SUM(BH3018:BH3217)</f>
        <v>1</v>
      </c>
      <c r="BI3218" s="12">
        <f t="shared" ref="BI3218" si="1244">SUM(BI3018:BI3217)</f>
        <v>0</v>
      </c>
      <c r="BJ3218" s="12">
        <f t="shared" ref="BJ3218" si="1245">SUM(BJ3018:BJ3217)</f>
        <v>0</v>
      </c>
      <c r="BK3218" s="12">
        <f t="shared" ref="BK3218" si="1246">SUM(BK3018:BK3217)</f>
        <v>0</v>
      </c>
      <c r="BL3218" s="12">
        <f t="shared" ref="BL3218" si="1247">SUM(BL3018:BL3217)</f>
        <v>0</v>
      </c>
      <c r="BM3218" s="12">
        <f t="shared" ref="BM3218" si="1248">SUM(BM3018:BM3217)</f>
        <v>0</v>
      </c>
      <c r="BN3218" s="12">
        <f t="shared" ref="BN3218" si="1249">SUM(BN3018:BN3217)</f>
        <v>0</v>
      </c>
      <c r="BO3218" s="12">
        <f t="shared" ref="BO3218" si="1250">SUM(BO3018:BO3217)</f>
        <v>0</v>
      </c>
      <c r="BP3218" s="12">
        <f t="shared" ref="BP3218" si="1251">SUM(BP3018:BP3217)</f>
        <v>0</v>
      </c>
      <c r="BQ3218" s="12">
        <f t="shared" ref="BQ3218" si="1252">SUM(BQ3018:BQ3217)</f>
        <v>0</v>
      </c>
      <c r="BR3218" s="12">
        <f t="shared" ref="BR3218" si="1253">SUM(BR3018:BR3217)</f>
        <v>7</v>
      </c>
      <c r="BS3218" s="12">
        <f t="shared" ref="BS3218" si="1254">SUM(BS3018:BS3217)</f>
        <v>0</v>
      </c>
      <c r="BT3218" s="12">
        <f t="shared" ref="BT3218" si="1255">SUM(BT3018:BT3217)</f>
        <v>0</v>
      </c>
      <c r="BU3218" s="12">
        <f t="shared" ref="BU3218" si="1256">SUM(BU3018:BU3217)</f>
        <v>1</v>
      </c>
      <c r="BV3218" s="12">
        <f t="shared" ref="BV3218" si="1257">SUM(BV3018:BV3217)</f>
        <v>0</v>
      </c>
      <c r="BW3218" s="12">
        <f t="shared" ref="BW3218" si="1258">SUM(BW3018:BW3217)</f>
        <v>0</v>
      </c>
      <c r="BX3218" s="12">
        <f t="shared" ref="BX3218" si="1259">SUM(BX3018:BX3217)</f>
        <v>0</v>
      </c>
      <c r="BY3218" s="12">
        <f t="shared" ref="BY3218" si="1260">SUM(BY3018:BY3217)</f>
        <v>0</v>
      </c>
      <c r="BZ3218" s="12">
        <f t="shared" ref="BZ3218" si="1261">SUM(BZ3018:BZ3217)</f>
        <v>0</v>
      </c>
      <c r="CA3218" s="12">
        <f t="shared" ref="CA3218" si="1262">SUM(CA3018:CA3217)</f>
        <v>0</v>
      </c>
      <c r="CB3218" s="12">
        <f t="shared" ref="CB3218" si="1263">SUM(CB3018:CB3217)</f>
        <v>0</v>
      </c>
      <c r="CC3218" s="12">
        <f t="shared" ref="CC3218" si="1264">SUM(CC3018:CC3217)</f>
        <v>0</v>
      </c>
      <c r="CD3218" s="12">
        <f t="shared" ref="CD3218" si="1265">SUM(CD3018:CD3217)</f>
        <v>0</v>
      </c>
      <c r="CE3218" s="12">
        <f t="shared" ref="CE3218" si="1266">SUM(CE3018:CE3217)</f>
        <v>0</v>
      </c>
      <c r="CF3218" s="12">
        <f t="shared" ref="CF3218" si="1267">SUM(CF3018:CF3217)</f>
        <v>0</v>
      </c>
      <c r="CG3218" s="12">
        <f t="shared" ref="CG3218" si="1268">SUM(CG3018:CG3217)</f>
        <v>0</v>
      </c>
      <c r="CH3218" s="12">
        <f t="shared" ref="CH3218" si="1269">SUM(CH3018:CH3217)</f>
        <v>0</v>
      </c>
      <c r="CI3218" s="12">
        <f t="shared" ref="CI3218" si="1270">SUM(CI3018:CI3217)</f>
        <v>0</v>
      </c>
      <c r="CJ3218" s="12">
        <f t="shared" ref="CJ3218" si="1271">SUM(CJ3018:CJ3217)</f>
        <v>0</v>
      </c>
      <c r="CK3218" s="12">
        <f t="shared" ref="CK3218" si="1272">SUM(CK3018:CK3217)</f>
        <v>0</v>
      </c>
      <c r="CL3218" s="12">
        <f t="shared" ref="CL3218" si="1273">SUM(CL3018:CL3217)</f>
        <v>0</v>
      </c>
    </row>
    <row r="3219" spans="1:90" x14ac:dyDescent="0.3">
      <c r="A3219" s="1" t="s">
        <v>59</v>
      </c>
      <c r="B3219" s="7">
        <v>40759</v>
      </c>
      <c r="C3219" s="1">
        <v>3</v>
      </c>
      <c r="D3219" s="1">
        <v>188</v>
      </c>
      <c r="E3219" s="1">
        <v>0</v>
      </c>
      <c r="F3219" s="1">
        <v>1</v>
      </c>
      <c r="G3219" s="1">
        <v>1</v>
      </c>
    </row>
    <row r="3220" spans="1:90" x14ac:dyDescent="0.3">
      <c r="A3220" s="1" t="s">
        <v>59</v>
      </c>
      <c r="B3220" s="7">
        <v>40759</v>
      </c>
      <c r="C3220" s="1">
        <v>3</v>
      </c>
      <c r="D3220" s="1">
        <v>188</v>
      </c>
      <c r="E3220" s="1">
        <v>0</v>
      </c>
      <c r="F3220" s="1">
        <v>2</v>
      </c>
      <c r="G3220" s="1">
        <v>1</v>
      </c>
    </row>
    <row r="3221" spans="1:90" x14ac:dyDescent="0.3">
      <c r="A3221" s="1" t="s">
        <v>59</v>
      </c>
      <c r="B3221" s="7">
        <v>40759</v>
      </c>
      <c r="C3221" s="1">
        <v>3</v>
      </c>
      <c r="D3221" s="1">
        <v>188</v>
      </c>
      <c r="E3221" s="1">
        <v>0</v>
      </c>
      <c r="F3221" s="1">
        <v>3</v>
      </c>
      <c r="I3221" s="1">
        <v>1</v>
      </c>
    </row>
    <row r="3222" spans="1:90" x14ac:dyDescent="0.3">
      <c r="A3222" s="1" t="s">
        <v>59</v>
      </c>
      <c r="B3222" s="7">
        <v>40759</v>
      </c>
      <c r="C3222" s="1">
        <v>3</v>
      </c>
      <c r="D3222" s="1">
        <v>188</v>
      </c>
      <c r="E3222" s="1">
        <v>0</v>
      </c>
      <c r="F3222" s="1">
        <v>4</v>
      </c>
      <c r="L3222" s="1">
        <v>1</v>
      </c>
      <c r="R3222" s="3">
        <v>0</v>
      </c>
      <c r="S3222" s="3">
        <v>1</v>
      </c>
    </row>
    <row r="3223" spans="1:90" x14ac:dyDescent="0.3">
      <c r="A3223" s="1" t="s">
        <v>59</v>
      </c>
      <c r="B3223" s="7">
        <v>40759</v>
      </c>
      <c r="C3223" s="1">
        <v>3</v>
      </c>
      <c r="D3223" s="1">
        <v>188</v>
      </c>
      <c r="E3223" s="1">
        <v>0</v>
      </c>
      <c r="F3223" s="1">
        <v>5</v>
      </c>
      <c r="AS3223" s="1">
        <v>1</v>
      </c>
      <c r="BE3223" s="8">
        <v>1</v>
      </c>
      <c r="BF3223" s="8"/>
      <c r="BU3223" s="1">
        <v>1</v>
      </c>
    </row>
    <row r="3224" spans="1:90" x14ac:dyDescent="0.3">
      <c r="A3224" s="1" t="s">
        <v>59</v>
      </c>
      <c r="B3224" s="7">
        <v>40759</v>
      </c>
      <c r="C3224" s="1">
        <v>3</v>
      </c>
      <c r="D3224" s="1">
        <v>188</v>
      </c>
      <c r="E3224" s="1">
        <v>0</v>
      </c>
      <c r="F3224" s="1">
        <v>6</v>
      </c>
      <c r="L3224" s="1">
        <v>1</v>
      </c>
      <c r="AS3224" s="8">
        <v>1</v>
      </c>
    </row>
    <row r="3225" spans="1:90" x14ac:dyDescent="0.3">
      <c r="A3225" s="1" t="s">
        <v>59</v>
      </c>
      <c r="B3225" s="7">
        <v>40759</v>
      </c>
      <c r="C3225" s="1">
        <v>3</v>
      </c>
      <c r="D3225" s="1">
        <v>188</v>
      </c>
      <c r="E3225" s="1">
        <v>0</v>
      </c>
      <c r="F3225" s="1">
        <v>7</v>
      </c>
      <c r="L3225" s="8">
        <v>1</v>
      </c>
      <c r="M3225" s="8"/>
      <c r="AS3225" s="1">
        <v>1</v>
      </c>
      <c r="BU3225" s="8">
        <v>1</v>
      </c>
      <c r="BV3225" s="8"/>
    </row>
    <row r="3226" spans="1:90" x14ac:dyDescent="0.3">
      <c r="A3226" s="1" t="s">
        <v>59</v>
      </c>
      <c r="B3226" s="7">
        <v>40759</v>
      </c>
      <c r="C3226" s="1">
        <v>3</v>
      </c>
      <c r="D3226" s="1">
        <v>188</v>
      </c>
      <c r="E3226" s="1">
        <v>0</v>
      </c>
      <c r="F3226" s="1">
        <v>8</v>
      </c>
      <c r="L3226" s="8">
        <v>1</v>
      </c>
      <c r="M3226" s="8"/>
      <c r="BI3226" s="1">
        <v>1</v>
      </c>
    </row>
    <row r="3227" spans="1:90" x14ac:dyDescent="0.3">
      <c r="A3227" s="1" t="s">
        <v>59</v>
      </c>
      <c r="B3227" s="7">
        <v>40759</v>
      </c>
      <c r="C3227" s="1">
        <v>3</v>
      </c>
      <c r="D3227" s="1">
        <v>188</v>
      </c>
      <c r="E3227" s="1">
        <v>0</v>
      </c>
      <c r="F3227" s="1">
        <v>9</v>
      </c>
      <c r="L3227" s="1">
        <v>1</v>
      </c>
      <c r="R3227" s="3">
        <v>0</v>
      </c>
      <c r="S3227" s="3">
        <v>1</v>
      </c>
    </row>
    <row r="3228" spans="1:90" x14ac:dyDescent="0.3">
      <c r="A3228" s="1" t="s">
        <v>59</v>
      </c>
      <c r="B3228" s="7">
        <v>40759</v>
      </c>
      <c r="C3228" s="1">
        <v>3</v>
      </c>
      <c r="D3228" s="1">
        <v>188</v>
      </c>
      <c r="E3228" s="1">
        <v>0</v>
      </c>
      <c r="F3228" s="1">
        <v>10</v>
      </c>
      <c r="H3228" s="1">
        <v>1</v>
      </c>
      <c r="L3228" s="1">
        <v>1</v>
      </c>
      <c r="AF3228" s="1">
        <v>1</v>
      </c>
    </row>
    <row r="3229" spans="1:90" x14ac:dyDescent="0.3">
      <c r="A3229" s="1" t="s">
        <v>59</v>
      </c>
      <c r="B3229" s="7">
        <v>40759</v>
      </c>
      <c r="C3229" s="1">
        <v>3</v>
      </c>
      <c r="D3229" s="1">
        <v>188</v>
      </c>
      <c r="E3229" s="1">
        <v>0</v>
      </c>
      <c r="F3229" s="1">
        <v>11</v>
      </c>
      <c r="G3229" s="1">
        <v>1</v>
      </c>
    </row>
    <row r="3230" spans="1:90" x14ac:dyDescent="0.3">
      <c r="A3230" s="1" t="s">
        <v>59</v>
      </c>
      <c r="B3230" s="7">
        <v>40759</v>
      </c>
      <c r="C3230" s="1">
        <v>3</v>
      </c>
      <c r="D3230" s="1">
        <v>188</v>
      </c>
      <c r="E3230" s="1">
        <v>0</v>
      </c>
      <c r="F3230" s="1">
        <v>12</v>
      </c>
      <c r="G3230" s="1">
        <v>1</v>
      </c>
    </row>
    <row r="3231" spans="1:90" x14ac:dyDescent="0.3">
      <c r="A3231" s="1" t="s">
        <v>59</v>
      </c>
      <c r="B3231" s="7">
        <v>40759</v>
      </c>
      <c r="C3231" s="1">
        <v>3</v>
      </c>
      <c r="D3231" s="1">
        <v>188</v>
      </c>
      <c r="E3231" s="1">
        <v>0</v>
      </c>
      <c r="F3231" s="1">
        <v>13</v>
      </c>
      <c r="R3231" s="3">
        <v>0</v>
      </c>
      <c r="S3231" s="3">
        <v>1</v>
      </c>
    </row>
    <row r="3232" spans="1:90" x14ac:dyDescent="0.3">
      <c r="A3232" s="1" t="s">
        <v>59</v>
      </c>
      <c r="B3232" s="7">
        <v>40759</v>
      </c>
      <c r="C3232" s="1">
        <v>3</v>
      </c>
      <c r="D3232" s="1">
        <v>188</v>
      </c>
      <c r="E3232" s="1">
        <v>0</v>
      </c>
      <c r="F3232" s="1">
        <v>14</v>
      </c>
      <c r="G3232" s="1">
        <v>1</v>
      </c>
    </row>
    <row r="3233" spans="1:62" x14ac:dyDescent="0.3">
      <c r="A3233" s="1" t="s">
        <v>59</v>
      </c>
      <c r="B3233" s="7">
        <v>40759</v>
      </c>
      <c r="C3233" s="1">
        <v>3</v>
      </c>
      <c r="D3233" s="1">
        <v>188</v>
      </c>
      <c r="E3233" s="1">
        <v>0</v>
      </c>
      <c r="F3233" s="1">
        <v>15</v>
      </c>
      <c r="G3233" s="1">
        <v>1</v>
      </c>
    </row>
    <row r="3234" spans="1:62" x14ac:dyDescent="0.3">
      <c r="A3234" s="1" t="s">
        <v>59</v>
      </c>
      <c r="B3234" s="7">
        <v>40759</v>
      </c>
      <c r="C3234" s="1">
        <v>3</v>
      </c>
      <c r="D3234" s="1">
        <v>188</v>
      </c>
      <c r="E3234" s="1">
        <v>0</v>
      </c>
      <c r="F3234" s="1">
        <v>16</v>
      </c>
      <c r="L3234" s="1">
        <v>1</v>
      </c>
      <c r="AS3234" s="1">
        <v>1</v>
      </c>
      <c r="BI3234" s="1">
        <v>1</v>
      </c>
    </row>
    <row r="3235" spans="1:62" x14ac:dyDescent="0.3">
      <c r="A3235" s="1" t="s">
        <v>59</v>
      </c>
      <c r="B3235" s="7">
        <v>40759</v>
      </c>
      <c r="C3235" s="1">
        <v>3</v>
      </c>
      <c r="D3235" s="1">
        <v>188</v>
      </c>
      <c r="E3235" s="1">
        <v>0</v>
      </c>
      <c r="F3235" s="1">
        <v>17</v>
      </c>
      <c r="L3235" s="1">
        <v>1</v>
      </c>
      <c r="AS3235" s="1">
        <v>1</v>
      </c>
      <c r="BI3235" s="1">
        <v>1</v>
      </c>
    </row>
    <row r="3236" spans="1:62" x14ac:dyDescent="0.3">
      <c r="A3236" s="1" t="s">
        <v>59</v>
      </c>
      <c r="B3236" s="7">
        <v>40759</v>
      </c>
      <c r="C3236" s="1">
        <v>3</v>
      </c>
      <c r="D3236" s="1">
        <v>188</v>
      </c>
      <c r="E3236" s="1">
        <v>0</v>
      </c>
      <c r="F3236" s="1">
        <v>18</v>
      </c>
      <c r="BI3236" s="8">
        <v>1</v>
      </c>
      <c r="BJ3236" s="8"/>
    </row>
    <row r="3237" spans="1:62" x14ac:dyDescent="0.3">
      <c r="A3237" s="1" t="s">
        <v>59</v>
      </c>
      <c r="B3237" s="7">
        <v>40759</v>
      </c>
      <c r="C3237" s="1">
        <v>3</v>
      </c>
      <c r="D3237" s="1">
        <v>188</v>
      </c>
      <c r="E3237" s="1">
        <v>0</v>
      </c>
      <c r="F3237" s="1">
        <v>19</v>
      </c>
      <c r="I3237" s="1">
        <v>1</v>
      </c>
      <c r="AF3237" s="1">
        <v>1</v>
      </c>
    </row>
    <row r="3238" spans="1:62" x14ac:dyDescent="0.3">
      <c r="A3238" s="1" t="s">
        <v>59</v>
      </c>
      <c r="B3238" s="7">
        <v>40759</v>
      </c>
      <c r="C3238" s="1">
        <v>3</v>
      </c>
      <c r="D3238" s="1">
        <v>188</v>
      </c>
      <c r="E3238" s="1">
        <v>0</v>
      </c>
      <c r="F3238" s="1">
        <v>20</v>
      </c>
      <c r="I3238" s="1">
        <v>1</v>
      </c>
    </row>
    <row r="3239" spans="1:62" x14ac:dyDescent="0.3">
      <c r="A3239" s="1" t="s">
        <v>59</v>
      </c>
      <c r="B3239" s="7">
        <v>40759</v>
      </c>
      <c r="C3239" s="1">
        <v>3</v>
      </c>
      <c r="D3239" s="1">
        <v>188</v>
      </c>
      <c r="E3239" s="1">
        <v>0</v>
      </c>
      <c r="F3239" s="1">
        <v>21</v>
      </c>
      <c r="G3239" s="1">
        <v>1</v>
      </c>
    </row>
    <row r="3240" spans="1:62" x14ac:dyDescent="0.3">
      <c r="A3240" s="1" t="s">
        <v>59</v>
      </c>
      <c r="B3240" s="7">
        <v>40759</v>
      </c>
      <c r="C3240" s="1">
        <v>3</v>
      </c>
      <c r="D3240" s="1">
        <v>188</v>
      </c>
      <c r="E3240" s="1">
        <v>0</v>
      </c>
      <c r="F3240" s="1">
        <v>22</v>
      </c>
      <c r="G3240" s="1">
        <v>1</v>
      </c>
      <c r="AF3240" s="1">
        <v>1</v>
      </c>
    </row>
    <row r="3241" spans="1:62" x14ac:dyDescent="0.3">
      <c r="A3241" s="1" t="s">
        <v>59</v>
      </c>
      <c r="B3241" s="7">
        <v>40759</v>
      </c>
      <c r="C3241" s="1">
        <v>3</v>
      </c>
      <c r="D3241" s="1">
        <v>188</v>
      </c>
      <c r="E3241" s="1">
        <v>0</v>
      </c>
      <c r="F3241" s="1">
        <v>23</v>
      </c>
      <c r="R3241" s="3">
        <v>0</v>
      </c>
      <c r="S3241" s="3">
        <v>1</v>
      </c>
      <c r="BI3241" s="1">
        <v>1</v>
      </c>
    </row>
    <row r="3242" spans="1:62" x14ac:dyDescent="0.3">
      <c r="A3242" s="1" t="s">
        <v>59</v>
      </c>
      <c r="B3242" s="7">
        <v>40759</v>
      </c>
      <c r="C3242" s="1">
        <v>3</v>
      </c>
      <c r="D3242" s="1">
        <v>188</v>
      </c>
      <c r="E3242" s="1">
        <v>0</v>
      </c>
      <c r="F3242" s="1">
        <v>24</v>
      </c>
      <c r="H3242" s="1">
        <v>1</v>
      </c>
    </row>
    <row r="3243" spans="1:62" x14ac:dyDescent="0.3">
      <c r="A3243" s="1" t="s">
        <v>59</v>
      </c>
      <c r="B3243" s="7">
        <v>40759</v>
      </c>
      <c r="C3243" s="1">
        <v>3</v>
      </c>
      <c r="D3243" s="1">
        <v>188</v>
      </c>
      <c r="E3243" s="1">
        <v>0</v>
      </c>
      <c r="F3243" s="1">
        <v>25</v>
      </c>
      <c r="G3243" s="1">
        <v>1</v>
      </c>
    </row>
    <row r="3244" spans="1:62" x14ac:dyDescent="0.3">
      <c r="A3244" s="1" t="s">
        <v>59</v>
      </c>
      <c r="B3244" s="7">
        <v>40759</v>
      </c>
      <c r="C3244" s="1">
        <v>3</v>
      </c>
      <c r="D3244" s="1">
        <v>188</v>
      </c>
      <c r="E3244" s="1">
        <v>0</v>
      </c>
      <c r="F3244" s="1">
        <v>26</v>
      </c>
      <c r="AS3244" s="1">
        <v>1</v>
      </c>
    </row>
    <row r="3245" spans="1:62" x14ac:dyDescent="0.3">
      <c r="A3245" s="1" t="s">
        <v>59</v>
      </c>
      <c r="B3245" s="7">
        <v>40759</v>
      </c>
      <c r="C3245" s="1">
        <v>3</v>
      </c>
      <c r="D3245" s="1">
        <v>188</v>
      </c>
      <c r="E3245" s="1">
        <v>0</v>
      </c>
      <c r="F3245" s="1">
        <v>27</v>
      </c>
      <c r="AS3245" s="1">
        <v>1</v>
      </c>
    </row>
    <row r="3246" spans="1:62" x14ac:dyDescent="0.3">
      <c r="A3246" s="1" t="s">
        <v>59</v>
      </c>
      <c r="B3246" s="7">
        <v>40759</v>
      </c>
      <c r="C3246" s="1">
        <v>3</v>
      </c>
      <c r="D3246" s="1">
        <v>188</v>
      </c>
      <c r="E3246" s="1">
        <v>0</v>
      </c>
      <c r="F3246" s="1">
        <v>28</v>
      </c>
      <c r="L3246" s="1">
        <v>1</v>
      </c>
      <c r="BI3246" s="3">
        <v>0</v>
      </c>
      <c r="BJ3246" s="3">
        <v>1</v>
      </c>
    </row>
    <row r="3247" spans="1:62" x14ac:dyDescent="0.3">
      <c r="A3247" s="1" t="s">
        <v>59</v>
      </c>
      <c r="B3247" s="7">
        <v>40759</v>
      </c>
      <c r="C3247" s="1">
        <v>3</v>
      </c>
      <c r="D3247" s="1">
        <v>188</v>
      </c>
      <c r="E3247" s="1">
        <v>0</v>
      </c>
      <c r="F3247" s="1">
        <v>29</v>
      </c>
      <c r="I3247" s="1">
        <v>1</v>
      </c>
    </row>
    <row r="3248" spans="1:62" x14ac:dyDescent="0.3">
      <c r="A3248" s="1" t="s">
        <v>59</v>
      </c>
      <c r="B3248" s="7">
        <v>40759</v>
      </c>
      <c r="C3248" s="1">
        <v>3</v>
      </c>
      <c r="D3248" s="1">
        <v>188</v>
      </c>
      <c r="E3248" s="1">
        <v>0</v>
      </c>
      <c r="F3248" s="1">
        <v>30</v>
      </c>
      <c r="L3248" s="1">
        <v>1</v>
      </c>
    </row>
    <row r="3249" spans="1:73" x14ac:dyDescent="0.3">
      <c r="A3249" s="1" t="s">
        <v>59</v>
      </c>
      <c r="B3249" s="7">
        <v>40759</v>
      </c>
      <c r="C3249" s="1">
        <v>3</v>
      </c>
      <c r="D3249" s="1">
        <v>188</v>
      </c>
      <c r="E3249" s="1">
        <v>0</v>
      </c>
      <c r="F3249" s="1">
        <v>31</v>
      </c>
      <c r="G3249" s="1">
        <v>1</v>
      </c>
    </row>
    <row r="3250" spans="1:73" x14ac:dyDescent="0.3">
      <c r="A3250" s="1" t="s">
        <v>59</v>
      </c>
      <c r="B3250" s="7">
        <v>40759</v>
      </c>
      <c r="C3250" s="1">
        <v>3</v>
      </c>
      <c r="D3250" s="1">
        <v>188</v>
      </c>
      <c r="E3250" s="1">
        <v>0</v>
      </c>
      <c r="F3250" s="1">
        <v>32</v>
      </c>
      <c r="AO3250" s="1">
        <v>1</v>
      </c>
    </row>
    <row r="3251" spans="1:73" x14ac:dyDescent="0.3">
      <c r="A3251" s="1" t="s">
        <v>59</v>
      </c>
      <c r="B3251" s="7">
        <v>40759</v>
      </c>
      <c r="C3251" s="1">
        <v>3</v>
      </c>
      <c r="D3251" s="1">
        <v>188</v>
      </c>
      <c r="E3251" s="1">
        <v>0</v>
      </c>
      <c r="F3251" s="1">
        <v>33</v>
      </c>
      <c r="I3251" s="1">
        <v>1</v>
      </c>
      <c r="AO3251" s="1">
        <v>1</v>
      </c>
    </row>
    <row r="3252" spans="1:73" x14ac:dyDescent="0.3">
      <c r="A3252" s="1" t="s">
        <v>59</v>
      </c>
      <c r="B3252" s="7">
        <v>40759</v>
      </c>
      <c r="C3252" s="1">
        <v>3</v>
      </c>
      <c r="D3252" s="1">
        <v>188</v>
      </c>
      <c r="E3252" s="1">
        <v>0</v>
      </c>
      <c r="F3252" s="1">
        <v>34</v>
      </c>
      <c r="H3252" s="1">
        <v>1</v>
      </c>
    </row>
    <row r="3253" spans="1:73" x14ac:dyDescent="0.3">
      <c r="A3253" s="1" t="s">
        <v>59</v>
      </c>
      <c r="B3253" s="7">
        <v>40759</v>
      </c>
      <c r="C3253" s="1">
        <v>3</v>
      </c>
      <c r="D3253" s="1">
        <v>188</v>
      </c>
      <c r="E3253" s="1">
        <v>0</v>
      </c>
      <c r="F3253" s="1">
        <v>35</v>
      </c>
      <c r="AO3253" s="3">
        <v>0</v>
      </c>
      <c r="AP3253" s="3">
        <v>1</v>
      </c>
    </row>
    <row r="3254" spans="1:73" x14ac:dyDescent="0.3">
      <c r="A3254" s="1" t="s">
        <v>59</v>
      </c>
      <c r="B3254" s="7">
        <v>40759</v>
      </c>
      <c r="C3254" s="1">
        <v>3</v>
      </c>
      <c r="D3254" s="1">
        <v>188</v>
      </c>
      <c r="E3254" s="1">
        <v>0</v>
      </c>
      <c r="F3254" s="1">
        <v>36</v>
      </c>
      <c r="G3254" s="1">
        <v>1</v>
      </c>
      <c r="AS3254" s="1">
        <v>1</v>
      </c>
    </row>
    <row r="3255" spans="1:73" x14ac:dyDescent="0.3">
      <c r="A3255" s="1" t="s">
        <v>59</v>
      </c>
      <c r="B3255" s="7">
        <v>40759</v>
      </c>
      <c r="C3255" s="1">
        <v>3</v>
      </c>
      <c r="D3255" s="1">
        <v>188</v>
      </c>
      <c r="E3255" s="1">
        <v>0</v>
      </c>
      <c r="F3255" s="1">
        <v>37</v>
      </c>
      <c r="L3255" s="1">
        <v>1</v>
      </c>
      <c r="AS3255" s="1">
        <v>1</v>
      </c>
      <c r="BU3255" s="1">
        <v>1</v>
      </c>
    </row>
    <row r="3256" spans="1:73" x14ac:dyDescent="0.3">
      <c r="A3256" s="1" t="s">
        <v>59</v>
      </c>
      <c r="B3256" s="7">
        <v>40759</v>
      </c>
      <c r="C3256" s="1">
        <v>3</v>
      </c>
      <c r="D3256" s="1">
        <v>188</v>
      </c>
      <c r="E3256" s="1">
        <v>0</v>
      </c>
      <c r="F3256" s="1">
        <v>38</v>
      </c>
      <c r="AD3256" s="1">
        <v>1</v>
      </c>
      <c r="AS3256" s="1">
        <v>1</v>
      </c>
    </row>
    <row r="3257" spans="1:73" x14ac:dyDescent="0.3">
      <c r="A3257" s="1" t="s">
        <v>59</v>
      </c>
      <c r="B3257" s="7">
        <v>40759</v>
      </c>
      <c r="C3257" s="1">
        <v>3</v>
      </c>
      <c r="D3257" s="1">
        <v>188</v>
      </c>
      <c r="E3257" s="1">
        <v>0</v>
      </c>
      <c r="F3257" s="1">
        <v>39</v>
      </c>
      <c r="BD3257" s="1">
        <v>1</v>
      </c>
    </row>
    <row r="3258" spans="1:73" x14ac:dyDescent="0.3">
      <c r="A3258" s="1" t="s">
        <v>59</v>
      </c>
      <c r="B3258" s="7">
        <v>40759</v>
      </c>
      <c r="C3258" s="1">
        <v>3</v>
      </c>
      <c r="D3258" s="1">
        <v>188</v>
      </c>
      <c r="E3258" s="1">
        <v>0</v>
      </c>
      <c r="F3258" s="1">
        <v>40</v>
      </c>
      <c r="L3258" s="8">
        <v>1</v>
      </c>
      <c r="M3258" s="8"/>
    </row>
    <row r="3259" spans="1:73" x14ac:dyDescent="0.3">
      <c r="A3259" s="1" t="s">
        <v>59</v>
      </c>
      <c r="B3259" s="7">
        <v>40759</v>
      </c>
      <c r="C3259" s="1">
        <v>3</v>
      </c>
      <c r="D3259" s="1">
        <v>188</v>
      </c>
      <c r="E3259" s="1">
        <v>0</v>
      </c>
      <c r="F3259" s="1">
        <v>41</v>
      </c>
      <c r="G3259" s="1">
        <v>1</v>
      </c>
    </row>
    <row r="3260" spans="1:73" x14ac:dyDescent="0.3">
      <c r="A3260" s="1" t="s">
        <v>59</v>
      </c>
      <c r="B3260" s="7">
        <v>40759</v>
      </c>
      <c r="C3260" s="1">
        <v>3</v>
      </c>
      <c r="D3260" s="1">
        <v>188</v>
      </c>
      <c r="E3260" s="1">
        <v>0</v>
      </c>
      <c r="F3260" s="1">
        <v>42</v>
      </c>
      <c r="H3260" s="1">
        <v>1</v>
      </c>
      <c r="I3260" s="1">
        <v>1</v>
      </c>
    </row>
    <row r="3261" spans="1:73" x14ac:dyDescent="0.3">
      <c r="A3261" s="1" t="s">
        <v>59</v>
      </c>
      <c r="B3261" s="7">
        <v>40759</v>
      </c>
      <c r="C3261" s="1">
        <v>3</v>
      </c>
      <c r="D3261" s="1">
        <v>188</v>
      </c>
      <c r="E3261" s="1">
        <v>0</v>
      </c>
      <c r="F3261" s="1">
        <v>43</v>
      </c>
      <c r="I3261" s="1">
        <v>1</v>
      </c>
    </row>
    <row r="3262" spans="1:73" x14ac:dyDescent="0.3">
      <c r="A3262" s="1" t="s">
        <v>59</v>
      </c>
      <c r="B3262" s="7">
        <v>40759</v>
      </c>
      <c r="C3262" s="1">
        <v>3</v>
      </c>
      <c r="D3262" s="1">
        <v>188</v>
      </c>
      <c r="E3262" s="1">
        <v>0</v>
      </c>
      <c r="F3262" s="1">
        <v>44</v>
      </c>
      <c r="R3262" s="3">
        <v>0</v>
      </c>
      <c r="S3262" s="3">
        <v>1</v>
      </c>
    </row>
    <row r="3263" spans="1:73" x14ac:dyDescent="0.3">
      <c r="A3263" s="1" t="s">
        <v>59</v>
      </c>
      <c r="B3263" s="7">
        <v>40759</v>
      </c>
      <c r="C3263" s="1">
        <v>3</v>
      </c>
      <c r="D3263" s="1">
        <v>188</v>
      </c>
      <c r="E3263" s="1">
        <v>0</v>
      </c>
      <c r="F3263" s="1">
        <v>45</v>
      </c>
      <c r="R3263" s="3">
        <v>0</v>
      </c>
      <c r="S3263" s="3">
        <v>1</v>
      </c>
    </row>
    <row r="3264" spans="1:73" x14ac:dyDescent="0.3">
      <c r="A3264" s="1" t="s">
        <v>59</v>
      </c>
      <c r="B3264" s="7">
        <v>40759</v>
      </c>
      <c r="C3264" s="1">
        <v>3</v>
      </c>
      <c r="D3264" s="1">
        <v>188</v>
      </c>
      <c r="E3264" s="1">
        <v>0</v>
      </c>
      <c r="F3264" s="1">
        <v>46</v>
      </c>
      <c r="L3264" s="1">
        <v>1</v>
      </c>
      <c r="AD3264" s="3">
        <v>0</v>
      </c>
      <c r="AE3264" s="3">
        <v>1</v>
      </c>
      <c r="BI3264" s="1">
        <v>1</v>
      </c>
    </row>
    <row r="3265" spans="1:70" x14ac:dyDescent="0.3">
      <c r="A3265" s="1" t="s">
        <v>59</v>
      </c>
      <c r="B3265" s="7">
        <v>40759</v>
      </c>
      <c r="C3265" s="1">
        <v>3</v>
      </c>
      <c r="D3265" s="1">
        <v>188</v>
      </c>
      <c r="E3265" s="1">
        <v>0</v>
      </c>
      <c r="F3265" s="1">
        <v>47</v>
      </c>
      <c r="L3265" s="1">
        <v>1</v>
      </c>
      <c r="AS3265" s="1">
        <v>1</v>
      </c>
      <c r="BG3265" s="1">
        <v>1</v>
      </c>
      <c r="BI3265" s="1">
        <v>1</v>
      </c>
    </row>
    <row r="3266" spans="1:70" x14ac:dyDescent="0.3">
      <c r="A3266" s="1" t="s">
        <v>59</v>
      </c>
      <c r="B3266" s="7">
        <v>40759</v>
      </c>
      <c r="C3266" s="1">
        <v>3</v>
      </c>
      <c r="D3266" s="1">
        <v>188</v>
      </c>
      <c r="E3266" s="1">
        <v>0</v>
      </c>
      <c r="F3266" s="1">
        <v>48</v>
      </c>
      <c r="L3266" s="8">
        <v>1</v>
      </c>
      <c r="M3266" s="8"/>
      <c r="BG3266" s="3">
        <v>0</v>
      </c>
      <c r="BH3266" s="3">
        <v>1</v>
      </c>
    </row>
    <row r="3267" spans="1:70" x14ac:dyDescent="0.3">
      <c r="A3267" s="1" t="s">
        <v>59</v>
      </c>
      <c r="B3267" s="7">
        <v>40759</v>
      </c>
      <c r="C3267" s="1">
        <v>3</v>
      </c>
      <c r="D3267" s="1">
        <v>188</v>
      </c>
      <c r="E3267" s="1">
        <v>0</v>
      </c>
      <c r="F3267" s="1">
        <v>49</v>
      </c>
      <c r="L3267" s="8">
        <v>1</v>
      </c>
      <c r="M3267" s="8"/>
    </row>
    <row r="3268" spans="1:70" x14ac:dyDescent="0.3">
      <c r="A3268" s="1" t="s">
        <v>59</v>
      </c>
      <c r="B3268" s="7">
        <v>40759</v>
      </c>
      <c r="C3268" s="1">
        <v>3</v>
      </c>
      <c r="D3268" s="1">
        <v>188</v>
      </c>
      <c r="E3268" s="1">
        <v>0</v>
      </c>
      <c r="F3268" s="1">
        <v>50</v>
      </c>
      <c r="H3268" s="1">
        <v>1</v>
      </c>
      <c r="L3268" s="8">
        <v>1</v>
      </c>
      <c r="M3268" s="8"/>
    </row>
    <row r="3269" spans="1:70" x14ac:dyDescent="0.3">
      <c r="A3269" s="1" t="s">
        <v>59</v>
      </c>
      <c r="B3269" s="7">
        <v>40759</v>
      </c>
      <c r="C3269" s="1">
        <v>3</v>
      </c>
      <c r="D3269" s="1">
        <v>188</v>
      </c>
      <c r="E3269" s="1">
        <v>0</v>
      </c>
      <c r="F3269" s="1">
        <v>51</v>
      </c>
      <c r="I3269" s="1">
        <v>1</v>
      </c>
      <c r="BI3269" s="1">
        <v>1</v>
      </c>
      <c r="BR3269" s="1">
        <v>1</v>
      </c>
    </row>
    <row r="3270" spans="1:70" x14ac:dyDescent="0.3">
      <c r="A3270" s="1" t="s">
        <v>59</v>
      </c>
      <c r="B3270" s="7">
        <v>40759</v>
      </c>
      <c r="C3270" s="1">
        <v>3</v>
      </c>
      <c r="D3270" s="1">
        <v>188</v>
      </c>
      <c r="E3270" s="1">
        <v>0</v>
      </c>
      <c r="F3270" s="1">
        <v>52</v>
      </c>
      <c r="L3270" s="1">
        <v>1</v>
      </c>
    </row>
    <row r="3271" spans="1:70" x14ac:dyDescent="0.3">
      <c r="A3271" s="1" t="s">
        <v>59</v>
      </c>
      <c r="B3271" s="7">
        <v>40759</v>
      </c>
      <c r="C3271" s="1">
        <v>3</v>
      </c>
      <c r="D3271" s="1">
        <v>188</v>
      </c>
      <c r="E3271" s="1">
        <v>0</v>
      </c>
      <c r="F3271" s="1">
        <v>53</v>
      </c>
      <c r="H3271" s="1">
        <v>1</v>
      </c>
      <c r="R3271" s="3">
        <v>0</v>
      </c>
      <c r="S3271" s="3">
        <v>1</v>
      </c>
    </row>
    <row r="3272" spans="1:70" x14ac:dyDescent="0.3">
      <c r="A3272" s="1" t="s">
        <v>59</v>
      </c>
      <c r="B3272" s="7">
        <v>40759</v>
      </c>
      <c r="C3272" s="1">
        <v>3</v>
      </c>
      <c r="D3272" s="1">
        <v>188</v>
      </c>
      <c r="E3272" s="1">
        <v>0</v>
      </c>
      <c r="F3272" s="1">
        <v>54</v>
      </c>
      <c r="R3272" s="1">
        <v>1</v>
      </c>
    </row>
    <row r="3273" spans="1:70" x14ac:dyDescent="0.3">
      <c r="A3273" s="1" t="s">
        <v>59</v>
      </c>
      <c r="B3273" s="7">
        <v>40759</v>
      </c>
      <c r="C3273" s="1">
        <v>3</v>
      </c>
      <c r="D3273" s="1">
        <v>188</v>
      </c>
      <c r="E3273" s="1">
        <v>0</v>
      </c>
      <c r="F3273" s="1">
        <v>55</v>
      </c>
      <c r="H3273" s="1">
        <v>1</v>
      </c>
    </row>
    <row r="3274" spans="1:70" x14ac:dyDescent="0.3">
      <c r="A3274" s="1" t="s">
        <v>59</v>
      </c>
      <c r="B3274" s="7">
        <v>40759</v>
      </c>
      <c r="C3274" s="1">
        <v>3</v>
      </c>
      <c r="D3274" s="1">
        <v>188</v>
      </c>
      <c r="E3274" s="1">
        <v>0</v>
      </c>
      <c r="F3274" s="1">
        <v>56</v>
      </c>
      <c r="I3274" s="1">
        <v>1</v>
      </c>
      <c r="AO3274" s="1">
        <v>1</v>
      </c>
      <c r="BG3274" s="1">
        <v>1</v>
      </c>
    </row>
    <row r="3275" spans="1:70" x14ac:dyDescent="0.3">
      <c r="A3275" s="1" t="s">
        <v>59</v>
      </c>
      <c r="B3275" s="7">
        <v>40759</v>
      </c>
      <c r="C3275" s="1">
        <v>3</v>
      </c>
      <c r="D3275" s="1">
        <v>188</v>
      </c>
      <c r="E3275" s="1">
        <v>0</v>
      </c>
      <c r="F3275" s="1">
        <v>57</v>
      </c>
      <c r="L3275" s="1">
        <v>1</v>
      </c>
      <c r="BG3275" s="8">
        <v>1</v>
      </c>
      <c r="BH3275" s="8"/>
    </row>
    <row r="3276" spans="1:70" x14ac:dyDescent="0.3">
      <c r="A3276" s="1" t="s">
        <v>59</v>
      </c>
      <c r="B3276" s="7">
        <v>40759</v>
      </c>
      <c r="C3276" s="1">
        <v>3</v>
      </c>
      <c r="D3276" s="1">
        <v>188</v>
      </c>
      <c r="E3276" s="1">
        <v>0</v>
      </c>
      <c r="F3276" s="1">
        <v>58</v>
      </c>
      <c r="L3276" s="8">
        <v>1</v>
      </c>
      <c r="M3276" s="8"/>
    </row>
    <row r="3277" spans="1:70" x14ac:dyDescent="0.3">
      <c r="A3277" s="1" t="s">
        <v>59</v>
      </c>
      <c r="B3277" s="7">
        <v>40759</v>
      </c>
      <c r="C3277" s="1">
        <v>3</v>
      </c>
      <c r="D3277" s="1">
        <v>188</v>
      </c>
      <c r="E3277" s="1">
        <v>0</v>
      </c>
      <c r="F3277" s="1">
        <v>59</v>
      </c>
      <c r="L3277" s="8">
        <v>1</v>
      </c>
      <c r="M3277" s="8"/>
    </row>
    <row r="3278" spans="1:70" x14ac:dyDescent="0.3">
      <c r="A3278" s="1" t="s">
        <v>59</v>
      </c>
      <c r="B3278" s="7">
        <v>40759</v>
      </c>
      <c r="C3278" s="1">
        <v>3</v>
      </c>
      <c r="D3278" s="1">
        <v>188</v>
      </c>
      <c r="E3278" s="1">
        <v>0</v>
      </c>
      <c r="F3278" s="1">
        <v>60</v>
      </c>
      <c r="I3278" s="1">
        <v>1</v>
      </c>
    </row>
    <row r="3279" spans="1:70" x14ac:dyDescent="0.3">
      <c r="A3279" s="1" t="s">
        <v>59</v>
      </c>
      <c r="B3279" s="7">
        <v>40759</v>
      </c>
      <c r="C3279" s="1">
        <v>3</v>
      </c>
      <c r="D3279" s="1">
        <v>188</v>
      </c>
      <c r="E3279" s="1">
        <v>0</v>
      </c>
      <c r="F3279" s="1">
        <v>61</v>
      </c>
      <c r="R3279" s="3">
        <v>0</v>
      </c>
      <c r="S3279" s="3">
        <v>1</v>
      </c>
      <c r="AS3279" s="1">
        <v>1</v>
      </c>
    </row>
    <row r="3280" spans="1:70" x14ac:dyDescent="0.3">
      <c r="A3280" s="1" t="s">
        <v>59</v>
      </c>
      <c r="B3280" s="7">
        <v>40759</v>
      </c>
      <c r="C3280" s="1">
        <v>3</v>
      </c>
      <c r="D3280" s="1">
        <v>188</v>
      </c>
      <c r="E3280" s="1">
        <v>0</v>
      </c>
      <c r="F3280" s="1">
        <v>62</v>
      </c>
      <c r="I3280" s="1">
        <v>1</v>
      </c>
    </row>
    <row r="3281" spans="1:61" x14ac:dyDescent="0.3">
      <c r="A3281" s="1" t="s">
        <v>59</v>
      </c>
      <c r="B3281" s="7">
        <v>40759</v>
      </c>
      <c r="C3281" s="1">
        <v>3</v>
      </c>
      <c r="D3281" s="1">
        <v>188</v>
      </c>
      <c r="E3281" s="1">
        <v>0</v>
      </c>
      <c r="F3281" s="1">
        <v>63</v>
      </c>
      <c r="L3281" s="1">
        <v>1</v>
      </c>
    </row>
    <row r="3282" spans="1:61" x14ac:dyDescent="0.3">
      <c r="A3282" s="1" t="s">
        <v>59</v>
      </c>
      <c r="B3282" s="7">
        <v>40759</v>
      </c>
      <c r="C3282" s="1">
        <v>3</v>
      </c>
      <c r="D3282" s="1">
        <v>188</v>
      </c>
      <c r="E3282" s="1">
        <v>0</v>
      </c>
      <c r="F3282" s="1">
        <v>64</v>
      </c>
      <c r="I3282" s="1">
        <v>1</v>
      </c>
      <c r="R3282" s="3">
        <v>0</v>
      </c>
      <c r="S3282" s="3">
        <v>1</v>
      </c>
    </row>
    <row r="3283" spans="1:61" x14ac:dyDescent="0.3">
      <c r="A3283" s="1" t="s">
        <v>59</v>
      </c>
      <c r="B3283" s="7">
        <v>40759</v>
      </c>
      <c r="C3283" s="1">
        <v>3</v>
      </c>
      <c r="D3283" s="1">
        <v>188</v>
      </c>
      <c r="E3283" s="1">
        <v>0</v>
      </c>
      <c r="F3283" s="1">
        <v>65</v>
      </c>
      <c r="H3283" s="1">
        <v>1</v>
      </c>
      <c r="I3283" s="1">
        <v>1</v>
      </c>
    </row>
    <row r="3284" spans="1:61" x14ac:dyDescent="0.3">
      <c r="A3284" s="1" t="s">
        <v>59</v>
      </c>
      <c r="B3284" s="7">
        <v>40759</v>
      </c>
      <c r="C3284" s="1">
        <v>3</v>
      </c>
      <c r="D3284" s="1">
        <v>188</v>
      </c>
      <c r="E3284" s="1">
        <v>0</v>
      </c>
      <c r="F3284" s="1">
        <v>66</v>
      </c>
      <c r="BG3284" s="1">
        <v>1</v>
      </c>
      <c r="BI3284" s="1">
        <v>1</v>
      </c>
    </row>
    <row r="3285" spans="1:61" x14ac:dyDescent="0.3">
      <c r="A3285" s="1" t="s">
        <v>59</v>
      </c>
      <c r="B3285" s="7">
        <v>40759</v>
      </c>
      <c r="C3285" s="1">
        <v>3</v>
      </c>
      <c r="D3285" s="1">
        <v>188</v>
      </c>
      <c r="E3285" s="1">
        <v>0</v>
      </c>
      <c r="F3285" s="1">
        <v>67</v>
      </c>
      <c r="AF3285" s="1">
        <v>1</v>
      </c>
      <c r="AI3285" s="3">
        <v>0</v>
      </c>
      <c r="AJ3285" s="3">
        <v>1</v>
      </c>
      <c r="BI3285" s="1">
        <v>1</v>
      </c>
    </row>
    <row r="3286" spans="1:61" x14ac:dyDescent="0.3">
      <c r="A3286" s="1" t="s">
        <v>59</v>
      </c>
      <c r="B3286" s="7">
        <v>40759</v>
      </c>
      <c r="C3286" s="1">
        <v>3</v>
      </c>
      <c r="D3286" s="1">
        <v>188</v>
      </c>
      <c r="E3286" s="1">
        <v>0</v>
      </c>
      <c r="F3286" s="1">
        <v>68</v>
      </c>
      <c r="L3286" s="1">
        <v>1</v>
      </c>
      <c r="AF3286" s="1">
        <v>1</v>
      </c>
      <c r="AI3286" s="3">
        <v>0</v>
      </c>
      <c r="AJ3286" s="3">
        <v>1</v>
      </c>
    </row>
    <row r="3287" spans="1:61" x14ac:dyDescent="0.3">
      <c r="A3287" s="1" t="s">
        <v>59</v>
      </c>
      <c r="B3287" s="7">
        <v>40759</v>
      </c>
      <c r="C3287" s="1">
        <v>3</v>
      </c>
      <c r="D3287" s="1">
        <v>188</v>
      </c>
      <c r="E3287" s="1">
        <v>0</v>
      </c>
      <c r="F3287" s="1">
        <v>69</v>
      </c>
      <c r="AD3287" s="1">
        <v>1</v>
      </c>
      <c r="AS3287" s="1">
        <v>1</v>
      </c>
    </row>
    <row r="3288" spans="1:61" x14ac:dyDescent="0.3">
      <c r="A3288" s="1" t="s">
        <v>59</v>
      </c>
      <c r="B3288" s="7">
        <v>40759</v>
      </c>
      <c r="C3288" s="1">
        <v>3</v>
      </c>
      <c r="D3288" s="1">
        <v>188</v>
      </c>
      <c r="E3288" s="1">
        <v>0</v>
      </c>
      <c r="F3288" s="1">
        <v>70</v>
      </c>
      <c r="L3288" s="1">
        <v>1</v>
      </c>
      <c r="AF3288" s="1">
        <v>1</v>
      </c>
    </row>
    <row r="3289" spans="1:61" x14ac:dyDescent="0.3">
      <c r="A3289" s="1" t="s">
        <v>59</v>
      </c>
      <c r="B3289" s="7">
        <v>40759</v>
      </c>
      <c r="C3289" s="1">
        <v>3</v>
      </c>
      <c r="D3289" s="1">
        <v>188</v>
      </c>
      <c r="E3289" s="1">
        <v>0</v>
      </c>
      <c r="F3289" s="1">
        <v>71</v>
      </c>
      <c r="H3289" s="1">
        <v>1</v>
      </c>
      <c r="I3289" s="1">
        <v>1</v>
      </c>
    </row>
    <row r="3290" spans="1:61" x14ac:dyDescent="0.3">
      <c r="A3290" s="1" t="s">
        <v>59</v>
      </c>
      <c r="B3290" s="7">
        <v>40759</v>
      </c>
      <c r="C3290" s="1">
        <v>3</v>
      </c>
      <c r="D3290" s="1">
        <v>188</v>
      </c>
      <c r="E3290" s="1">
        <v>0</v>
      </c>
      <c r="F3290" s="1">
        <v>72</v>
      </c>
      <c r="I3290" s="1">
        <v>1</v>
      </c>
      <c r="R3290" s="3">
        <v>0</v>
      </c>
      <c r="S3290" s="3">
        <v>1</v>
      </c>
    </row>
    <row r="3291" spans="1:61" x14ac:dyDescent="0.3">
      <c r="A3291" s="1" t="s">
        <v>59</v>
      </c>
      <c r="B3291" s="7">
        <v>40759</v>
      </c>
      <c r="C3291" s="1">
        <v>3</v>
      </c>
      <c r="D3291" s="1">
        <v>188</v>
      </c>
      <c r="E3291" s="1">
        <v>0</v>
      </c>
      <c r="F3291" s="1">
        <v>73</v>
      </c>
      <c r="I3291" s="1">
        <v>1</v>
      </c>
    </row>
    <row r="3292" spans="1:61" x14ac:dyDescent="0.3">
      <c r="A3292" s="1" t="s">
        <v>59</v>
      </c>
      <c r="B3292" s="7">
        <v>40759</v>
      </c>
      <c r="C3292" s="1">
        <v>3</v>
      </c>
      <c r="D3292" s="1">
        <v>188</v>
      </c>
      <c r="E3292" s="1">
        <v>0</v>
      </c>
      <c r="F3292" s="1">
        <v>74</v>
      </c>
      <c r="R3292" s="3">
        <v>0</v>
      </c>
      <c r="S3292" s="3">
        <v>1</v>
      </c>
    </row>
    <row r="3293" spans="1:61" x14ac:dyDescent="0.3">
      <c r="A3293" s="1" t="s">
        <v>59</v>
      </c>
      <c r="B3293" s="7">
        <v>40759</v>
      </c>
      <c r="C3293" s="1">
        <v>3</v>
      </c>
      <c r="D3293" s="1">
        <v>188</v>
      </c>
      <c r="E3293" s="1">
        <v>0</v>
      </c>
      <c r="F3293" s="1">
        <v>75</v>
      </c>
      <c r="I3293" s="1">
        <v>1</v>
      </c>
      <c r="L3293" s="1">
        <v>1</v>
      </c>
    </row>
    <row r="3294" spans="1:61" x14ac:dyDescent="0.3">
      <c r="A3294" s="1" t="s">
        <v>59</v>
      </c>
      <c r="B3294" s="7">
        <v>40759</v>
      </c>
      <c r="C3294" s="1">
        <v>3</v>
      </c>
      <c r="D3294" s="1">
        <v>188</v>
      </c>
      <c r="E3294" s="1">
        <v>0</v>
      </c>
      <c r="F3294" s="1">
        <v>76</v>
      </c>
    </row>
    <row r="3295" spans="1:61" x14ac:dyDescent="0.3">
      <c r="A3295" s="1" t="s">
        <v>59</v>
      </c>
      <c r="B3295" s="7">
        <v>40759</v>
      </c>
      <c r="C3295" s="1">
        <v>3</v>
      </c>
      <c r="D3295" s="1">
        <v>188</v>
      </c>
      <c r="E3295" s="1">
        <v>0</v>
      </c>
      <c r="F3295" s="1">
        <v>77</v>
      </c>
      <c r="L3295" s="1">
        <v>1</v>
      </c>
      <c r="BG3295" s="3">
        <v>0</v>
      </c>
      <c r="BH3295" s="3">
        <v>1</v>
      </c>
    </row>
    <row r="3296" spans="1:61" x14ac:dyDescent="0.3">
      <c r="A3296" s="1" t="s">
        <v>59</v>
      </c>
      <c r="B3296" s="7">
        <v>40759</v>
      </c>
      <c r="C3296" s="1">
        <v>3</v>
      </c>
      <c r="D3296" s="1">
        <v>188</v>
      </c>
      <c r="E3296" s="1">
        <v>0</v>
      </c>
      <c r="F3296" s="1">
        <v>78</v>
      </c>
      <c r="L3296" s="1">
        <v>1</v>
      </c>
      <c r="AF3296" s="1">
        <v>1</v>
      </c>
    </row>
    <row r="3297" spans="1:60" x14ac:dyDescent="0.3">
      <c r="A3297" s="1" t="s">
        <v>59</v>
      </c>
      <c r="B3297" s="7">
        <v>40759</v>
      </c>
      <c r="C3297" s="1">
        <v>3</v>
      </c>
      <c r="D3297" s="1">
        <v>188</v>
      </c>
      <c r="E3297" s="1">
        <v>0</v>
      </c>
      <c r="F3297" s="1">
        <v>79</v>
      </c>
      <c r="AF3297" s="8">
        <v>1</v>
      </c>
      <c r="AS3297" s="1">
        <v>1</v>
      </c>
    </row>
    <row r="3298" spans="1:60" x14ac:dyDescent="0.3">
      <c r="A3298" s="1" t="s">
        <v>59</v>
      </c>
      <c r="B3298" s="7">
        <v>40759</v>
      </c>
      <c r="C3298" s="1">
        <v>3</v>
      </c>
      <c r="D3298" s="1">
        <v>188</v>
      </c>
      <c r="E3298" s="1">
        <v>0</v>
      </c>
      <c r="F3298" s="1">
        <v>80</v>
      </c>
      <c r="AS3298" s="8">
        <v>1</v>
      </c>
    </row>
    <row r="3299" spans="1:60" x14ac:dyDescent="0.3">
      <c r="A3299" s="1" t="s">
        <v>59</v>
      </c>
      <c r="B3299" s="7">
        <v>40759</v>
      </c>
      <c r="C3299" s="1">
        <v>3</v>
      </c>
      <c r="D3299" s="1">
        <v>188</v>
      </c>
      <c r="E3299" s="1">
        <v>0</v>
      </c>
      <c r="F3299" s="1">
        <v>81</v>
      </c>
      <c r="R3299" s="1">
        <v>1</v>
      </c>
      <c r="AS3299" s="1">
        <v>1</v>
      </c>
    </row>
    <row r="3300" spans="1:60" x14ac:dyDescent="0.3">
      <c r="A3300" s="1" t="s">
        <v>59</v>
      </c>
      <c r="B3300" s="7">
        <v>40759</v>
      </c>
      <c r="C3300" s="1">
        <v>3</v>
      </c>
      <c r="D3300" s="1">
        <v>188</v>
      </c>
      <c r="E3300" s="1">
        <v>0</v>
      </c>
      <c r="F3300" s="1">
        <v>82</v>
      </c>
      <c r="I3300" s="1">
        <v>1</v>
      </c>
      <c r="L3300" s="1">
        <v>1</v>
      </c>
    </row>
    <row r="3301" spans="1:60" x14ac:dyDescent="0.3">
      <c r="A3301" s="1" t="s">
        <v>59</v>
      </c>
      <c r="B3301" s="7">
        <v>40759</v>
      </c>
      <c r="C3301" s="1">
        <v>3</v>
      </c>
      <c r="D3301" s="1">
        <v>188</v>
      </c>
      <c r="E3301" s="1">
        <v>0</v>
      </c>
      <c r="F3301" s="1">
        <v>83</v>
      </c>
      <c r="I3301" s="1">
        <v>1</v>
      </c>
      <c r="L3301" s="1">
        <v>1</v>
      </c>
    </row>
    <row r="3302" spans="1:60" x14ac:dyDescent="0.3">
      <c r="A3302" s="1" t="s">
        <v>59</v>
      </c>
      <c r="B3302" s="7">
        <v>40759</v>
      </c>
      <c r="C3302" s="1">
        <v>3</v>
      </c>
      <c r="D3302" s="1">
        <v>188</v>
      </c>
      <c r="E3302" s="1">
        <v>0</v>
      </c>
      <c r="F3302" s="1">
        <v>84</v>
      </c>
      <c r="I3302" s="1">
        <v>1</v>
      </c>
      <c r="AS3302" s="1">
        <v>1</v>
      </c>
    </row>
    <row r="3303" spans="1:60" x14ac:dyDescent="0.3">
      <c r="A3303" s="1" t="s">
        <v>59</v>
      </c>
      <c r="B3303" s="7">
        <v>40759</v>
      </c>
      <c r="C3303" s="1">
        <v>3</v>
      </c>
      <c r="D3303" s="1">
        <v>188</v>
      </c>
      <c r="E3303" s="1">
        <v>0</v>
      </c>
      <c r="F3303" s="1">
        <v>85</v>
      </c>
    </row>
    <row r="3304" spans="1:60" x14ac:dyDescent="0.3">
      <c r="A3304" s="1" t="s">
        <v>59</v>
      </c>
      <c r="B3304" s="7">
        <v>40759</v>
      </c>
      <c r="C3304" s="1">
        <v>3</v>
      </c>
      <c r="D3304" s="1">
        <v>188</v>
      </c>
      <c r="E3304" s="1">
        <v>0</v>
      </c>
      <c r="F3304" s="1">
        <v>86</v>
      </c>
      <c r="L3304" s="8">
        <v>1</v>
      </c>
      <c r="M3304" s="8"/>
      <c r="BG3304" s="3">
        <v>0</v>
      </c>
      <c r="BH3304" s="3">
        <v>1</v>
      </c>
    </row>
    <row r="3305" spans="1:60" x14ac:dyDescent="0.3">
      <c r="A3305" s="1" t="s">
        <v>59</v>
      </c>
      <c r="B3305" s="7">
        <v>40759</v>
      </c>
      <c r="C3305" s="1">
        <v>3</v>
      </c>
      <c r="D3305" s="1">
        <v>188</v>
      </c>
      <c r="E3305" s="1">
        <v>0</v>
      </c>
      <c r="F3305" s="1">
        <v>87</v>
      </c>
      <c r="L3305" s="1">
        <v>1</v>
      </c>
      <c r="AD3305" s="1">
        <v>1</v>
      </c>
    </row>
    <row r="3306" spans="1:60" x14ac:dyDescent="0.3">
      <c r="A3306" s="1" t="s">
        <v>59</v>
      </c>
      <c r="B3306" s="7">
        <v>40759</v>
      </c>
      <c r="C3306" s="1">
        <v>3</v>
      </c>
      <c r="D3306" s="1">
        <v>188</v>
      </c>
      <c r="E3306" s="1">
        <v>0</v>
      </c>
      <c r="F3306" s="1">
        <v>88</v>
      </c>
      <c r="L3306" s="1">
        <v>1</v>
      </c>
      <c r="AS3306" s="1">
        <v>1</v>
      </c>
    </row>
    <row r="3307" spans="1:60" x14ac:dyDescent="0.3">
      <c r="A3307" s="1" t="s">
        <v>59</v>
      </c>
      <c r="B3307" s="7">
        <v>40759</v>
      </c>
      <c r="C3307" s="1">
        <v>3</v>
      </c>
      <c r="D3307" s="1">
        <v>188</v>
      </c>
      <c r="E3307" s="1">
        <v>0</v>
      </c>
      <c r="F3307" s="1">
        <v>89</v>
      </c>
      <c r="AS3307" s="1">
        <v>1</v>
      </c>
    </row>
    <row r="3308" spans="1:60" x14ac:dyDescent="0.3">
      <c r="A3308" s="1" t="s">
        <v>59</v>
      </c>
      <c r="B3308" s="7">
        <v>40759</v>
      </c>
      <c r="C3308" s="1">
        <v>3</v>
      </c>
      <c r="D3308" s="1">
        <v>188</v>
      </c>
      <c r="E3308" s="1">
        <v>0</v>
      </c>
      <c r="F3308" s="1">
        <v>90</v>
      </c>
      <c r="L3308" s="1">
        <v>1</v>
      </c>
      <c r="AS3308" s="1">
        <v>1</v>
      </c>
    </row>
    <row r="3309" spans="1:60" x14ac:dyDescent="0.3">
      <c r="A3309" s="1" t="s">
        <v>59</v>
      </c>
      <c r="B3309" s="7">
        <v>40759</v>
      </c>
      <c r="C3309" s="1">
        <v>3</v>
      </c>
      <c r="D3309" s="1">
        <v>188</v>
      </c>
      <c r="E3309" s="1">
        <v>0</v>
      </c>
      <c r="F3309" s="1">
        <v>91</v>
      </c>
      <c r="L3309" s="1">
        <v>1</v>
      </c>
      <c r="AS3309" s="1">
        <v>1</v>
      </c>
    </row>
    <row r="3310" spans="1:60" x14ac:dyDescent="0.3">
      <c r="A3310" s="1" t="s">
        <v>59</v>
      </c>
      <c r="B3310" s="7">
        <v>40759</v>
      </c>
      <c r="C3310" s="1">
        <v>3</v>
      </c>
      <c r="D3310" s="1">
        <v>188</v>
      </c>
      <c r="E3310" s="1">
        <v>0</v>
      </c>
      <c r="F3310" s="1">
        <v>92</v>
      </c>
      <c r="R3310" s="3">
        <v>0</v>
      </c>
      <c r="S3310" s="3">
        <v>1</v>
      </c>
    </row>
    <row r="3311" spans="1:60" x14ac:dyDescent="0.3">
      <c r="A3311" s="1" t="s">
        <v>59</v>
      </c>
      <c r="B3311" s="7">
        <v>40759</v>
      </c>
      <c r="C3311" s="1">
        <v>3</v>
      </c>
      <c r="D3311" s="1">
        <v>188</v>
      </c>
      <c r="E3311" s="1">
        <v>0</v>
      </c>
      <c r="F3311" s="1">
        <v>93</v>
      </c>
      <c r="I3311" s="1">
        <v>1</v>
      </c>
    </row>
    <row r="3312" spans="1:60" x14ac:dyDescent="0.3">
      <c r="A3312" s="1" t="s">
        <v>59</v>
      </c>
      <c r="B3312" s="7">
        <v>40759</v>
      </c>
      <c r="C3312" s="1">
        <v>3</v>
      </c>
      <c r="D3312" s="1">
        <v>188</v>
      </c>
      <c r="E3312" s="1">
        <v>0</v>
      </c>
      <c r="F3312" s="1">
        <v>94</v>
      </c>
      <c r="I3312" s="1">
        <v>1</v>
      </c>
    </row>
    <row r="3313" spans="1:91" x14ac:dyDescent="0.3">
      <c r="A3313" s="1" t="s">
        <v>59</v>
      </c>
      <c r="B3313" s="7">
        <v>40759</v>
      </c>
      <c r="C3313" s="1">
        <v>3</v>
      </c>
      <c r="D3313" s="1">
        <v>188</v>
      </c>
      <c r="E3313" s="1">
        <v>0</v>
      </c>
      <c r="F3313" s="1">
        <v>95</v>
      </c>
      <c r="AF3313" s="1">
        <v>1</v>
      </c>
    </row>
    <row r="3314" spans="1:91" x14ac:dyDescent="0.3">
      <c r="A3314" s="1" t="s">
        <v>59</v>
      </c>
      <c r="B3314" s="7">
        <v>40759</v>
      </c>
      <c r="C3314" s="1">
        <v>3</v>
      </c>
      <c r="D3314" s="1">
        <v>188</v>
      </c>
      <c r="E3314" s="1">
        <v>0</v>
      </c>
      <c r="F3314" s="1">
        <v>96</v>
      </c>
      <c r="I3314" s="1">
        <v>1</v>
      </c>
    </row>
    <row r="3315" spans="1:91" x14ac:dyDescent="0.3">
      <c r="A3315" s="1" t="s">
        <v>59</v>
      </c>
      <c r="B3315" s="7">
        <v>40759</v>
      </c>
      <c r="C3315" s="1">
        <v>3</v>
      </c>
      <c r="D3315" s="1">
        <v>188</v>
      </c>
      <c r="E3315" s="1">
        <v>0</v>
      </c>
      <c r="F3315" s="1">
        <v>97</v>
      </c>
    </row>
    <row r="3316" spans="1:91" x14ac:dyDescent="0.3">
      <c r="A3316" s="1" t="s">
        <v>59</v>
      </c>
      <c r="B3316" s="7">
        <v>40759</v>
      </c>
      <c r="C3316" s="1">
        <v>3</v>
      </c>
      <c r="D3316" s="1">
        <v>188</v>
      </c>
      <c r="E3316" s="1">
        <v>0</v>
      </c>
      <c r="F3316" s="1">
        <v>98</v>
      </c>
      <c r="L3316" s="8">
        <v>1</v>
      </c>
      <c r="M3316" s="8"/>
    </row>
    <row r="3317" spans="1:91" x14ac:dyDescent="0.3">
      <c r="A3317" s="1" t="s">
        <v>59</v>
      </c>
      <c r="B3317" s="7">
        <v>40759</v>
      </c>
      <c r="C3317" s="1">
        <v>3</v>
      </c>
      <c r="D3317" s="1">
        <v>188</v>
      </c>
      <c r="E3317" s="1">
        <v>0</v>
      </c>
      <c r="F3317" s="1">
        <v>99</v>
      </c>
      <c r="L3317" s="1">
        <v>1</v>
      </c>
    </row>
    <row r="3318" spans="1:91" x14ac:dyDescent="0.3">
      <c r="A3318" s="1" t="s">
        <v>59</v>
      </c>
      <c r="B3318" s="7">
        <v>40759</v>
      </c>
      <c r="C3318" s="1">
        <v>3</v>
      </c>
      <c r="D3318" s="1">
        <v>188</v>
      </c>
      <c r="E3318" s="1">
        <v>0</v>
      </c>
      <c r="F3318" s="1">
        <v>100</v>
      </c>
      <c r="I3318" s="1">
        <v>1</v>
      </c>
      <c r="AD3318" s="1">
        <v>1</v>
      </c>
    </row>
    <row r="3319" spans="1:91" s="12" customFormat="1" x14ac:dyDescent="0.3">
      <c r="A3319" s="16" t="s">
        <v>59</v>
      </c>
      <c r="B3319" s="13"/>
      <c r="G3319" s="12">
        <f>SUM(G3219:G3318)</f>
        <v>12</v>
      </c>
      <c r="H3319" s="12">
        <f t="shared" ref="H3319:BS3319" si="1274">SUM(H3219:H3318)</f>
        <v>9</v>
      </c>
      <c r="I3319" s="12">
        <f t="shared" si="1274"/>
        <v>24</v>
      </c>
      <c r="J3319" s="12">
        <f t="shared" si="1274"/>
        <v>0</v>
      </c>
      <c r="K3319" s="12">
        <f t="shared" si="1274"/>
        <v>0</v>
      </c>
      <c r="L3319" s="12">
        <f t="shared" si="1274"/>
        <v>36</v>
      </c>
      <c r="M3319" s="12">
        <f t="shared" si="1274"/>
        <v>0</v>
      </c>
      <c r="N3319" s="12">
        <f t="shared" si="1274"/>
        <v>0</v>
      </c>
      <c r="O3319" s="12">
        <f t="shared" si="1274"/>
        <v>0</v>
      </c>
      <c r="P3319" s="12">
        <f t="shared" si="1274"/>
        <v>0</v>
      </c>
      <c r="Q3319" s="12">
        <f t="shared" si="1274"/>
        <v>0</v>
      </c>
      <c r="R3319" s="12">
        <f t="shared" si="1274"/>
        <v>2</v>
      </c>
      <c r="S3319" s="12">
        <f t="shared" si="1274"/>
        <v>12</v>
      </c>
      <c r="T3319" s="12">
        <f t="shared" si="1274"/>
        <v>0</v>
      </c>
      <c r="U3319" s="12">
        <f t="shared" si="1274"/>
        <v>0</v>
      </c>
      <c r="V3319" s="12">
        <f t="shared" si="1274"/>
        <v>0</v>
      </c>
      <c r="W3319" s="12">
        <f t="shared" si="1274"/>
        <v>0</v>
      </c>
      <c r="X3319" s="12">
        <f t="shared" si="1274"/>
        <v>0</v>
      </c>
      <c r="Y3319" s="12">
        <f t="shared" si="1274"/>
        <v>0</v>
      </c>
      <c r="Z3319" s="12">
        <f t="shared" si="1274"/>
        <v>0</v>
      </c>
      <c r="AA3319" s="12">
        <f t="shared" si="1274"/>
        <v>0</v>
      </c>
      <c r="AB3319" s="12">
        <f t="shared" si="1274"/>
        <v>0</v>
      </c>
      <c r="AC3319" s="12">
        <f t="shared" si="1274"/>
        <v>0</v>
      </c>
      <c r="AD3319" s="12">
        <f t="shared" si="1274"/>
        <v>4</v>
      </c>
      <c r="AE3319" s="12">
        <f t="shared" si="1274"/>
        <v>1</v>
      </c>
      <c r="AF3319" s="12">
        <f t="shared" si="1274"/>
        <v>9</v>
      </c>
      <c r="AG3319" s="12">
        <f t="shared" si="1274"/>
        <v>0</v>
      </c>
      <c r="AH3319" s="12">
        <f t="shared" si="1274"/>
        <v>0</v>
      </c>
      <c r="AI3319" s="12">
        <f t="shared" si="1274"/>
        <v>0</v>
      </c>
      <c r="AJ3319" s="12">
        <f t="shared" si="1274"/>
        <v>2</v>
      </c>
      <c r="AK3319" s="12">
        <f t="shared" si="1274"/>
        <v>0</v>
      </c>
      <c r="AL3319" s="12">
        <f t="shared" si="1274"/>
        <v>0</v>
      </c>
      <c r="AM3319" s="12">
        <f t="shared" si="1274"/>
        <v>0</v>
      </c>
      <c r="AN3319" s="12">
        <f t="shared" si="1274"/>
        <v>0</v>
      </c>
      <c r="AO3319" s="12">
        <f t="shared" si="1274"/>
        <v>3</v>
      </c>
      <c r="AP3319" s="12">
        <f t="shared" si="1274"/>
        <v>1</v>
      </c>
      <c r="AQ3319" s="12">
        <f t="shared" si="1274"/>
        <v>0</v>
      </c>
      <c r="AR3319" s="12">
        <f t="shared" si="1274"/>
        <v>0</v>
      </c>
      <c r="AS3319" s="12">
        <f t="shared" si="1274"/>
        <v>21</v>
      </c>
      <c r="AT3319" s="12">
        <f t="shared" si="1274"/>
        <v>0</v>
      </c>
      <c r="AU3319" s="12">
        <f t="shared" si="1274"/>
        <v>0</v>
      </c>
      <c r="AV3319" s="12">
        <f t="shared" si="1274"/>
        <v>0</v>
      </c>
      <c r="AW3319" s="12">
        <f t="shared" si="1274"/>
        <v>0</v>
      </c>
      <c r="AX3319" s="12">
        <f t="shared" si="1274"/>
        <v>0</v>
      </c>
      <c r="AY3319" s="12">
        <f t="shared" si="1274"/>
        <v>0</v>
      </c>
      <c r="AZ3319" s="12">
        <f t="shared" si="1274"/>
        <v>0</v>
      </c>
      <c r="BA3319" s="12">
        <f t="shared" si="1274"/>
        <v>0</v>
      </c>
      <c r="BB3319" s="12">
        <f t="shared" si="1274"/>
        <v>0</v>
      </c>
      <c r="BC3319" s="12">
        <f t="shared" si="1274"/>
        <v>0</v>
      </c>
      <c r="BD3319" s="12">
        <f t="shared" si="1274"/>
        <v>1</v>
      </c>
      <c r="BE3319" s="12">
        <f t="shared" si="1274"/>
        <v>1</v>
      </c>
      <c r="BF3319" s="12">
        <f t="shared" si="1274"/>
        <v>0</v>
      </c>
      <c r="BG3319" s="12">
        <f t="shared" si="1274"/>
        <v>4</v>
      </c>
      <c r="BH3319" s="12">
        <f t="shared" si="1274"/>
        <v>3</v>
      </c>
      <c r="BI3319" s="12">
        <f t="shared" si="1274"/>
        <v>10</v>
      </c>
      <c r="BJ3319" s="12">
        <f t="shared" si="1274"/>
        <v>1</v>
      </c>
      <c r="BK3319" s="12">
        <f t="shared" si="1274"/>
        <v>0</v>
      </c>
      <c r="BL3319" s="12">
        <f t="shared" si="1274"/>
        <v>0</v>
      </c>
      <c r="BM3319" s="12">
        <f t="shared" si="1274"/>
        <v>0</v>
      </c>
      <c r="BN3319" s="12">
        <f t="shared" si="1274"/>
        <v>0</v>
      </c>
      <c r="BO3319" s="12">
        <f t="shared" si="1274"/>
        <v>0</v>
      </c>
      <c r="BP3319" s="12">
        <f t="shared" si="1274"/>
        <v>0</v>
      </c>
      <c r="BQ3319" s="12">
        <f t="shared" si="1274"/>
        <v>0</v>
      </c>
      <c r="BR3319" s="12">
        <f t="shared" si="1274"/>
        <v>1</v>
      </c>
      <c r="BS3319" s="12">
        <f t="shared" si="1274"/>
        <v>0</v>
      </c>
      <c r="BT3319" s="12">
        <f t="shared" ref="BT3319:CL3319" si="1275">SUM(BT3219:BT3318)</f>
        <v>0</v>
      </c>
      <c r="BU3319" s="12">
        <f t="shared" si="1275"/>
        <v>3</v>
      </c>
      <c r="BV3319" s="12">
        <f t="shared" si="1275"/>
        <v>0</v>
      </c>
      <c r="BW3319" s="12">
        <f t="shared" si="1275"/>
        <v>0</v>
      </c>
      <c r="BX3319" s="12">
        <f t="shared" si="1275"/>
        <v>0</v>
      </c>
      <c r="BY3319" s="12">
        <f t="shared" si="1275"/>
        <v>0</v>
      </c>
      <c r="BZ3319" s="12">
        <f t="shared" si="1275"/>
        <v>0</v>
      </c>
      <c r="CA3319" s="12">
        <f t="shared" si="1275"/>
        <v>0</v>
      </c>
      <c r="CB3319" s="12">
        <f t="shared" si="1275"/>
        <v>0</v>
      </c>
      <c r="CC3319" s="12">
        <f t="shared" si="1275"/>
        <v>0</v>
      </c>
      <c r="CD3319" s="12">
        <f t="shared" si="1275"/>
        <v>0</v>
      </c>
      <c r="CE3319" s="12">
        <f t="shared" si="1275"/>
        <v>0</v>
      </c>
      <c r="CF3319" s="12">
        <f t="shared" si="1275"/>
        <v>0</v>
      </c>
      <c r="CG3319" s="12">
        <f t="shared" si="1275"/>
        <v>0</v>
      </c>
      <c r="CH3319" s="12">
        <f t="shared" si="1275"/>
        <v>0</v>
      </c>
      <c r="CI3319" s="12">
        <f t="shared" si="1275"/>
        <v>0</v>
      </c>
      <c r="CJ3319" s="12">
        <f t="shared" si="1275"/>
        <v>0</v>
      </c>
      <c r="CK3319" s="12">
        <f t="shared" si="1275"/>
        <v>0</v>
      </c>
      <c r="CL3319" s="12">
        <f t="shared" si="1275"/>
        <v>0</v>
      </c>
    </row>
    <row r="3320" spans="1:91" x14ac:dyDescent="0.3">
      <c r="A3320" s="1" t="s">
        <v>60</v>
      </c>
      <c r="B3320" s="7">
        <v>40763</v>
      </c>
      <c r="C3320" s="1">
        <v>6</v>
      </c>
      <c r="D3320" s="1">
        <v>190</v>
      </c>
      <c r="E3320" s="1">
        <v>1</v>
      </c>
      <c r="F3320" s="1">
        <v>1</v>
      </c>
      <c r="H3320" s="1">
        <v>1</v>
      </c>
      <c r="AF3320" s="1">
        <v>1</v>
      </c>
    </row>
    <row r="3321" spans="1:91" x14ac:dyDescent="0.3">
      <c r="A3321" s="1" t="s">
        <v>60</v>
      </c>
      <c r="B3321" s="7">
        <v>40763</v>
      </c>
      <c r="C3321" s="1">
        <v>6</v>
      </c>
      <c r="D3321" s="1">
        <v>190</v>
      </c>
      <c r="E3321" s="1">
        <v>1</v>
      </c>
      <c r="F3321" s="1">
        <v>2</v>
      </c>
      <c r="H3321" s="1">
        <v>1</v>
      </c>
    </row>
    <row r="3322" spans="1:91" x14ac:dyDescent="0.3">
      <c r="A3322" s="1" t="s">
        <v>60</v>
      </c>
      <c r="B3322" s="7">
        <v>40763</v>
      </c>
      <c r="C3322" s="1">
        <v>6</v>
      </c>
      <c r="D3322" s="1">
        <v>190</v>
      </c>
      <c r="E3322" s="1">
        <v>1</v>
      </c>
      <c r="F3322" s="1">
        <v>3</v>
      </c>
      <c r="J3322" s="3">
        <v>0</v>
      </c>
      <c r="K3322" s="3">
        <v>1</v>
      </c>
    </row>
    <row r="3323" spans="1:91" x14ac:dyDescent="0.3">
      <c r="A3323" s="1" t="s">
        <v>60</v>
      </c>
      <c r="B3323" s="7">
        <v>40763</v>
      </c>
      <c r="C3323" s="1">
        <v>6</v>
      </c>
      <c r="D3323" s="1">
        <v>190</v>
      </c>
      <c r="E3323" s="1">
        <v>1</v>
      </c>
      <c r="F3323" s="1">
        <v>4</v>
      </c>
      <c r="I3323" s="1">
        <v>1</v>
      </c>
      <c r="J3323" s="1">
        <v>1</v>
      </c>
    </row>
    <row r="3324" spans="1:91" x14ac:dyDescent="0.3">
      <c r="A3324" s="1" t="s">
        <v>60</v>
      </c>
      <c r="B3324" s="7">
        <v>40763</v>
      </c>
      <c r="C3324" s="1">
        <v>6</v>
      </c>
      <c r="D3324" s="1">
        <v>190</v>
      </c>
      <c r="E3324" s="1">
        <v>1</v>
      </c>
      <c r="F3324" s="1">
        <v>5</v>
      </c>
      <c r="J3324" s="3">
        <v>0</v>
      </c>
      <c r="K3324" s="3">
        <v>1</v>
      </c>
      <c r="L3324" s="1">
        <v>1</v>
      </c>
    </row>
    <row r="3325" spans="1:91" s="11" customFormat="1" x14ac:dyDescent="0.3">
      <c r="A3325" s="1" t="s">
        <v>60</v>
      </c>
      <c r="B3325" s="7">
        <v>40763</v>
      </c>
      <c r="C3325" s="1">
        <v>6</v>
      </c>
      <c r="D3325" s="1">
        <v>190</v>
      </c>
      <c r="E3325" s="1">
        <v>1</v>
      </c>
      <c r="F3325" s="1">
        <v>6</v>
      </c>
      <c r="G3325" s="1"/>
      <c r="H3325" s="1"/>
      <c r="I3325" s="1"/>
      <c r="J3325" s="1">
        <v>1</v>
      </c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  <c r="AA3325" s="1"/>
      <c r="AB3325" s="1"/>
      <c r="AC3325" s="1"/>
      <c r="AD3325" s="1"/>
      <c r="AE3325" s="1"/>
      <c r="AF3325" s="1"/>
      <c r="AG3325" s="1"/>
      <c r="AH3325" s="1"/>
      <c r="AI3325" s="1"/>
      <c r="AJ3325" s="1"/>
      <c r="AK3325" s="1"/>
      <c r="AL3325" s="1"/>
      <c r="AM3325" s="1"/>
      <c r="AN3325" s="1"/>
      <c r="AO3325" s="1"/>
      <c r="AP3325" s="1"/>
      <c r="AQ3325" s="1"/>
      <c r="AR3325" s="1"/>
      <c r="AS3325" s="1"/>
      <c r="AT3325" s="1"/>
      <c r="AU3325" s="1"/>
      <c r="AV3325" s="1"/>
      <c r="AW3325" s="1"/>
      <c r="AX3325" s="1"/>
      <c r="AY3325" s="1"/>
      <c r="AZ3325" s="1"/>
      <c r="BA3325" s="1"/>
      <c r="BB3325" s="1"/>
      <c r="BC3325" s="1"/>
      <c r="BD3325" s="1"/>
      <c r="BE3325" s="1"/>
      <c r="BF3325" s="1"/>
      <c r="BG3325" s="1"/>
      <c r="BH3325" s="1"/>
      <c r="BI3325" s="1"/>
      <c r="BJ3325" s="1"/>
      <c r="BK3325" s="1"/>
      <c r="BL3325" s="1"/>
      <c r="BM3325" s="1"/>
      <c r="BN3325" s="1"/>
      <c r="BO3325" s="1"/>
      <c r="BP3325" s="1"/>
      <c r="BQ3325" s="1"/>
      <c r="BR3325" s="1"/>
      <c r="BS3325" s="1"/>
      <c r="BT3325" s="1"/>
      <c r="BU3325" s="1"/>
      <c r="BV3325" s="1"/>
      <c r="BW3325" s="1"/>
      <c r="BX3325" s="1"/>
      <c r="BY3325" s="1"/>
      <c r="BZ3325" s="1"/>
      <c r="CA3325" s="1"/>
      <c r="CB3325" s="1"/>
      <c r="CC3325" s="1"/>
      <c r="CD3325" s="1"/>
      <c r="CE3325" s="1"/>
      <c r="CF3325" s="1"/>
      <c r="CG3325" s="1"/>
      <c r="CH3325" s="1"/>
      <c r="CI3325" s="1"/>
      <c r="CJ3325" s="1"/>
      <c r="CK3325" s="1"/>
      <c r="CM3325" s="15"/>
    </row>
    <row r="3326" spans="1:91" s="11" customFormat="1" x14ac:dyDescent="0.3">
      <c r="A3326" s="1" t="s">
        <v>60</v>
      </c>
      <c r="B3326" s="7">
        <v>40763</v>
      </c>
      <c r="C3326" s="1">
        <v>6</v>
      </c>
      <c r="D3326" s="1">
        <v>190</v>
      </c>
      <c r="E3326" s="1">
        <v>1</v>
      </c>
      <c r="F3326" s="1">
        <v>7</v>
      </c>
      <c r="G3326" s="1"/>
      <c r="H3326" s="1"/>
      <c r="I3326" s="1"/>
      <c r="J3326" s="1">
        <v>1</v>
      </c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  <c r="AA3326" s="1"/>
      <c r="AB3326" s="1"/>
      <c r="AC3326" s="1"/>
      <c r="AD3326" s="1"/>
      <c r="AE3326" s="1"/>
      <c r="AF3326" s="1"/>
      <c r="AG3326" s="1"/>
      <c r="AH3326" s="1"/>
      <c r="AI3326" s="1"/>
      <c r="AJ3326" s="1"/>
      <c r="AK3326" s="1"/>
      <c r="AL3326" s="1"/>
      <c r="AM3326" s="1"/>
      <c r="AN3326" s="1"/>
      <c r="AO3326" s="1"/>
      <c r="AP3326" s="1"/>
      <c r="AQ3326" s="1"/>
      <c r="AR3326" s="1"/>
      <c r="AS3326" s="1"/>
      <c r="AT3326" s="1"/>
      <c r="AU3326" s="1"/>
      <c r="AV3326" s="1"/>
      <c r="AW3326" s="1"/>
      <c r="AX3326" s="1"/>
      <c r="AY3326" s="1"/>
      <c r="AZ3326" s="1"/>
      <c r="BA3326" s="1"/>
      <c r="BB3326" s="1"/>
      <c r="BC3326" s="1"/>
      <c r="BD3326" s="1"/>
      <c r="BE3326" s="1"/>
      <c r="BF3326" s="1"/>
      <c r="BG3326" s="1"/>
      <c r="BH3326" s="1"/>
      <c r="BI3326" s="1"/>
      <c r="BJ3326" s="1"/>
      <c r="BK3326" s="1"/>
      <c r="BL3326" s="1"/>
      <c r="BM3326" s="1"/>
      <c r="BN3326" s="1"/>
      <c r="BO3326" s="1"/>
      <c r="BP3326" s="1"/>
      <c r="BQ3326" s="1"/>
      <c r="BR3326" s="1"/>
      <c r="BS3326" s="1"/>
      <c r="BT3326" s="1"/>
      <c r="BU3326" s="1"/>
      <c r="BV3326" s="1"/>
      <c r="BW3326" s="1"/>
      <c r="BX3326" s="1"/>
      <c r="BY3326" s="1"/>
      <c r="BZ3326" s="1"/>
      <c r="CA3326" s="1"/>
      <c r="CB3326" s="1"/>
      <c r="CC3326" s="1"/>
      <c r="CD3326" s="1"/>
      <c r="CE3326" s="1"/>
      <c r="CF3326" s="1"/>
      <c r="CG3326" s="1"/>
      <c r="CH3326" s="1"/>
      <c r="CI3326" s="1"/>
      <c r="CJ3326" s="1"/>
      <c r="CK3326" s="1"/>
      <c r="CM3326" s="15"/>
    </row>
    <row r="3327" spans="1:91" s="11" customFormat="1" x14ac:dyDescent="0.3">
      <c r="A3327" s="1" t="s">
        <v>60</v>
      </c>
      <c r="B3327" s="7">
        <v>40763</v>
      </c>
      <c r="C3327" s="1">
        <v>6</v>
      </c>
      <c r="D3327" s="1">
        <v>190</v>
      </c>
      <c r="E3327" s="1">
        <v>1</v>
      </c>
      <c r="F3327" s="1">
        <v>8</v>
      </c>
      <c r="G3327" s="1"/>
      <c r="H3327" s="1"/>
      <c r="I3327" s="1"/>
      <c r="J3327" s="3">
        <v>0</v>
      </c>
      <c r="K3327" s="3">
        <v>1</v>
      </c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  <c r="AA3327" s="1"/>
      <c r="AB3327" s="1"/>
      <c r="AC3327" s="1"/>
      <c r="AD3327" s="1"/>
      <c r="AE3327" s="1"/>
      <c r="AF3327" s="1"/>
      <c r="AG3327" s="1"/>
      <c r="AH3327" s="1"/>
      <c r="AI3327" s="1"/>
      <c r="AJ3327" s="1"/>
      <c r="AK3327" s="1"/>
      <c r="AL3327" s="1"/>
      <c r="AM3327" s="1"/>
      <c r="AN3327" s="1"/>
      <c r="AO3327" s="1"/>
      <c r="AP3327" s="1"/>
      <c r="AQ3327" s="1"/>
      <c r="AR3327" s="1"/>
      <c r="AS3327" s="1"/>
      <c r="AT3327" s="1"/>
      <c r="AU3327" s="1"/>
      <c r="AV3327" s="1"/>
      <c r="AW3327" s="1"/>
      <c r="AX3327" s="1"/>
      <c r="AY3327" s="1"/>
      <c r="AZ3327" s="1"/>
      <c r="BA3327" s="1"/>
      <c r="BB3327" s="1"/>
      <c r="BC3327" s="1"/>
      <c r="BD3327" s="1"/>
      <c r="BE3327" s="1"/>
      <c r="BF3327" s="1"/>
      <c r="BG3327" s="1"/>
      <c r="BH3327" s="1"/>
      <c r="BI3327" s="1"/>
      <c r="BJ3327" s="1"/>
      <c r="BK3327" s="1"/>
      <c r="BL3327" s="1"/>
      <c r="BM3327" s="1"/>
      <c r="BN3327" s="1"/>
      <c r="BO3327" s="1"/>
      <c r="BP3327" s="1"/>
      <c r="BQ3327" s="1"/>
      <c r="BR3327" s="1"/>
      <c r="BS3327" s="1"/>
      <c r="BT3327" s="1"/>
      <c r="BU3327" s="1"/>
      <c r="BV3327" s="1"/>
      <c r="BW3327" s="1"/>
      <c r="BX3327" s="1"/>
      <c r="BY3327" s="1"/>
      <c r="BZ3327" s="1"/>
      <c r="CA3327" s="1"/>
      <c r="CB3327" s="1"/>
      <c r="CC3327" s="1"/>
      <c r="CD3327" s="1"/>
      <c r="CE3327" s="1"/>
      <c r="CF3327" s="1"/>
      <c r="CG3327" s="1"/>
      <c r="CH3327" s="1"/>
      <c r="CI3327" s="1"/>
      <c r="CJ3327" s="1"/>
      <c r="CK3327" s="1"/>
      <c r="CM3327" s="15"/>
    </row>
    <row r="3328" spans="1:91" s="11" customFormat="1" x14ac:dyDescent="0.3">
      <c r="A3328" s="1" t="s">
        <v>60</v>
      </c>
      <c r="B3328" s="7">
        <v>40763</v>
      </c>
      <c r="C3328" s="1">
        <v>6</v>
      </c>
      <c r="D3328" s="1">
        <v>190</v>
      </c>
      <c r="E3328" s="1">
        <v>1</v>
      </c>
      <c r="F3328" s="1">
        <v>9</v>
      </c>
      <c r="G3328" s="1"/>
      <c r="H3328" s="1"/>
      <c r="I3328" s="1"/>
      <c r="J3328" s="8">
        <v>1</v>
      </c>
      <c r="K3328" s="8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  <c r="AA3328" s="1"/>
      <c r="AB3328" s="1"/>
      <c r="AC3328" s="1"/>
      <c r="AD3328" s="1"/>
      <c r="AE3328" s="1"/>
      <c r="AF3328" s="1"/>
      <c r="AG3328" s="1"/>
      <c r="AH3328" s="1"/>
      <c r="AI3328" s="3">
        <v>0</v>
      </c>
      <c r="AJ3328" s="3">
        <v>1</v>
      </c>
      <c r="AK3328" s="1"/>
      <c r="AL3328" s="1"/>
      <c r="AM3328" s="1"/>
      <c r="AN3328" s="1"/>
      <c r="AO3328" s="1"/>
      <c r="AP3328" s="1"/>
      <c r="AQ3328" s="1"/>
      <c r="AR3328" s="1"/>
      <c r="AS3328" s="1"/>
      <c r="AT3328" s="1"/>
      <c r="AU3328" s="1"/>
      <c r="AV3328" s="1"/>
      <c r="AW3328" s="1"/>
      <c r="AX3328" s="1"/>
      <c r="AY3328" s="1"/>
      <c r="AZ3328" s="1"/>
      <c r="BA3328" s="1"/>
      <c r="BB3328" s="1"/>
      <c r="BC3328" s="1"/>
      <c r="BD3328" s="1"/>
      <c r="BE3328" s="1"/>
      <c r="BF3328" s="1"/>
      <c r="BG3328" s="1"/>
      <c r="BH3328" s="1"/>
      <c r="BI3328" s="1"/>
      <c r="BJ3328" s="1"/>
      <c r="BK3328" s="1"/>
      <c r="BL3328" s="1"/>
      <c r="BM3328" s="1"/>
      <c r="BN3328" s="1"/>
      <c r="BO3328" s="1"/>
      <c r="BP3328" s="1"/>
      <c r="BQ3328" s="1"/>
      <c r="BR3328" s="1"/>
      <c r="BS3328" s="1"/>
      <c r="BT3328" s="1"/>
      <c r="BU3328" s="1"/>
      <c r="BV3328" s="1"/>
      <c r="BW3328" s="1"/>
      <c r="BX3328" s="1"/>
      <c r="BY3328" s="1"/>
      <c r="BZ3328" s="1"/>
      <c r="CA3328" s="1"/>
      <c r="CB3328" s="1"/>
      <c r="CC3328" s="1"/>
      <c r="CD3328" s="1"/>
      <c r="CE3328" s="1"/>
      <c r="CF3328" s="1"/>
      <c r="CG3328" s="1"/>
      <c r="CH3328" s="1"/>
      <c r="CI3328" s="1"/>
      <c r="CJ3328" s="1"/>
      <c r="CK3328" s="1"/>
      <c r="CM3328" s="15"/>
    </row>
    <row r="3329" spans="1:91" s="11" customFormat="1" x14ac:dyDescent="0.3">
      <c r="A3329" s="1" t="s">
        <v>60</v>
      </c>
      <c r="B3329" s="7">
        <v>40763</v>
      </c>
      <c r="C3329" s="1">
        <v>6</v>
      </c>
      <c r="D3329" s="1">
        <v>190</v>
      </c>
      <c r="E3329" s="1">
        <v>1</v>
      </c>
      <c r="F3329" s="1">
        <v>10</v>
      </c>
      <c r="G3329" s="1"/>
      <c r="H3329" s="1"/>
      <c r="I3329" s="1"/>
      <c r="J3329" s="3">
        <v>0</v>
      </c>
      <c r="K3329" s="3">
        <v>1</v>
      </c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  <c r="AA3329" s="1"/>
      <c r="AB3329" s="1"/>
      <c r="AC3329" s="1"/>
      <c r="AD3329" s="1"/>
      <c r="AE3329" s="1"/>
      <c r="AF3329" s="1"/>
      <c r="AG3329" s="1"/>
      <c r="AH3329" s="1"/>
      <c r="AI3329" s="1"/>
      <c r="AJ3329" s="1"/>
      <c r="AK3329" s="1"/>
      <c r="AL3329" s="1"/>
      <c r="AM3329" s="1"/>
      <c r="AN3329" s="1"/>
      <c r="AO3329" s="1"/>
      <c r="AP3329" s="1"/>
      <c r="AQ3329" s="1"/>
      <c r="AR3329" s="1"/>
      <c r="AS3329" s="1"/>
      <c r="AT3329" s="1"/>
      <c r="AU3329" s="1"/>
      <c r="AV3329" s="1"/>
      <c r="AW3329" s="1"/>
      <c r="AX3329" s="1"/>
      <c r="AY3329" s="1"/>
      <c r="AZ3329" s="1"/>
      <c r="BA3329" s="1"/>
      <c r="BB3329" s="1"/>
      <c r="BC3329" s="1"/>
      <c r="BD3329" s="1"/>
      <c r="BE3329" s="1"/>
      <c r="BF3329" s="1"/>
      <c r="BG3329" s="1"/>
      <c r="BH3329" s="1"/>
      <c r="BI3329" s="1"/>
      <c r="BJ3329" s="1"/>
      <c r="BK3329" s="1"/>
      <c r="BL3329" s="1"/>
      <c r="BM3329" s="1"/>
      <c r="BN3329" s="1"/>
      <c r="BO3329" s="1"/>
      <c r="BP3329" s="1"/>
      <c r="BQ3329" s="1"/>
      <c r="BR3329" s="1"/>
      <c r="BS3329" s="1"/>
      <c r="BT3329" s="1"/>
      <c r="BU3329" s="1"/>
      <c r="BV3329" s="1"/>
      <c r="BW3329" s="1"/>
      <c r="BX3329" s="1"/>
      <c r="BY3329" s="1"/>
      <c r="BZ3329" s="1"/>
      <c r="CA3329" s="1"/>
      <c r="CB3329" s="1"/>
      <c r="CC3329" s="1"/>
      <c r="CD3329" s="1"/>
      <c r="CE3329" s="1"/>
      <c r="CF3329" s="1"/>
      <c r="CG3329" s="1"/>
      <c r="CH3329" s="1"/>
      <c r="CI3329" s="1"/>
      <c r="CJ3329" s="1"/>
      <c r="CK3329" s="1"/>
      <c r="CM3329" s="15"/>
    </row>
    <row r="3330" spans="1:91" s="11" customFormat="1" x14ac:dyDescent="0.3">
      <c r="A3330" s="1" t="s">
        <v>60</v>
      </c>
      <c r="B3330" s="7">
        <v>40763</v>
      </c>
      <c r="C3330" s="1">
        <v>6</v>
      </c>
      <c r="D3330" s="1">
        <v>190</v>
      </c>
      <c r="E3330" s="1">
        <v>1</v>
      </c>
      <c r="F3330" s="1">
        <v>11</v>
      </c>
      <c r="G3330" s="1"/>
      <c r="H3330" s="1">
        <v>1</v>
      </c>
      <c r="I3330" s="1"/>
      <c r="J3330" s="1"/>
      <c r="K3330" s="1"/>
      <c r="L3330" s="1">
        <v>1</v>
      </c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  <c r="AA3330" s="1"/>
      <c r="AB3330" s="1"/>
      <c r="AC3330" s="1"/>
      <c r="AD3330" s="1"/>
      <c r="AE3330" s="1"/>
      <c r="AF3330" s="1"/>
      <c r="AG3330" s="1"/>
      <c r="AH3330" s="1"/>
      <c r="AI3330" s="1"/>
      <c r="AJ3330" s="1"/>
      <c r="AK3330" s="1"/>
      <c r="AL3330" s="1"/>
      <c r="AM3330" s="1"/>
      <c r="AN3330" s="1"/>
      <c r="AO3330" s="1"/>
      <c r="AP3330" s="1"/>
      <c r="AQ3330" s="1"/>
      <c r="AR3330" s="1"/>
      <c r="AS3330" s="1"/>
      <c r="AT3330" s="1"/>
      <c r="AU3330" s="1"/>
      <c r="AV3330" s="1"/>
      <c r="AW3330" s="1"/>
      <c r="AX3330" s="1"/>
      <c r="AY3330" s="1"/>
      <c r="AZ3330" s="1"/>
      <c r="BA3330" s="1"/>
      <c r="BB3330" s="1"/>
      <c r="BC3330" s="1"/>
      <c r="BD3330" s="1"/>
      <c r="BE3330" s="1"/>
      <c r="BF3330" s="1"/>
      <c r="BG3330" s="1"/>
      <c r="BH3330" s="1"/>
      <c r="BI3330" s="1"/>
      <c r="BJ3330" s="1"/>
      <c r="BK3330" s="1"/>
      <c r="BL3330" s="1"/>
      <c r="BM3330" s="1"/>
      <c r="BN3330" s="1"/>
      <c r="BO3330" s="1"/>
      <c r="BP3330" s="1"/>
      <c r="BQ3330" s="1"/>
      <c r="BR3330" s="1"/>
      <c r="BS3330" s="1"/>
      <c r="BT3330" s="1"/>
      <c r="BU3330" s="1"/>
      <c r="BV3330" s="1"/>
      <c r="BW3330" s="1"/>
      <c r="BX3330" s="1"/>
      <c r="BY3330" s="1"/>
      <c r="BZ3330" s="1"/>
      <c r="CA3330" s="1"/>
      <c r="CB3330" s="1"/>
      <c r="CC3330" s="1"/>
      <c r="CD3330" s="1"/>
      <c r="CE3330" s="1"/>
      <c r="CF3330" s="1"/>
      <c r="CG3330" s="1"/>
      <c r="CH3330" s="1"/>
      <c r="CI3330" s="1"/>
      <c r="CJ3330" s="1"/>
      <c r="CK3330" s="1"/>
      <c r="CM3330" s="15"/>
    </row>
    <row r="3331" spans="1:91" s="11" customFormat="1" x14ac:dyDescent="0.3">
      <c r="A3331" s="1" t="s">
        <v>60</v>
      </c>
      <c r="B3331" s="7">
        <v>40763</v>
      </c>
      <c r="C3331" s="1">
        <v>6</v>
      </c>
      <c r="D3331" s="1">
        <v>190</v>
      </c>
      <c r="E3331" s="1">
        <v>1</v>
      </c>
      <c r="F3331" s="1">
        <v>12</v>
      </c>
      <c r="G3331" s="1"/>
      <c r="H3331" s="1"/>
      <c r="I3331" s="1">
        <v>1</v>
      </c>
      <c r="J3331" s="1"/>
      <c r="K3331" s="1"/>
      <c r="L3331" s="1">
        <v>1</v>
      </c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  <c r="AA3331" s="1"/>
      <c r="AB3331" s="1"/>
      <c r="AC3331" s="1"/>
      <c r="AD3331" s="1"/>
      <c r="AE3331" s="1"/>
      <c r="AF3331" s="1"/>
      <c r="AG3331" s="1"/>
      <c r="AH3331" s="1"/>
      <c r="AI3331" s="1"/>
      <c r="AJ3331" s="1"/>
      <c r="AK3331" s="1"/>
      <c r="AL3331" s="1"/>
      <c r="AM3331" s="1"/>
      <c r="AN3331" s="1"/>
      <c r="AO3331" s="1"/>
      <c r="AP3331" s="1"/>
      <c r="AQ3331" s="1"/>
      <c r="AR3331" s="1"/>
      <c r="AS3331" s="1"/>
      <c r="AT3331" s="1"/>
      <c r="AU3331" s="1"/>
      <c r="AV3331" s="1"/>
      <c r="AW3331" s="1"/>
      <c r="AX3331" s="1"/>
      <c r="AY3331" s="1"/>
      <c r="AZ3331" s="1"/>
      <c r="BA3331" s="1"/>
      <c r="BB3331" s="1"/>
      <c r="BC3331" s="1"/>
      <c r="BD3331" s="1"/>
      <c r="BE3331" s="1"/>
      <c r="BF3331" s="1"/>
      <c r="BG3331" s="1"/>
      <c r="BH3331" s="1"/>
      <c r="BI3331" s="1"/>
      <c r="BJ3331" s="1"/>
      <c r="BK3331" s="1"/>
      <c r="BL3331" s="1"/>
      <c r="BM3331" s="1"/>
      <c r="BN3331" s="1"/>
      <c r="BO3331" s="1"/>
      <c r="BP3331" s="1"/>
      <c r="BQ3331" s="1"/>
      <c r="BR3331" s="1"/>
      <c r="BS3331" s="1"/>
      <c r="BT3331" s="1"/>
      <c r="BU3331" s="1"/>
      <c r="BV3331" s="1"/>
      <c r="BW3331" s="1"/>
      <c r="BX3331" s="1"/>
      <c r="BY3331" s="1"/>
      <c r="BZ3331" s="1"/>
      <c r="CA3331" s="1"/>
      <c r="CB3331" s="1"/>
      <c r="CC3331" s="1"/>
      <c r="CD3331" s="1"/>
      <c r="CE3331" s="1"/>
      <c r="CF3331" s="1"/>
      <c r="CG3331" s="1"/>
      <c r="CH3331" s="1"/>
      <c r="CI3331" s="1"/>
      <c r="CJ3331" s="1"/>
      <c r="CK3331" s="1"/>
      <c r="CM3331" s="15"/>
    </row>
    <row r="3332" spans="1:91" s="11" customFormat="1" x14ac:dyDescent="0.3">
      <c r="A3332" s="1" t="s">
        <v>60</v>
      </c>
      <c r="B3332" s="7">
        <v>40763</v>
      </c>
      <c r="C3332" s="1">
        <v>6</v>
      </c>
      <c r="D3332" s="1">
        <v>190</v>
      </c>
      <c r="E3332" s="1">
        <v>1</v>
      </c>
      <c r="F3332" s="1">
        <v>13</v>
      </c>
      <c r="G3332" s="1"/>
      <c r="H3332" s="1"/>
      <c r="I3332" s="1"/>
      <c r="J3332" s="1">
        <v>1</v>
      </c>
      <c r="K3332" s="1"/>
      <c r="L3332" s="1"/>
      <c r="M3332" s="1"/>
      <c r="N3332" s="1"/>
      <c r="O3332" s="1"/>
      <c r="P3332" s="1"/>
      <c r="Q3332" s="1"/>
      <c r="R3332" s="1">
        <v>1</v>
      </c>
      <c r="S3332" s="1"/>
      <c r="T3332" s="1"/>
      <c r="U3332" s="1"/>
      <c r="V3332" s="1"/>
      <c r="W3332" s="1"/>
      <c r="X3332" s="1"/>
      <c r="Y3332" s="1"/>
      <c r="Z3332" s="1"/>
      <c r="AA3332" s="1"/>
      <c r="AB3332" s="1"/>
      <c r="AC3332" s="1"/>
      <c r="AD3332" s="1"/>
      <c r="AE3332" s="1"/>
      <c r="AF3332" s="1"/>
      <c r="AG3332" s="1"/>
      <c r="AH3332" s="1"/>
      <c r="AI3332" s="1"/>
      <c r="AJ3332" s="1"/>
      <c r="AK3332" s="1"/>
      <c r="AL3332" s="1"/>
      <c r="AM3332" s="1"/>
      <c r="AN3332" s="1"/>
      <c r="AO3332" s="1"/>
      <c r="AP3332" s="1"/>
      <c r="AQ3332" s="1"/>
      <c r="AR3332" s="1"/>
      <c r="AS3332" s="1"/>
      <c r="AT3332" s="1"/>
      <c r="AU3332" s="1"/>
      <c r="AV3332" s="1"/>
      <c r="AW3332" s="1"/>
      <c r="AX3332" s="1"/>
      <c r="AY3332" s="1"/>
      <c r="AZ3332" s="1"/>
      <c r="BA3332" s="1"/>
      <c r="BB3332" s="1"/>
      <c r="BC3332" s="1"/>
      <c r="BD3332" s="1"/>
      <c r="BE3332" s="1"/>
      <c r="BF3332" s="1"/>
      <c r="BG3332" s="1"/>
      <c r="BH3332" s="1"/>
      <c r="BI3332" s="1"/>
      <c r="BJ3332" s="1"/>
      <c r="BK3332" s="1"/>
      <c r="BL3332" s="1"/>
      <c r="BM3332" s="1"/>
      <c r="BN3332" s="1"/>
      <c r="BO3332" s="1"/>
      <c r="BP3332" s="1"/>
      <c r="BQ3332" s="1"/>
      <c r="BR3332" s="1"/>
      <c r="BS3332" s="1"/>
      <c r="BT3332" s="1"/>
      <c r="BU3332" s="1"/>
      <c r="BV3332" s="1"/>
      <c r="BW3332" s="1"/>
      <c r="BX3332" s="1"/>
      <c r="BY3332" s="1"/>
      <c r="BZ3332" s="1"/>
      <c r="CA3332" s="1"/>
      <c r="CB3332" s="1"/>
      <c r="CC3332" s="1"/>
      <c r="CD3332" s="1"/>
      <c r="CE3332" s="1"/>
      <c r="CF3332" s="1"/>
      <c r="CG3332" s="1"/>
      <c r="CH3332" s="1"/>
      <c r="CI3332" s="1"/>
      <c r="CJ3332" s="1"/>
      <c r="CK3332" s="1"/>
      <c r="CM3332" s="15"/>
    </row>
    <row r="3333" spans="1:91" s="11" customFormat="1" x14ac:dyDescent="0.3">
      <c r="A3333" s="1" t="s">
        <v>60</v>
      </c>
      <c r="B3333" s="7">
        <v>40763</v>
      </c>
      <c r="C3333" s="1">
        <v>6</v>
      </c>
      <c r="D3333" s="1">
        <v>190</v>
      </c>
      <c r="E3333" s="1">
        <v>1</v>
      </c>
      <c r="F3333" s="1">
        <v>14</v>
      </c>
      <c r="G3333" s="1"/>
      <c r="H3333" s="1">
        <v>1</v>
      </c>
      <c r="I3333" s="1"/>
      <c r="J3333" s="1"/>
      <c r="K3333" s="1"/>
      <c r="L3333" s="1">
        <v>1</v>
      </c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  <c r="AA3333" s="1"/>
      <c r="AB3333" s="1"/>
      <c r="AC3333" s="1"/>
      <c r="AD3333" s="1"/>
      <c r="AE3333" s="1"/>
      <c r="AF3333" s="1"/>
      <c r="AG3333" s="1"/>
      <c r="AH3333" s="1"/>
      <c r="AI3333" s="1"/>
      <c r="AJ3333" s="1"/>
      <c r="AK3333" s="1"/>
      <c r="AL3333" s="1"/>
      <c r="AM3333" s="1"/>
      <c r="AN3333" s="1"/>
      <c r="AO3333" s="1"/>
      <c r="AP3333" s="1"/>
      <c r="AQ3333" s="1"/>
      <c r="AR3333" s="1"/>
      <c r="AS3333" s="1"/>
      <c r="AT3333" s="1"/>
      <c r="AU3333" s="1"/>
      <c r="AV3333" s="1"/>
      <c r="AW3333" s="1"/>
      <c r="AX3333" s="1"/>
      <c r="AY3333" s="1"/>
      <c r="AZ3333" s="1"/>
      <c r="BA3333" s="1"/>
      <c r="BB3333" s="1"/>
      <c r="BC3333" s="1"/>
      <c r="BD3333" s="1"/>
      <c r="BE3333" s="1"/>
      <c r="BF3333" s="1"/>
      <c r="BG3333" s="1"/>
      <c r="BH3333" s="1"/>
      <c r="BI3333" s="1"/>
      <c r="BJ3333" s="1"/>
      <c r="BK3333" s="1"/>
      <c r="BL3333" s="1"/>
      <c r="BM3333" s="1"/>
      <c r="BN3333" s="1"/>
      <c r="BO3333" s="1"/>
      <c r="BP3333" s="1"/>
      <c r="BQ3333" s="1"/>
      <c r="BR3333" s="1"/>
      <c r="BS3333" s="1"/>
      <c r="BT3333" s="1"/>
      <c r="BU3333" s="1"/>
      <c r="BV3333" s="1"/>
      <c r="BW3333" s="1"/>
      <c r="BX3333" s="1"/>
      <c r="BY3333" s="1"/>
      <c r="BZ3333" s="1"/>
      <c r="CA3333" s="1"/>
      <c r="CB3333" s="1"/>
      <c r="CC3333" s="1"/>
      <c r="CD3333" s="1"/>
      <c r="CE3333" s="1"/>
      <c r="CF3333" s="1"/>
      <c r="CG3333" s="1"/>
      <c r="CH3333" s="1"/>
      <c r="CI3333" s="1"/>
      <c r="CJ3333" s="1"/>
      <c r="CK3333" s="1"/>
      <c r="CM3333" s="15"/>
    </row>
    <row r="3334" spans="1:91" s="11" customFormat="1" x14ac:dyDescent="0.3">
      <c r="A3334" s="1" t="s">
        <v>60</v>
      </c>
      <c r="B3334" s="7">
        <v>40763</v>
      </c>
      <c r="C3334" s="1">
        <v>6</v>
      </c>
      <c r="D3334" s="1">
        <v>190</v>
      </c>
      <c r="E3334" s="1">
        <v>1</v>
      </c>
      <c r="F3334" s="1">
        <v>15</v>
      </c>
      <c r="G3334" s="1"/>
      <c r="H3334" s="1"/>
      <c r="I3334" s="1">
        <v>1</v>
      </c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  <c r="AA3334" s="1"/>
      <c r="AB3334" s="1"/>
      <c r="AC3334" s="1"/>
      <c r="AD3334" s="1"/>
      <c r="AE3334" s="1"/>
      <c r="AF3334" s="1"/>
      <c r="AG3334" s="1"/>
      <c r="AH3334" s="1"/>
      <c r="AI3334" s="1"/>
      <c r="AJ3334" s="1"/>
      <c r="AK3334" s="1"/>
      <c r="AL3334" s="1"/>
      <c r="AM3334" s="1"/>
      <c r="AN3334" s="1"/>
      <c r="AO3334" s="1"/>
      <c r="AP3334" s="1"/>
      <c r="AQ3334" s="1"/>
      <c r="AR3334" s="1"/>
      <c r="AS3334" s="1"/>
      <c r="AT3334" s="1"/>
      <c r="AU3334" s="1"/>
      <c r="AV3334" s="1"/>
      <c r="AW3334" s="1"/>
      <c r="AX3334" s="1"/>
      <c r="AY3334" s="1"/>
      <c r="AZ3334" s="1"/>
      <c r="BA3334" s="1"/>
      <c r="BB3334" s="1"/>
      <c r="BC3334" s="1"/>
      <c r="BD3334" s="1"/>
      <c r="BE3334" s="1"/>
      <c r="BF3334" s="1"/>
      <c r="BG3334" s="1"/>
      <c r="BH3334" s="1"/>
      <c r="BI3334" s="1"/>
      <c r="BJ3334" s="1"/>
      <c r="BK3334" s="1"/>
      <c r="BL3334" s="1"/>
      <c r="BM3334" s="1"/>
      <c r="BN3334" s="1"/>
      <c r="BO3334" s="1"/>
      <c r="BP3334" s="1"/>
      <c r="BQ3334" s="1"/>
      <c r="BR3334" s="1"/>
      <c r="BS3334" s="1"/>
      <c r="BT3334" s="1"/>
      <c r="BU3334" s="1"/>
      <c r="BV3334" s="1"/>
      <c r="BW3334" s="1"/>
      <c r="BX3334" s="1"/>
      <c r="BY3334" s="1"/>
      <c r="BZ3334" s="1"/>
      <c r="CA3334" s="1"/>
      <c r="CB3334" s="1"/>
      <c r="CC3334" s="1"/>
      <c r="CD3334" s="1"/>
      <c r="CE3334" s="1"/>
      <c r="CF3334" s="1"/>
      <c r="CG3334" s="1"/>
      <c r="CH3334" s="1"/>
      <c r="CI3334" s="1"/>
      <c r="CJ3334" s="1"/>
      <c r="CK3334" s="1"/>
      <c r="CM3334" s="15"/>
    </row>
    <row r="3335" spans="1:91" s="11" customFormat="1" x14ac:dyDescent="0.3">
      <c r="A3335" s="1" t="s">
        <v>60</v>
      </c>
      <c r="B3335" s="7">
        <v>40763</v>
      </c>
      <c r="C3335" s="1">
        <v>6</v>
      </c>
      <c r="D3335" s="1">
        <v>190</v>
      </c>
      <c r="E3335" s="1">
        <v>1</v>
      </c>
      <c r="F3335" s="1">
        <v>16</v>
      </c>
      <c r="G3335" s="1"/>
      <c r="H3335" s="1"/>
      <c r="I3335" s="1"/>
      <c r="J3335" s="1">
        <v>1</v>
      </c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  <c r="AA3335" s="1"/>
      <c r="AB3335" s="1"/>
      <c r="AC3335" s="1"/>
      <c r="AD3335" s="1"/>
      <c r="AE3335" s="1"/>
      <c r="AF3335" s="1"/>
      <c r="AG3335" s="1"/>
      <c r="AH3335" s="1"/>
      <c r="AI3335" s="1"/>
      <c r="AJ3335" s="1"/>
      <c r="AK3335" s="1"/>
      <c r="AL3335" s="1"/>
      <c r="AM3335" s="1"/>
      <c r="AN3335" s="1"/>
      <c r="AO3335" s="1"/>
      <c r="AP3335" s="1"/>
      <c r="AQ3335" s="1"/>
      <c r="AR3335" s="1"/>
      <c r="AS3335" s="1"/>
      <c r="AT3335" s="1"/>
      <c r="AU3335" s="1"/>
      <c r="AV3335" s="1"/>
      <c r="AW3335" s="1"/>
      <c r="AX3335" s="1"/>
      <c r="AY3335" s="1"/>
      <c r="AZ3335" s="1"/>
      <c r="BA3335" s="1"/>
      <c r="BB3335" s="1"/>
      <c r="BC3335" s="1"/>
      <c r="BD3335" s="1"/>
      <c r="BE3335" s="1"/>
      <c r="BF3335" s="1"/>
      <c r="BG3335" s="1"/>
      <c r="BH3335" s="1"/>
      <c r="BI3335" s="1"/>
      <c r="BJ3335" s="1"/>
      <c r="BK3335" s="1"/>
      <c r="BL3335" s="1"/>
      <c r="BM3335" s="1"/>
      <c r="BN3335" s="1"/>
      <c r="BO3335" s="1"/>
      <c r="BP3335" s="1"/>
      <c r="BQ3335" s="1"/>
      <c r="BR3335" s="1"/>
      <c r="BS3335" s="1">
        <v>1</v>
      </c>
      <c r="BT3335" s="1"/>
      <c r="BU3335" s="1"/>
      <c r="BV3335" s="1"/>
      <c r="BW3335" s="1"/>
      <c r="BX3335" s="1"/>
      <c r="BY3335" s="1"/>
      <c r="BZ3335" s="1"/>
      <c r="CA3335" s="1"/>
      <c r="CB3335" s="1"/>
      <c r="CC3335" s="1"/>
      <c r="CD3335" s="1"/>
      <c r="CE3335" s="1"/>
      <c r="CF3335" s="1"/>
      <c r="CG3335" s="1"/>
      <c r="CH3335" s="1"/>
      <c r="CI3335" s="1"/>
      <c r="CJ3335" s="1"/>
      <c r="CK3335" s="1"/>
      <c r="CM3335" s="15"/>
    </row>
    <row r="3336" spans="1:91" s="11" customFormat="1" x14ac:dyDescent="0.3">
      <c r="A3336" s="1" t="s">
        <v>60</v>
      </c>
      <c r="B3336" s="7">
        <v>40763</v>
      </c>
      <c r="C3336" s="1">
        <v>6</v>
      </c>
      <c r="D3336" s="1">
        <v>190</v>
      </c>
      <c r="E3336" s="1">
        <v>1</v>
      </c>
      <c r="F3336" s="1">
        <v>17</v>
      </c>
      <c r="G3336" s="1"/>
      <c r="H3336" s="1"/>
      <c r="I3336" s="1"/>
      <c r="J3336" s="1">
        <v>1</v>
      </c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  <c r="AA3336" s="1"/>
      <c r="AB3336" s="1"/>
      <c r="AC3336" s="1"/>
      <c r="AD3336" s="1"/>
      <c r="AE3336" s="1"/>
      <c r="AF3336" s="1"/>
      <c r="AG3336" s="1"/>
      <c r="AH3336" s="1"/>
      <c r="AI3336" s="1"/>
      <c r="AJ3336" s="1"/>
      <c r="AK3336" s="1"/>
      <c r="AL3336" s="1"/>
      <c r="AM3336" s="1"/>
      <c r="AN3336" s="1"/>
      <c r="AO3336" s="1"/>
      <c r="AP3336" s="1"/>
      <c r="AQ3336" s="1"/>
      <c r="AR3336" s="1"/>
      <c r="AS3336" s="1"/>
      <c r="AT3336" s="1"/>
      <c r="AU3336" s="1"/>
      <c r="AV3336" s="1"/>
      <c r="AW3336" s="1"/>
      <c r="AX3336" s="1"/>
      <c r="AY3336" s="1"/>
      <c r="AZ3336" s="1"/>
      <c r="BA3336" s="1"/>
      <c r="BB3336" s="1"/>
      <c r="BC3336" s="1"/>
      <c r="BD3336" s="1"/>
      <c r="BE3336" s="1"/>
      <c r="BF3336" s="1"/>
      <c r="BG3336" s="1"/>
      <c r="BH3336" s="1"/>
      <c r="BI3336" s="1"/>
      <c r="BJ3336" s="1"/>
      <c r="BK3336" s="1"/>
      <c r="BL3336" s="1"/>
      <c r="BM3336" s="1"/>
      <c r="BN3336" s="1"/>
      <c r="BO3336" s="1"/>
      <c r="BP3336" s="1"/>
      <c r="BQ3336" s="1"/>
      <c r="BR3336" s="1"/>
      <c r="BS3336" s="1"/>
      <c r="BT3336" s="1"/>
      <c r="BU3336" s="1"/>
      <c r="BV3336" s="1"/>
      <c r="BW3336" s="1"/>
      <c r="BX3336" s="1"/>
      <c r="BY3336" s="1"/>
      <c r="BZ3336" s="1"/>
      <c r="CA3336" s="1"/>
      <c r="CB3336" s="1"/>
      <c r="CC3336" s="1"/>
      <c r="CD3336" s="1"/>
      <c r="CE3336" s="1"/>
      <c r="CF3336" s="1"/>
      <c r="CG3336" s="1"/>
      <c r="CH3336" s="1"/>
      <c r="CI3336" s="1"/>
      <c r="CJ3336" s="1"/>
      <c r="CK3336" s="1"/>
      <c r="CM3336" s="15"/>
    </row>
    <row r="3337" spans="1:91" s="11" customFormat="1" x14ac:dyDescent="0.3">
      <c r="A3337" s="1" t="s">
        <v>60</v>
      </c>
      <c r="B3337" s="7">
        <v>40763</v>
      </c>
      <c r="C3337" s="1">
        <v>6</v>
      </c>
      <c r="D3337" s="1">
        <v>190</v>
      </c>
      <c r="E3337" s="1">
        <v>1</v>
      </c>
      <c r="F3337" s="1">
        <v>18</v>
      </c>
      <c r="G3337" s="1"/>
      <c r="H3337" s="1"/>
      <c r="I3337" s="1"/>
      <c r="J3337" s="3">
        <v>0</v>
      </c>
      <c r="K3337" s="3">
        <v>1</v>
      </c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  <c r="AA3337" s="1"/>
      <c r="AB3337" s="1"/>
      <c r="AC3337" s="1"/>
      <c r="AD3337" s="1"/>
      <c r="AE3337" s="1"/>
      <c r="AF3337" s="1"/>
      <c r="AG3337" s="1"/>
      <c r="AH3337" s="1"/>
      <c r="AI3337" s="1"/>
      <c r="AJ3337" s="1"/>
      <c r="AK3337" s="1"/>
      <c r="AL3337" s="1"/>
      <c r="AM3337" s="1"/>
      <c r="AN3337" s="1"/>
      <c r="AO3337" s="1"/>
      <c r="AP3337" s="1"/>
      <c r="AQ3337" s="1"/>
      <c r="AR3337" s="1"/>
      <c r="AS3337" s="1"/>
      <c r="AT3337" s="1"/>
      <c r="AU3337" s="1"/>
      <c r="AV3337" s="1"/>
      <c r="AW3337" s="1"/>
      <c r="AX3337" s="1"/>
      <c r="AY3337" s="1"/>
      <c r="AZ3337" s="1"/>
      <c r="BA3337" s="1"/>
      <c r="BB3337" s="1"/>
      <c r="BC3337" s="1"/>
      <c r="BD3337" s="1"/>
      <c r="BE3337" s="1"/>
      <c r="BF3337" s="1"/>
      <c r="BG3337" s="1"/>
      <c r="BH3337" s="1"/>
      <c r="BI3337" s="1"/>
      <c r="BJ3337" s="1"/>
      <c r="BK3337" s="1"/>
      <c r="BL3337" s="1"/>
      <c r="BM3337" s="1"/>
      <c r="BN3337" s="1"/>
      <c r="BO3337" s="1"/>
      <c r="BP3337" s="1"/>
      <c r="BQ3337" s="1"/>
      <c r="BR3337" s="1"/>
      <c r="BS3337" s="1"/>
      <c r="BT3337" s="1"/>
      <c r="BU3337" s="1"/>
      <c r="BV3337" s="1"/>
      <c r="BW3337" s="1"/>
      <c r="BX3337" s="1"/>
      <c r="BY3337" s="1"/>
      <c r="BZ3337" s="1"/>
      <c r="CA3337" s="1"/>
      <c r="CB3337" s="1"/>
      <c r="CC3337" s="1"/>
      <c r="CD3337" s="1"/>
      <c r="CE3337" s="1"/>
      <c r="CF3337" s="1"/>
      <c r="CG3337" s="1"/>
      <c r="CH3337" s="1"/>
      <c r="CI3337" s="1"/>
      <c r="CJ3337" s="1"/>
      <c r="CK3337" s="1"/>
      <c r="CM3337" s="15"/>
    </row>
    <row r="3338" spans="1:91" s="11" customFormat="1" x14ac:dyDescent="0.3">
      <c r="A3338" s="1" t="s">
        <v>60</v>
      </c>
      <c r="B3338" s="7">
        <v>40763</v>
      </c>
      <c r="C3338" s="1">
        <v>6</v>
      </c>
      <c r="D3338" s="1">
        <v>190</v>
      </c>
      <c r="E3338" s="1">
        <v>1</v>
      </c>
      <c r="F3338" s="1">
        <v>19</v>
      </c>
      <c r="G3338" s="1"/>
      <c r="H3338" s="1"/>
      <c r="I3338" s="1">
        <v>1</v>
      </c>
      <c r="J3338" s="1">
        <v>1</v>
      </c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  <c r="AA3338" s="1"/>
      <c r="AB3338" s="1"/>
      <c r="AC3338" s="1"/>
      <c r="AD3338" s="1"/>
      <c r="AE3338" s="1"/>
      <c r="AF3338" s="1"/>
      <c r="AG3338" s="1"/>
      <c r="AH3338" s="1"/>
      <c r="AI3338" s="1"/>
      <c r="AJ3338" s="1"/>
      <c r="AK3338" s="1"/>
      <c r="AL3338" s="1"/>
      <c r="AM3338" s="1"/>
      <c r="AN3338" s="1"/>
      <c r="AO3338" s="1"/>
      <c r="AP3338" s="1"/>
      <c r="AQ3338" s="1"/>
      <c r="AR3338" s="1"/>
      <c r="AS3338" s="1"/>
      <c r="AT3338" s="1"/>
      <c r="AU3338" s="1"/>
      <c r="AV3338" s="1"/>
      <c r="AW3338" s="1"/>
      <c r="AX3338" s="1"/>
      <c r="AY3338" s="1"/>
      <c r="AZ3338" s="1"/>
      <c r="BA3338" s="1"/>
      <c r="BB3338" s="1"/>
      <c r="BC3338" s="1"/>
      <c r="BD3338" s="1"/>
      <c r="BE3338" s="1"/>
      <c r="BF3338" s="1"/>
      <c r="BG3338" s="1"/>
      <c r="BH3338" s="1"/>
      <c r="BI3338" s="1"/>
      <c r="BJ3338" s="1"/>
      <c r="BK3338" s="1"/>
      <c r="BL3338" s="1"/>
      <c r="BM3338" s="1"/>
      <c r="BN3338" s="1"/>
      <c r="BO3338" s="1"/>
      <c r="BP3338" s="1"/>
      <c r="BQ3338" s="1"/>
      <c r="BR3338" s="1"/>
      <c r="BS3338" s="1"/>
      <c r="BT3338" s="1"/>
      <c r="BU3338" s="1"/>
      <c r="BV3338" s="1"/>
      <c r="BW3338" s="1"/>
      <c r="BX3338" s="1"/>
      <c r="BY3338" s="1"/>
      <c r="BZ3338" s="1"/>
      <c r="CA3338" s="1"/>
      <c r="CB3338" s="1"/>
      <c r="CC3338" s="1"/>
      <c r="CD3338" s="1"/>
      <c r="CE3338" s="1"/>
      <c r="CF3338" s="1"/>
      <c r="CG3338" s="1"/>
      <c r="CH3338" s="1"/>
      <c r="CI3338" s="1"/>
      <c r="CJ3338" s="1"/>
      <c r="CK3338" s="1"/>
      <c r="CM3338" s="15"/>
    </row>
    <row r="3339" spans="1:91" s="11" customFormat="1" x14ac:dyDescent="0.3">
      <c r="A3339" s="1" t="s">
        <v>60</v>
      </c>
      <c r="B3339" s="7">
        <v>40763</v>
      </c>
      <c r="C3339" s="1">
        <v>6</v>
      </c>
      <c r="D3339" s="1">
        <v>190</v>
      </c>
      <c r="E3339" s="1">
        <v>1</v>
      </c>
      <c r="F3339" s="1">
        <v>20</v>
      </c>
      <c r="G3339" s="1"/>
      <c r="H3339" s="1"/>
      <c r="I3339" s="1">
        <v>1</v>
      </c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  <c r="AA3339" s="1"/>
      <c r="AB3339" s="1"/>
      <c r="AC3339" s="1"/>
      <c r="AD3339" s="1"/>
      <c r="AE3339" s="1"/>
      <c r="AF3339" s="1"/>
      <c r="AG3339" s="1"/>
      <c r="AH3339" s="1"/>
      <c r="AI3339" s="1"/>
      <c r="AJ3339" s="1"/>
      <c r="AK3339" s="1"/>
      <c r="AL3339" s="1"/>
      <c r="AM3339" s="1"/>
      <c r="AN3339" s="1"/>
      <c r="AO3339" s="1"/>
      <c r="AP3339" s="1"/>
      <c r="AQ3339" s="1"/>
      <c r="AR3339" s="1"/>
      <c r="AS3339" s="1"/>
      <c r="AT3339" s="1"/>
      <c r="AU3339" s="1"/>
      <c r="AV3339" s="1"/>
      <c r="AW3339" s="1"/>
      <c r="AX3339" s="1"/>
      <c r="AY3339" s="1"/>
      <c r="AZ3339" s="1"/>
      <c r="BA3339" s="1"/>
      <c r="BB3339" s="1"/>
      <c r="BC3339" s="1"/>
      <c r="BD3339" s="1"/>
      <c r="BE3339" s="1"/>
      <c r="BF3339" s="1"/>
      <c r="BG3339" s="1"/>
      <c r="BH3339" s="1"/>
      <c r="BI3339" s="1"/>
      <c r="BJ3339" s="1"/>
      <c r="BK3339" s="1"/>
      <c r="BL3339" s="1"/>
      <c r="BM3339" s="1"/>
      <c r="BN3339" s="1"/>
      <c r="BO3339" s="1"/>
      <c r="BP3339" s="1"/>
      <c r="BQ3339" s="1"/>
      <c r="BR3339" s="1"/>
      <c r="BS3339" s="1"/>
      <c r="BT3339" s="1"/>
      <c r="BU3339" s="1"/>
      <c r="BV3339" s="1"/>
      <c r="BW3339" s="1"/>
      <c r="BX3339" s="1"/>
      <c r="BY3339" s="1"/>
      <c r="BZ3339" s="1"/>
      <c r="CA3339" s="1"/>
      <c r="CB3339" s="1"/>
      <c r="CC3339" s="1"/>
      <c r="CD3339" s="1"/>
      <c r="CE3339" s="1"/>
      <c r="CF3339" s="1"/>
      <c r="CG3339" s="1"/>
      <c r="CH3339" s="1"/>
      <c r="CI3339" s="1"/>
      <c r="CJ3339" s="1"/>
      <c r="CK3339" s="1"/>
      <c r="CM3339" s="15"/>
    </row>
    <row r="3340" spans="1:91" s="11" customFormat="1" x14ac:dyDescent="0.3">
      <c r="A3340" s="1" t="s">
        <v>60</v>
      </c>
      <c r="B3340" s="7">
        <v>40763</v>
      </c>
      <c r="C3340" s="1">
        <v>6</v>
      </c>
      <c r="D3340" s="1">
        <v>190</v>
      </c>
      <c r="E3340" s="1">
        <v>1</v>
      </c>
      <c r="F3340" s="1">
        <v>21</v>
      </c>
      <c r="G3340" s="1"/>
      <c r="H3340" s="1"/>
      <c r="I3340" s="1"/>
      <c r="J3340" s="1"/>
      <c r="K3340" s="1"/>
      <c r="L3340" s="1">
        <v>1</v>
      </c>
      <c r="M3340" s="1"/>
      <c r="N3340" s="1"/>
      <c r="O3340" s="1"/>
      <c r="P3340" s="1"/>
      <c r="Q3340" s="1"/>
      <c r="R3340" s="1">
        <v>1</v>
      </c>
      <c r="S3340" s="1"/>
      <c r="T3340" s="1"/>
      <c r="U3340" s="1"/>
      <c r="V3340" s="1"/>
      <c r="W3340" s="1"/>
      <c r="X3340" s="1"/>
      <c r="Y3340" s="1"/>
      <c r="Z3340" s="1"/>
      <c r="AA3340" s="1"/>
      <c r="AB3340" s="1"/>
      <c r="AC3340" s="1"/>
      <c r="AD3340" s="1"/>
      <c r="AE3340" s="1"/>
      <c r="AF3340" s="1"/>
      <c r="AG3340" s="1"/>
      <c r="AH3340" s="1"/>
      <c r="AI3340" s="1">
        <v>1</v>
      </c>
      <c r="AJ3340" s="1"/>
      <c r="AK3340" s="1"/>
      <c r="AL3340" s="1"/>
      <c r="AM3340" s="1"/>
      <c r="AN3340" s="1"/>
      <c r="AO3340" s="1"/>
      <c r="AP3340" s="1"/>
      <c r="AQ3340" s="1"/>
      <c r="AR3340" s="1"/>
      <c r="AS3340" s="1"/>
      <c r="AT3340" s="1"/>
      <c r="AU3340" s="1"/>
      <c r="AV3340" s="1"/>
      <c r="AW3340" s="1"/>
      <c r="AX3340" s="1"/>
      <c r="AY3340" s="1"/>
      <c r="AZ3340" s="1"/>
      <c r="BA3340" s="1"/>
      <c r="BB3340" s="1"/>
      <c r="BC3340" s="1"/>
      <c r="BD3340" s="1"/>
      <c r="BE3340" s="1"/>
      <c r="BF3340" s="1"/>
      <c r="BG3340" s="1"/>
      <c r="BH3340" s="1"/>
      <c r="BI3340" s="1"/>
      <c r="BJ3340" s="1"/>
      <c r="BK3340" s="1"/>
      <c r="BL3340" s="1"/>
      <c r="BM3340" s="1"/>
      <c r="BN3340" s="1"/>
      <c r="BO3340" s="1"/>
      <c r="BP3340" s="1"/>
      <c r="BQ3340" s="1"/>
      <c r="BR3340" s="1"/>
      <c r="BS3340" s="1"/>
      <c r="BT3340" s="1"/>
      <c r="BU3340" s="1"/>
      <c r="BV3340" s="1"/>
      <c r="BW3340" s="1"/>
      <c r="BX3340" s="1"/>
      <c r="BY3340" s="1"/>
      <c r="BZ3340" s="1"/>
      <c r="CA3340" s="1"/>
      <c r="CB3340" s="1"/>
      <c r="CC3340" s="1"/>
      <c r="CD3340" s="1"/>
      <c r="CE3340" s="1"/>
      <c r="CF3340" s="1"/>
      <c r="CG3340" s="1"/>
      <c r="CH3340" s="1"/>
      <c r="CI3340" s="1"/>
      <c r="CJ3340" s="1"/>
      <c r="CK3340" s="1"/>
      <c r="CM3340" s="15"/>
    </row>
    <row r="3341" spans="1:91" s="11" customFormat="1" x14ac:dyDescent="0.3">
      <c r="A3341" s="1" t="s">
        <v>60</v>
      </c>
      <c r="B3341" s="7">
        <v>40763</v>
      </c>
      <c r="C3341" s="1">
        <v>6</v>
      </c>
      <c r="D3341" s="1">
        <v>190</v>
      </c>
      <c r="E3341" s="1">
        <v>1</v>
      </c>
      <c r="F3341" s="1">
        <v>22</v>
      </c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>
        <v>1</v>
      </c>
      <c r="S3341" s="1"/>
      <c r="T3341" s="1"/>
      <c r="U3341" s="1"/>
      <c r="V3341" s="1"/>
      <c r="W3341" s="1"/>
      <c r="X3341" s="1"/>
      <c r="Y3341" s="1"/>
      <c r="Z3341" s="1"/>
      <c r="AA3341" s="1"/>
      <c r="AB3341" s="1"/>
      <c r="AC3341" s="1"/>
      <c r="AD3341" s="1"/>
      <c r="AE3341" s="1"/>
      <c r="AF3341" s="1"/>
      <c r="AG3341" s="1"/>
      <c r="AH3341" s="1"/>
      <c r="AI3341" s="1"/>
      <c r="AJ3341" s="1"/>
      <c r="AK3341" s="1">
        <v>1</v>
      </c>
      <c r="AL3341" s="1"/>
      <c r="AM3341" s="1"/>
      <c r="AN3341" s="1"/>
      <c r="AO3341" s="1"/>
      <c r="AP3341" s="1"/>
      <c r="AQ3341" s="1"/>
      <c r="AR3341" s="1"/>
      <c r="AS3341" s="1"/>
      <c r="AT3341" s="1"/>
      <c r="AU3341" s="1"/>
      <c r="AV3341" s="1"/>
      <c r="AW3341" s="1"/>
      <c r="AX3341" s="1"/>
      <c r="AY3341" s="1"/>
      <c r="AZ3341" s="1"/>
      <c r="BA3341" s="1"/>
      <c r="BB3341" s="1"/>
      <c r="BC3341" s="1"/>
      <c r="BD3341" s="1"/>
      <c r="BE3341" s="1"/>
      <c r="BF3341" s="1"/>
      <c r="BG3341" s="1"/>
      <c r="BH3341" s="1"/>
      <c r="BI3341" s="1"/>
      <c r="BJ3341" s="1"/>
      <c r="BK3341" s="1"/>
      <c r="BL3341" s="1"/>
      <c r="BM3341" s="1"/>
      <c r="BN3341" s="1"/>
      <c r="BO3341" s="1"/>
      <c r="BP3341" s="1"/>
      <c r="BQ3341" s="1"/>
      <c r="BR3341" s="1"/>
      <c r="BS3341" s="1"/>
      <c r="BT3341" s="1"/>
      <c r="BU3341" s="1"/>
      <c r="BV3341" s="1"/>
      <c r="BW3341" s="1"/>
      <c r="BX3341" s="1"/>
      <c r="BY3341" s="1"/>
      <c r="BZ3341" s="1"/>
      <c r="CA3341" s="1"/>
      <c r="CB3341" s="1"/>
      <c r="CC3341" s="1"/>
      <c r="CD3341" s="1"/>
      <c r="CE3341" s="1"/>
      <c r="CF3341" s="1"/>
      <c r="CG3341" s="1"/>
      <c r="CH3341" s="1"/>
      <c r="CI3341" s="1"/>
      <c r="CJ3341" s="1"/>
      <c r="CK3341" s="1"/>
      <c r="CM3341" s="15"/>
    </row>
    <row r="3342" spans="1:91" s="11" customFormat="1" x14ac:dyDescent="0.3">
      <c r="A3342" s="1" t="s">
        <v>60</v>
      </c>
      <c r="B3342" s="7">
        <v>40763</v>
      </c>
      <c r="C3342" s="1">
        <v>6</v>
      </c>
      <c r="D3342" s="1">
        <v>190</v>
      </c>
      <c r="E3342" s="1">
        <v>1</v>
      </c>
      <c r="F3342" s="1">
        <v>23</v>
      </c>
      <c r="G3342" s="1"/>
      <c r="H3342" s="1"/>
      <c r="I3342" s="1"/>
      <c r="J3342" s="1">
        <v>1</v>
      </c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  <c r="AA3342" s="1"/>
      <c r="AB3342" s="1"/>
      <c r="AC3342" s="1"/>
      <c r="AD3342" s="1"/>
      <c r="AE3342" s="1"/>
      <c r="AF3342" s="1"/>
      <c r="AG3342" s="1"/>
      <c r="AH3342" s="1"/>
      <c r="AI3342" s="1"/>
      <c r="AJ3342" s="1"/>
      <c r="AK3342" s="1"/>
      <c r="AL3342" s="1"/>
      <c r="AM3342" s="1"/>
      <c r="AN3342" s="1"/>
      <c r="AO3342" s="1"/>
      <c r="AP3342" s="1"/>
      <c r="AQ3342" s="1"/>
      <c r="AR3342" s="1"/>
      <c r="AS3342" s="1"/>
      <c r="AT3342" s="1"/>
      <c r="AU3342" s="1"/>
      <c r="AV3342" s="1"/>
      <c r="AW3342" s="1"/>
      <c r="AX3342" s="1"/>
      <c r="AY3342" s="1"/>
      <c r="AZ3342" s="1"/>
      <c r="BA3342" s="1"/>
      <c r="BB3342" s="1"/>
      <c r="BC3342" s="1"/>
      <c r="BD3342" s="1"/>
      <c r="BE3342" s="1"/>
      <c r="BF3342" s="1"/>
      <c r="BG3342" s="1"/>
      <c r="BH3342" s="1"/>
      <c r="BI3342" s="1"/>
      <c r="BJ3342" s="1"/>
      <c r="BK3342" s="1"/>
      <c r="BL3342" s="1"/>
      <c r="BM3342" s="1"/>
      <c r="BN3342" s="1"/>
      <c r="BO3342" s="1"/>
      <c r="BP3342" s="1"/>
      <c r="BQ3342" s="1"/>
      <c r="BR3342" s="1"/>
      <c r="BS3342" s="1">
        <v>1</v>
      </c>
      <c r="BT3342" s="1"/>
      <c r="BU3342" s="1"/>
      <c r="BV3342" s="1"/>
      <c r="BW3342" s="1"/>
      <c r="BX3342" s="1"/>
      <c r="BY3342" s="1"/>
      <c r="BZ3342" s="1"/>
      <c r="CA3342" s="1"/>
      <c r="CB3342" s="1"/>
      <c r="CC3342" s="1"/>
      <c r="CD3342" s="1"/>
      <c r="CE3342" s="1"/>
      <c r="CF3342" s="1"/>
      <c r="CG3342" s="1"/>
      <c r="CH3342" s="1"/>
      <c r="CI3342" s="1"/>
      <c r="CJ3342" s="1"/>
      <c r="CK3342" s="1"/>
      <c r="CM3342" s="15"/>
    </row>
    <row r="3343" spans="1:91" s="11" customFormat="1" x14ac:dyDescent="0.3">
      <c r="A3343" s="1" t="s">
        <v>60</v>
      </c>
      <c r="B3343" s="7">
        <v>40763</v>
      </c>
      <c r="C3343" s="1">
        <v>6</v>
      </c>
      <c r="D3343" s="1">
        <v>190</v>
      </c>
      <c r="E3343" s="1">
        <v>1</v>
      </c>
      <c r="F3343" s="1">
        <v>24</v>
      </c>
      <c r="G3343" s="1"/>
      <c r="H3343" s="1">
        <v>1</v>
      </c>
      <c r="I3343" s="1"/>
      <c r="J3343" s="3">
        <v>0</v>
      </c>
      <c r="K3343" s="3">
        <v>1</v>
      </c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  <c r="AA3343" s="1"/>
      <c r="AB3343" s="1"/>
      <c r="AC3343" s="1"/>
      <c r="AD3343" s="1"/>
      <c r="AE3343" s="1"/>
      <c r="AF3343" s="1"/>
      <c r="AG3343" s="1"/>
      <c r="AH3343" s="1"/>
      <c r="AI3343" s="1"/>
      <c r="AJ3343" s="1"/>
      <c r="AK3343" s="1"/>
      <c r="AL3343" s="1"/>
      <c r="AM3343" s="1"/>
      <c r="AN3343" s="1"/>
      <c r="AO3343" s="1"/>
      <c r="AP3343" s="1"/>
      <c r="AQ3343" s="1"/>
      <c r="AR3343" s="1"/>
      <c r="AS3343" s="1"/>
      <c r="AT3343" s="1"/>
      <c r="AU3343" s="1"/>
      <c r="AV3343" s="1"/>
      <c r="AW3343" s="1"/>
      <c r="AX3343" s="1"/>
      <c r="AY3343" s="1"/>
      <c r="AZ3343" s="1"/>
      <c r="BA3343" s="1"/>
      <c r="BB3343" s="1"/>
      <c r="BC3343" s="1"/>
      <c r="BD3343" s="1"/>
      <c r="BE3343" s="1"/>
      <c r="BF3343" s="1"/>
      <c r="BG3343" s="1"/>
      <c r="BH3343" s="1"/>
      <c r="BI3343" s="1"/>
      <c r="BJ3343" s="1"/>
      <c r="BK3343" s="1"/>
      <c r="BL3343" s="1"/>
      <c r="BM3343" s="1"/>
      <c r="BN3343" s="1"/>
      <c r="BO3343" s="1"/>
      <c r="BP3343" s="1"/>
      <c r="BQ3343" s="1"/>
      <c r="BR3343" s="1"/>
      <c r="BS3343" s="1"/>
      <c r="BT3343" s="1"/>
      <c r="BU3343" s="1"/>
      <c r="BV3343" s="1"/>
      <c r="BW3343" s="1"/>
      <c r="BX3343" s="1"/>
      <c r="BY3343" s="1"/>
      <c r="BZ3343" s="1"/>
      <c r="CA3343" s="1"/>
      <c r="CB3343" s="1"/>
      <c r="CC3343" s="1"/>
      <c r="CD3343" s="1"/>
      <c r="CE3343" s="1"/>
      <c r="CF3343" s="1"/>
      <c r="CG3343" s="1"/>
      <c r="CH3343" s="1"/>
      <c r="CI3343" s="1"/>
      <c r="CJ3343" s="1"/>
      <c r="CK3343" s="1"/>
      <c r="CM3343" s="15"/>
    </row>
    <row r="3344" spans="1:91" s="11" customFormat="1" x14ac:dyDescent="0.3">
      <c r="A3344" s="1" t="s">
        <v>60</v>
      </c>
      <c r="B3344" s="7">
        <v>40763</v>
      </c>
      <c r="C3344" s="1">
        <v>6</v>
      </c>
      <c r="D3344" s="1">
        <v>190</v>
      </c>
      <c r="E3344" s="1">
        <v>1</v>
      </c>
      <c r="F3344" s="1">
        <v>25</v>
      </c>
      <c r="G3344" s="1"/>
      <c r="H3344" s="1"/>
      <c r="I3344" s="1"/>
      <c r="J3344" s="1">
        <v>1</v>
      </c>
      <c r="K3344" s="1"/>
      <c r="L3344" s="1"/>
      <c r="M3344" s="1"/>
      <c r="N3344" s="1"/>
      <c r="O3344" s="1"/>
      <c r="P3344" s="1"/>
      <c r="Q3344" s="1"/>
      <c r="R3344" s="3">
        <v>0</v>
      </c>
      <c r="S3344" s="3">
        <v>1</v>
      </c>
      <c r="T3344" s="1"/>
      <c r="U3344" s="1"/>
      <c r="V3344" s="1"/>
      <c r="W3344" s="1"/>
      <c r="X3344" s="1"/>
      <c r="Y3344" s="1"/>
      <c r="Z3344" s="1"/>
      <c r="AA3344" s="1"/>
      <c r="AB3344" s="1"/>
      <c r="AC3344" s="1"/>
      <c r="AD3344" s="1"/>
      <c r="AE3344" s="1"/>
      <c r="AF3344" s="1"/>
      <c r="AG3344" s="1"/>
      <c r="AH3344" s="1"/>
      <c r="AI3344" s="1"/>
      <c r="AJ3344" s="1"/>
      <c r="AK3344" s="1"/>
      <c r="AL3344" s="1"/>
      <c r="AM3344" s="1"/>
      <c r="AN3344" s="1"/>
      <c r="AO3344" s="1"/>
      <c r="AP3344" s="1"/>
      <c r="AQ3344" s="1"/>
      <c r="AR3344" s="1"/>
      <c r="AS3344" s="1"/>
      <c r="AT3344" s="1"/>
      <c r="AU3344" s="1"/>
      <c r="AV3344" s="1"/>
      <c r="AW3344" s="1"/>
      <c r="AX3344" s="1"/>
      <c r="AY3344" s="1"/>
      <c r="AZ3344" s="1"/>
      <c r="BA3344" s="1"/>
      <c r="BB3344" s="1"/>
      <c r="BC3344" s="1"/>
      <c r="BD3344" s="1"/>
      <c r="BE3344" s="1"/>
      <c r="BF3344" s="1"/>
      <c r="BG3344" s="1"/>
      <c r="BH3344" s="1"/>
      <c r="BI3344" s="1"/>
      <c r="BJ3344" s="1"/>
      <c r="BK3344" s="1"/>
      <c r="BL3344" s="1"/>
      <c r="BM3344" s="1"/>
      <c r="BN3344" s="1"/>
      <c r="BO3344" s="1"/>
      <c r="BP3344" s="1"/>
      <c r="BQ3344" s="1"/>
      <c r="BR3344" s="1"/>
      <c r="BS3344" s="1"/>
      <c r="BT3344" s="1"/>
      <c r="BU3344" s="1"/>
      <c r="BV3344" s="1"/>
      <c r="BW3344" s="1"/>
      <c r="BX3344" s="1"/>
      <c r="BY3344" s="1"/>
      <c r="BZ3344" s="1"/>
      <c r="CA3344" s="1"/>
      <c r="CB3344" s="1"/>
      <c r="CC3344" s="1"/>
      <c r="CD3344" s="1"/>
      <c r="CE3344" s="1"/>
      <c r="CF3344" s="1"/>
      <c r="CG3344" s="1"/>
      <c r="CH3344" s="1"/>
      <c r="CI3344" s="1"/>
      <c r="CJ3344" s="1"/>
      <c r="CK3344" s="1"/>
      <c r="CM3344" s="15"/>
    </row>
    <row r="3345" spans="1:91" s="11" customFormat="1" x14ac:dyDescent="0.3">
      <c r="A3345" s="1" t="s">
        <v>60</v>
      </c>
      <c r="B3345" s="7">
        <v>40763</v>
      </c>
      <c r="C3345" s="1">
        <v>6</v>
      </c>
      <c r="D3345" s="1">
        <v>190</v>
      </c>
      <c r="E3345" s="1">
        <v>1</v>
      </c>
      <c r="F3345" s="1">
        <v>26</v>
      </c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>
        <v>1</v>
      </c>
      <c r="S3345" s="1"/>
      <c r="T3345" s="1"/>
      <c r="U3345" s="1"/>
      <c r="V3345" s="1"/>
      <c r="W3345" s="1"/>
      <c r="X3345" s="1"/>
      <c r="Y3345" s="1"/>
      <c r="Z3345" s="1"/>
      <c r="AA3345" s="1"/>
      <c r="AB3345" s="1"/>
      <c r="AC3345" s="1"/>
      <c r="AD3345" s="1"/>
      <c r="AE3345" s="1"/>
      <c r="AF3345" s="1"/>
      <c r="AG3345" s="1"/>
      <c r="AH3345" s="1"/>
      <c r="AI3345" s="1"/>
      <c r="AJ3345" s="1"/>
      <c r="AK3345" s="1"/>
      <c r="AL3345" s="1"/>
      <c r="AM3345" s="1"/>
      <c r="AN3345" s="1"/>
      <c r="AO3345" s="1"/>
      <c r="AP3345" s="1"/>
      <c r="AQ3345" s="1"/>
      <c r="AR3345" s="1"/>
      <c r="AS3345" s="1"/>
      <c r="AT3345" s="1"/>
      <c r="AU3345" s="1"/>
      <c r="AV3345" s="1"/>
      <c r="AW3345" s="1"/>
      <c r="AX3345" s="1"/>
      <c r="AY3345" s="1"/>
      <c r="AZ3345" s="1"/>
      <c r="BA3345" s="1"/>
      <c r="BB3345" s="1"/>
      <c r="BC3345" s="1"/>
      <c r="BD3345" s="1"/>
      <c r="BE3345" s="1"/>
      <c r="BF3345" s="1"/>
      <c r="BG3345" s="1"/>
      <c r="BH3345" s="1"/>
      <c r="BI3345" s="1"/>
      <c r="BJ3345" s="1"/>
      <c r="BK3345" s="1"/>
      <c r="BL3345" s="1"/>
      <c r="BM3345" s="1"/>
      <c r="BN3345" s="1"/>
      <c r="BO3345" s="1"/>
      <c r="BP3345" s="1"/>
      <c r="BQ3345" s="1"/>
      <c r="BR3345" s="1"/>
      <c r="BS3345" s="3">
        <v>0</v>
      </c>
      <c r="BT3345" s="3">
        <v>1</v>
      </c>
      <c r="BU3345" s="1"/>
      <c r="BV3345" s="1"/>
      <c r="BW3345" s="1"/>
      <c r="BX3345" s="1"/>
      <c r="BY3345" s="1"/>
      <c r="BZ3345" s="1"/>
      <c r="CA3345" s="1"/>
      <c r="CB3345" s="1"/>
      <c r="CC3345" s="1"/>
      <c r="CD3345" s="1"/>
      <c r="CE3345" s="1"/>
      <c r="CF3345" s="1"/>
      <c r="CG3345" s="1"/>
      <c r="CH3345" s="1"/>
      <c r="CI3345" s="1"/>
      <c r="CJ3345" s="1"/>
      <c r="CK3345" s="1"/>
      <c r="CM3345" s="15"/>
    </row>
    <row r="3346" spans="1:91" s="11" customFormat="1" x14ac:dyDescent="0.3">
      <c r="A3346" s="1" t="s">
        <v>60</v>
      </c>
      <c r="B3346" s="7">
        <v>40763</v>
      </c>
      <c r="C3346" s="1">
        <v>6</v>
      </c>
      <c r="D3346" s="1">
        <v>190</v>
      </c>
      <c r="E3346" s="1">
        <v>1</v>
      </c>
      <c r="F3346" s="1">
        <v>27</v>
      </c>
      <c r="G3346" s="1"/>
      <c r="H3346" s="1">
        <v>1</v>
      </c>
      <c r="I3346" s="1"/>
      <c r="J3346" s="1">
        <v>1</v>
      </c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  <c r="AA3346" s="1"/>
      <c r="AB3346" s="1"/>
      <c r="AC3346" s="1"/>
      <c r="AD3346" s="1"/>
      <c r="AE3346" s="1"/>
      <c r="AF3346" s="1"/>
      <c r="AG3346" s="1"/>
      <c r="AH3346" s="1"/>
      <c r="AI3346" s="1"/>
      <c r="AJ3346" s="1"/>
      <c r="AK3346" s="1"/>
      <c r="AL3346" s="1"/>
      <c r="AM3346" s="1"/>
      <c r="AN3346" s="1"/>
      <c r="AO3346" s="1"/>
      <c r="AP3346" s="1"/>
      <c r="AQ3346" s="1"/>
      <c r="AR3346" s="1"/>
      <c r="AS3346" s="1"/>
      <c r="AT3346" s="1"/>
      <c r="AU3346" s="1"/>
      <c r="AV3346" s="1"/>
      <c r="AW3346" s="1"/>
      <c r="AX3346" s="1"/>
      <c r="AY3346" s="1"/>
      <c r="AZ3346" s="1"/>
      <c r="BA3346" s="1"/>
      <c r="BB3346" s="1"/>
      <c r="BC3346" s="1"/>
      <c r="BD3346" s="1"/>
      <c r="BE3346" s="1"/>
      <c r="BF3346" s="1"/>
      <c r="BG3346" s="1"/>
      <c r="BH3346" s="1"/>
      <c r="BI3346" s="1"/>
      <c r="BJ3346" s="1"/>
      <c r="BK3346" s="1"/>
      <c r="BL3346" s="1"/>
      <c r="BM3346" s="1"/>
      <c r="BN3346" s="1"/>
      <c r="BO3346" s="1"/>
      <c r="BP3346" s="1"/>
      <c r="BQ3346" s="1"/>
      <c r="BR3346" s="1"/>
      <c r="BS3346" s="1"/>
      <c r="BT3346" s="1"/>
      <c r="BU3346" s="1"/>
      <c r="BV3346" s="1"/>
      <c r="BW3346" s="1"/>
      <c r="BX3346" s="1"/>
      <c r="BY3346" s="1"/>
      <c r="BZ3346" s="1"/>
      <c r="CA3346" s="1"/>
      <c r="CB3346" s="1"/>
      <c r="CC3346" s="1"/>
      <c r="CD3346" s="1"/>
      <c r="CE3346" s="1"/>
      <c r="CF3346" s="1"/>
      <c r="CG3346" s="1"/>
      <c r="CH3346" s="1"/>
      <c r="CI3346" s="1"/>
      <c r="CJ3346" s="1"/>
      <c r="CK3346" s="1"/>
      <c r="CM3346" s="15"/>
    </row>
    <row r="3347" spans="1:91" s="11" customFormat="1" x14ac:dyDescent="0.3">
      <c r="A3347" s="1" t="s">
        <v>60</v>
      </c>
      <c r="B3347" s="7">
        <v>40763</v>
      </c>
      <c r="C3347" s="1">
        <v>6</v>
      </c>
      <c r="D3347" s="1">
        <v>190</v>
      </c>
      <c r="E3347" s="1">
        <v>1</v>
      </c>
      <c r="F3347" s="1">
        <v>28</v>
      </c>
      <c r="G3347" s="1"/>
      <c r="H3347" s="1"/>
      <c r="I3347" s="1">
        <v>1</v>
      </c>
      <c r="J3347" s="3">
        <v>0</v>
      </c>
      <c r="K3347" s="3">
        <v>1</v>
      </c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  <c r="AA3347" s="1"/>
      <c r="AB3347" s="1"/>
      <c r="AC3347" s="1"/>
      <c r="AD3347" s="1"/>
      <c r="AE3347" s="1"/>
      <c r="AF3347" s="1"/>
      <c r="AG3347" s="1"/>
      <c r="AH3347" s="1"/>
      <c r="AI3347" s="1"/>
      <c r="AJ3347" s="1"/>
      <c r="AK3347" s="1"/>
      <c r="AL3347" s="1"/>
      <c r="AM3347" s="1"/>
      <c r="AN3347" s="1"/>
      <c r="AO3347" s="1"/>
      <c r="AP3347" s="1"/>
      <c r="AQ3347" s="1"/>
      <c r="AR3347" s="1"/>
      <c r="AS3347" s="1"/>
      <c r="AT3347" s="1"/>
      <c r="AU3347" s="1"/>
      <c r="AV3347" s="1"/>
      <c r="AW3347" s="1"/>
      <c r="AX3347" s="1"/>
      <c r="AY3347" s="1"/>
      <c r="AZ3347" s="1"/>
      <c r="BA3347" s="1"/>
      <c r="BB3347" s="1"/>
      <c r="BC3347" s="1"/>
      <c r="BD3347" s="1"/>
      <c r="BE3347" s="1"/>
      <c r="BF3347" s="1"/>
      <c r="BG3347" s="1"/>
      <c r="BH3347" s="1"/>
      <c r="BI3347" s="1"/>
      <c r="BJ3347" s="1"/>
      <c r="BK3347" s="1"/>
      <c r="BL3347" s="1"/>
      <c r="BM3347" s="1"/>
      <c r="BN3347" s="1"/>
      <c r="BO3347" s="1"/>
      <c r="BP3347" s="1"/>
      <c r="BQ3347" s="1"/>
      <c r="BR3347" s="1"/>
      <c r="BS3347" s="1"/>
      <c r="BT3347" s="1"/>
      <c r="BU3347" s="1"/>
      <c r="BV3347" s="1"/>
      <c r="BW3347" s="1"/>
      <c r="BX3347" s="1"/>
      <c r="BY3347" s="1"/>
      <c r="BZ3347" s="1"/>
      <c r="CA3347" s="1"/>
      <c r="CB3347" s="1"/>
      <c r="CC3347" s="1"/>
      <c r="CD3347" s="1"/>
      <c r="CE3347" s="1"/>
      <c r="CF3347" s="1"/>
      <c r="CG3347" s="1"/>
      <c r="CH3347" s="1"/>
      <c r="CI3347" s="1"/>
      <c r="CJ3347" s="1"/>
      <c r="CK3347" s="1"/>
      <c r="CM3347" s="15"/>
    </row>
    <row r="3348" spans="1:91" s="11" customFormat="1" x14ac:dyDescent="0.3">
      <c r="A3348" s="1" t="s">
        <v>60</v>
      </c>
      <c r="B3348" s="7">
        <v>40763</v>
      </c>
      <c r="C3348" s="1">
        <v>6</v>
      </c>
      <c r="D3348" s="1">
        <v>190</v>
      </c>
      <c r="E3348" s="1">
        <v>1</v>
      </c>
      <c r="F3348" s="1">
        <v>29</v>
      </c>
      <c r="G3348" s="1"/>
      <c r="H3348" s="1"/>
      <c r="I3348" s="1"/>
      <c r="J3348" s="1">
        <v>1</v>
      </c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  <c r="AA3348" s="1"/>
      <c r="AB3348" s="1"/>
      <c r="AC3348" s="1"/>
      <c r="AD3348" s="1"/>
      <c r="AE3348" s="1"/>
      <c r="AF3348" s="1"/>
      <c r="AG3348" s="1"/>
      <c r="AH3348" s="1"/>
      <c r="AI3348" s="1"/>
      <c r="AJ3348" s="1"/>
      <c r="AK3348" s="1"/>
      <c r="AL3348" s="1"/>
      <c r="AM3348" s="1"/>
      <c r="AN3348" s="1"/>
      <c r="AO3348" s="1"/>
      <c r="AP3348" s="1"/>
      <c r="AQ3348" s="1"/>
      <c r="AR3348" s="1"/>
      <c r="AS3348" s="1"/>
      <c r="AT3348" s="1"/>
      <c r="AU3348" s="1"/>
      <c r="AV3348" s="1"/>
      <c r="AW3348" s="1"/>
      <c r="AX3348" s="1"/>
      <c r="AY3348" s="1"/>
      <c r="AZ3348" s="1"/>
      <c r="BA3348" s="1"/>
      <c r="BB3348" s="1"/>
      <c r="BC3348" s="1"/>
      <c r="BD3348" s="1"/>
      <c r="BE3348" s="1"/>
      <c r="BF3348" s="1"/>
      <c r="BG3348" s="1"/>
      <c r="BH3348" s="1"/>
      <c r="BI3348" s="1"/>
      <c r="BJ3348" s="1"/>
      <c r="BK3348" s="1"/>
      <c r="BL3348" s="1"/>
      <c r="BM3348" s="1"/>
      <c r="BN3348" s="1"/>
      <c r="BO3348" s="1"/>
      <c r="BP3348" s="1"/>
      <c r="BQ3348" s="1"/>
      <c r="BR3348" s="1"/>
      <c r="BS3348" s="1"/>
      <c r="BT3348" s="1"/>
      <c r="BU3348" s="1"/>
      <c r="BV3348" s="1"/>
      <c r="BW3348" s="1"/>
      <c r="BX3348" s="1"/>
      <c r="BY3348" s="1"/>
      <c r="BZ3348" s="1"/>
      <c r="CA3348" s="1"/>
      <c r="CB3348" s="1"/>
      <c r="CC3348" s="1"/>
      <c r="CD3348" s="1"/>
      <c r="CE3348" s="1"/>
      <c r="CF3348" s="1"/>
      <c r="CG3348" s="1"/>
      <c r="CH3348" s="1"/>
      <c r="CI3348" s="1"/>
      <c r="CJ3348" s="1"/>
      <c r="CK3348" s="1"/>
      <c r="CM3348" s="15"/>
    </row>
    <row r="3349" spans="1:91" s="11" customFormat="1" x14ac:dyDescent="0.3">
      <c r="A3349" s="1" t="s">
        <v>60</v>
      </c>
      <c r="B3349" s="7">
        <v>40763</v>
      </c>
      <c r="C3349" s="1">
        <v>6</v>
      </c>
      <c r="D3349" s="1">
        <v>190</v>
      </c>
      <c r="E3349" s="1">
        <v>1</v>
      </c>
      <c r="F3349" s="1">
        <v>30</v>
      </c>
      <c r="G3349" s="1"/>
      <c r="H3349" s="1"/>
      <c r="I3349" s="1"/>
      <c r="J3349" s="1">
        <v>1</v>
      </c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  <c r="AA3349" s="1"/>
      <c r="AB3349" s="1"/>
      <c r="AC3349" s="1"/>
      <c r="AD3349" s="1"/>
      <c r="AE3349" s="1"/>
      <c r="AF3349" s="1"/>
      <c r="AG3349" s="1"/>
      <c r="AH3349" s="1"/>
      <c r="AI3349" s="1"/>
      <c r="AJ3349" s="1"/>
      <c r="AK3349" s="1"/>
      <c r="AL3349" s="1"/>
      <c r="AM3349" s="1"/>
      <c r="AN3349" s="1"/>
      <c r="AO3349" s="1"/>
      <c r="AP3349" s="1"/>
      <c r="AQ3349" s="1"/>
      <c r="AR3349" s="1"/>
      <c r="AS3349" s="1"/>
      <c r="AT3349" s="1"/>
      <c r="AU3349" s="1"/>
      <c r="AV3349" s="1"/>
      <c r="AW3349" s="1"/>
      <c r="AX3349" s="1"/>
      <c r="AY3349" s="1"/>
      <c r="AZ3349" s="1"/>
      <c r="BA3349" s="1"/>
      <c r="BB3349" s="1"/>
      <c r="BC3349" s="1"/>
      <c r="BD3349" s="1"/>
      <c r="BE3349" s="1"/>
      <c r="BF3349" s="1"/>
      <c r="BG3349" s="1"/>
      <c r="BH3349" s="1"/>
      <c r="BI3349" s="1"/>
      <c r="BJ3349" s="1"/>
      <c r="BK3349" s="1"/>
      <c r="BL3349" s="1"/>
      <c r="BM3349" s="1"/>
      <c r="BN3349" s="1"/>
      <c r="BO3349" s="1"/>
      <c r="BP3349" s="1"/>
      <c r="BQ3349" s="1"/>
      <c r="BR3349" s="1"/>
      <c r="BS3349" s="1"/>
      <c r="BT3349" s="1"/>
      <c r="BU3349" s="1"/>
      <c r="BV3349" s="1"/>
      <c r="BW3349" s="1"/>
      <c r="BX3349" s="1"/>
      <c r="BY3349" s="1"/>
      <c r="BZ3349" s="1"/>
      <c r="CA3349" s="1"/>
      <c r="CB3349" s="1"/>
      <c r="CC3349" s="1"/>
      <c r="CD3349" s="1"/>
      <c r="CE3349" s="1"/>
      <c r="CF3349" s="1"/>
      <c r="CG3349" s="1"/>
      <c r="CH3349" s="1"/>
      <c r="CI3349" s="1"/>
      <c r="CJ3349" s="1"/>
      <c r="CK3349" s="1"/>
      <c r="CM3349" s="15"/>
    </row>
    <row r="3350" spans="1:91" s="11" customFormat="1" x14ac:dyDescent="0.3">
      <c r="A3350" s="1" t="s">
        <v>60</v>
      </c>
      <c r="B3350" s="7">
        <v>40763</v>
      </c>
      <c r="C3350" s="1">
        <v>6</v>
      </c>
      <c r="D3350" s="1">
        <v>190</v>
      </c>
      <c r="E3350" s="1">
        <v>1</v>
      </c>
      <c r="F3350" s="1">
        <v>31</v>
      </c>
      <c r="G3350" s="1"/>
      <c r="H3350" s="1">
        <v>1</v>
      </c>
      <c r="I3350" s="1">
        <v>1</v>
      </c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  <c r="AA3350" s="1"/>
      <c r="AB3350" s="1"/>
      <c r="AC3350" s="1"/>
      <c r="AD3350" s="1"/>
      <c r="AE3350" s="1"/>
      <c r="AF3350" s="1"/>
      <c r="AG3350" s="1"/>
      <c r="AH3350" s="1"/>
      <c r="AI3350" s="1"/>
      <c r="AJ3350" s="1"/>
      <c r="AK3350" s="1"/>
      <c r="AL3350" s="1"/>
      <c r="AM3350" s="1"/>
      <c r="AN3350" s="1"/>
      <c r="AO3350" s="1"/>
      <c r="AP3350" s="1"/>
      <c r="AQ3350" s="1"/>
      <c r="AR3350" s="1"/>
      <c r="AS3350" s="1"/>
      <c r="AT3350" s="1"/>
      <c r="AU3350" s="1"/>
      <c r="AV3350" s="1"/>
      <c r="AW3350" s="1"/>
      <c r="AX3350" s="1"/>
      <c r="AY3350" s="1"/>
      <c r="AZ3350" s="1"/>
      <c r="BA3350" s="1"/>
      <c r="BB3350" s="1"/>
      <c r="BC3350" s="1"/>
      <c r="BD3350" s="1"/>
      <c r="BE3350" s="1"/>
      <c r="BF3350" s="1"/>
      <c r="BG3350" s="1"/>
      <c r="BH3350" s="1"/>
      <c r="BI3350" s="1"/>
      <c r="BJ3350" s="1"/>
      <c r="BK3350" s="1"/>
      <c r="BL3350" s="1"/>
      <c r="BM3350" s="1"/>
      <c r="BN3350" s="1"/>
      <c r="BO3350" s="1"/>
      <c r="BP3350" s="1"/>
      <c r="BQ3350" s="1"/>
      <c r="BR3350" s="1"/>
      <c r="BS3350" s="1"/>
      <c r="BT3350" s="1"/>
      <c r="BU3350" s="1"/>
      <c r="BV3350" s="1"/>
      <c r="BW3350" s="1"/>
      <c r="BX3350" s="1"/>
      <c r="BY3350" s="1"/>
      <c r="BZ3350" s="1"/>
      <c r="CA3350" s="1"/>
      <c r="CB3350" s="1"/>
      <c r="CC3350" s="1"/>
      <c r="CD3350" s="1"/>
      <c r="CE3350" s="1"/>
      <c r="CF3350" s="1"/>
      <c r="CG3350" s="1"/>
      <c r="CH3350" s="1"/>
      <c r="CI3350" s="1"/>
      <c r="CJ3350" s="1"/>
      <c r="CK3350" s="1"/>
      <c r="CM3350" s="15"/>
    </row>
    <row r="3351" spans="1:91" s="11" customFormat="1" x14ac:dyDescent="0.3">
      <c r="A3351" s="1" t="s">
        <v>60</v>
      </c>
      <c r="B3351" s="7">
        <v>40763</v>
      </c>
      <c r="C3351" s="1">
        <v>6</v>
      </c>
      <c r="D3351" s="1">
        <v>190</v>
      </c>
      <c r="E3351" s="1">
        <v>1</v>
      </c>
      <c r="F3351" s="1">
        <v>32</v>
      </c>
      <c r="G3351" s="1"/>
      <c r="H3351" s="1"/>
      <c r="I3351" s="1"/>
      <c r="J3351" s="1">
        <v>1</v>
      </c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  <c r="AA3351" s="1"/>
      <c r="AB3351" s="1"/>
      <c r="AC3351" s="1"/>
      <c r="AD3351" s="1"/>
      <c r="AE3351" s="1"/>
      <c r="AF3351" s="1"/>
      <c r="AG3351" s="1"/>
      <c r="AH3351" s="1"/>
      <c r="AI3351" s="1"/>
      <c r="AJ3351" s="1"/>
      <c r="AK3351" s="1"/>
      <c r="AL3351" s="1"/>
      <c r="AM3351" s="1"/>
      <c r="AN3351" s="1"/>
      <c r="AO3351" s="1"/>
      <c r="AP3351" s="1"/>
      <c r="AQ3351" s="1"/>
      <c r="AR3351" s="1"/>
      <c r="AS3351" s="1"/>
      <c r="AT3351" s="1"/>
      <c r="AU3351" s="1"/>
      <c r="AV3351" s="1"/>
      <c r="AW3351" s="1"/>
      <c r="AX3351" s="1"/>
      <c r="AY3351" s="1"/>
      <c r="AZ3351" s="1"/>
      <c r="BA3351" s="1"/>
      <c r="BB3351" s="1"/>
      <c r="BC3351" s="1"/>
      <c r="BD3351" s="1"/>
      <c r="BE3351" s="1"/>
      <c r="BF3351" s="1"/>
      <c r="BG3351" s="1"/>
      <c r="BH3351" s="1"/>
      <c r="BI3351" s="1"/>
      <c r="BJ3351" s="1"/>
      <c r="BK3351" s="1"/>
      <c r="BL3351" s="1"/>
      <c r="BM3351" s="1">
        <v>1</v>
      </c>
      <c r="BN3351" s="1"/>
      <c r="BO3351" s="1"/>
      <c r="BP3351" s="1"/>
      <c r="BQ3351" s="1"/>
      <c r="BR3351" s="1"/>
      <c r="BS3351" s="1"/>
      <c r="BT3351" s="1"/>
      <c r="BU3351" s="1"/>
      <c r="BV3351" s="1"/>
      <c r="BW3351" s="1"/>
      <c r="BX3351" s="1"/>
      <c r="BY3351" s="1"/>
      <c r="BZ3351" s="1"/>
      <c r="CA3351" s="1"/>
      <c r="CB3351" s="1"/>
      <c r="CC3351" s="1"/>
      <c r="CD3351" s="1"/>
      <c r="CE3351" s="1"/>
      <c r="CF3351" s="1"/>
      <c r="CG3351" s="1"/>
      <c r="CH3351" s="1"/>
      <c r="CI3351" s="1"/>
      <c r="CJ3351" s="1"/>
      <c r="CK3351" s="1"/>
      <c r="CM3351" s="15"/>
    </row>
    <row r="3352" spans="1:91" s="11" customFormat="1" x14ac:dyDescent="0.3">
      <c r="A3352" s="1" t="s">
        <v>60</v>
      </c>
      <c r="B3352" s="7">
        <v>40763</v>
      </c>
      <c r="C3352" s="1">
        <v>6</v>
      </c>
      <c r="D3352" s="1">
        <v>190</v>
      </c>
      <c r="E3352" s="1">
        <v>1</v>
      </c>
      <c r="F3352" s="1">
        <v>33</v>
      </c>
      <c r="G3352" s="1"/>
      <c r="H3352" s="1"/>
      <c r="I3352" s="1">
        <v>1</v>
      </c>
      <c r="J3352" s="1">
        <v>1</v>
      </c>
      <c r="K3352" s="1"/>
      <c r="L3352" s="1"/>
      <c r="M3352" s="1"/>
      <c r="N3352" s="1"/>
      <c r="O3352" s="1"/>
      <c r="P3352" s="1"/>
      <c r="Q3352" s="1"/>
      <c r="R3352" s="1">
        <v>1</v>
      </c>
      <c r="S3352" s="1"/>
      <c r="T3352" s="1"/>
      <c r="U3352" s="1"/>
      <c r="V3352" s="1"/>
      <c r="W3352" s="1"/>
      <c r="X3352" s="1"/>
      <c r="Y3352" s="1"/>
      <c r="Z3352" s="1"/>
      <c r="AA3352" s="1"/>
      <c r="AB3352" s="1"/>
      <c r="AC3352" s="1"/>
      <c r="AD3352" s="1"/>
      <c r="AE3352" s="1"/>
      <c r="AF3352" s="1"/>
      <c r="AG3352" s="1"/>
      <c r="AH3352" s="1"/>
      <c r="AI3352" s="1"/>
      <c r="AJ3352" s="1"/>
      <c r="AK3352" s="1"/>
      <c r="AL3352" s="1"/>
      <c r="AM3352" s="1"/>
      <c r="AN3352" s="1"/>
      <c r="AO3352" s="1"/>
      <c r="AP3352" s="1"/>
      <c r="AQ3352" s="1"/>
      <c r="AR3352" s="1"/>
      <c r="AS3352" s="1"/>
      <c r="AT3352" s="1"/>
      <c r="AU3352" s="1"/>
      <c r="AV3352" s="1"/>
      <c r="AW3352" s="1"/>
      <c r="AX3352" s="1"/>
      <c r="AY3352" s="1"/>
      <c r="AZ3352" s="1"/>
      <c r="BA3352" s="1"/>
      <c r="BB3352" s="1"/>
      <c r="BC3352" s="1"/>
      <c r="BD3352" s="1"/>
      <c r="BE3352" s="1"/>
      <c r="BF3352" s="1"/>
      <c r="BG3352" s="1"/>
      <c r="BH3352" s="1"/>
      <c r="BI3352" s="1"/>
      <c r="BJ3352" s="1"/>
      <c r="BK3352" s="1"/>
      <c r="BL3352" s="1"/>
      <c r="BM3352" s="1"/>
      <c r="BN3352" s="1"/>
      <c r="BO3352" s="1"/>
      <c r="BP3352" s="1"/>
      <c r="BQ3352" s="1"/>
      <c r="BR3352" s="1"/>
      <c r="BS3352" s="1"/>
      <c r="BT3352" s="1"/>
      <c r="BU3352" s="1"/>
      <c r="BV3352" s="1"/>
      <c r="BW3352" s="1"/>
      <c r="BX3352" s="1"/>
      <c r="BY3352" s="1"/>
      <c r="BZ3352" s="1"/>
      <c r="CA3352" s="1"/>
      <c r="CB3352" s="1"/>
      <c r="CC3352" s="1"/>
      <c r="CD3352" s="1"/>
      <c r="CE3352" s="1"/>
      <c r="CF3352" s="1"/>
      <c r="CG3352" s="1"/>
      <c r="CH3352" s="1"/>
      <c r="CI3352" s="1"/>
      <c r="CJ3352" s="1"/>
      <c r="CK3352" s="1"/>
      <c r="CM3352" s="15"/>
    </row>
    <row r="3353" spans="1:91" s="11" customFormat="1" x14ac:dyDescent="0.3">
      <c r="A3353" s="1" t="s">
        <v>60</v>
      </c>
      <c r="B3353" s="7">
        <v>40763</v>
      </c>
      <c r="C3353" s="1">
        <v>6</v>
      </c>
      <c r="D3353" s="1">
        <v>190</v>
      </c>
      <c r="E3353" s="1">
        <v>1</v>
      </c>
      <c r="F3353" s="1">
        <v>34</v>
      </c>
      <c r="G3353" s="1"/>
      <c r="H3353" s="1"/>
      <c r="I3353" s="1"/>
      <c r="J3353" s="1">
        <v>1</v>
      </c>
      <c r="K3353" s="1"/>
      <c r="L3353" s="1">
        <v>1</v>
      </c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  <c r="AA3353" s="1"/>
      <c r="AB3353" s="1"/>
      <c r="AC3353" s="1"/>
      <c r="AD3353" s="1"/>
      <c r="AE3353" s="1"/>
      <c r="AF3353" s="1"/>
      <c r="AG3353" s="1"/>
      <c r="AH3353" s="1"/>
      <c r="AI3353" s="1"/>
      <c r="AJ3353" s="1"/>
      <c r="AK3353" s="1"/>
      <c r="AL3353" s="1"/>
      <c r="AM3353" s="1"/>
      <c r="AN3353" s="1"/>
      <c r="AO3353" s="1"/>
      <c r="AP3353" s="1"/>
      <c r="AQ3353" s="1"/>
      <c r="AR3353" s="1"/>
      <c r="AS3353" s="1"/>
      <c r="AT3353" s="1"/>
      <c r="AU3353" s="1"/>
      <c r="AV3353" s="1"/>
      <c r="AW3353" s="1"/>
      <c r="AX3353" s="1"/>
      <c r="AY3353" s="1"/>
      <c r="AZ3353" s="1"/>
      <c r="BA3353" s="1"/>
      <c r="BB3353" s="1"/>
      <c r="BC3353" s="1"/>
      <c r="BD3353" s="1"/>
      <c r="BE3353" s="1"/>
      <c r="BF3353" s="1"/>
      <c r="BG3353" s="1"/>
      <c r="BH3353" s="1"/>
      <c r="BI3353" s="1"/>
      <c r="BJ3353" s="1"/>
      <c r="BK3353" s="1"/>
      <c r="BL3353" s="1"/>
      <c r="BM3353" s="1"/>
      <c r="BN3353" s="1"/>
      <c r="BO3353" s="1"/>
      <c r="BP3353" s="1"/>
      <c r="BQ3353" s="1"/>
      <c r="BR3353" s="1"/>
      <c r="BS3353" s="1"/>
      <c r="BT3353" s="1"/>
      <c r="BU3353" s="1"/>
      <c r="BV3353" s="1"/>
      <c r="BW3353" s="1"/>
      <c r="BX3353" s="1"/>
      <c r="BY3353" s="1"/>
      <c r="BZ3353" s="1"/>
      <c r="CA3353" s="1"/>
      <c r="CB3353" s="1"/>
      <c r="CC3353" s="1"/>
      <c r="CD3353" s="1"/>
      <c r="CE3353" s="1"/>
      <c r="CF3353" s="1"/>
      <c r="CG3353" s="1"/>
      <c r="CH3353" s="1"/>
      <c r="CI3353" s="1"/>
      <c r="CJ3353" s="1"/>
      <c r="CK3353" s="1"/>
      <c r="CM3353" s="15"/>
    </row>
    <row r="3354" spans="1:91" s="11" customFormat="1" x14ac:dyDescent="0.3">
      <c r="A3354" s="1" t="s">
        <v>60</v>
      </c>
      <c r="B3354" s="7">
        <v>40763</v>
      </c>
      <c r="C3354" s="1">
        <v>6</v>
      </c>
      <c r="D3354" s="1">
        <v>190</v>
      </c>
      <c r="E3354" s="1">
        <v>1</v>
      </c>
      <c r="F3354" s="1">
        <v>35</v>
      </c>
      <c r="G3354" s="1"/>
      <c r="H3354" s="1"/>
      <c r="I3354" s="1"/>
      <c r="J3354" s="1">
        <v>1</v>
      </c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  <c r="AA3354" s="1"/>
      <c r="AB3354" s="1"/>
      <c r="AC3354" s="1"/>
      <c r="AD3354" s="1"/>
      <c r="AE3354" s="1"/>
      <c r="AF3354" s="1"/>
      <c r="AG3354" s="1"/>
      <c r="AH3354" s="1"/>
      <c r="AI3354" s="1"/>
      <c r="AJ3354" s="1"/>
      <c r="AK3354" s="1"/>
      <c r="AL3354" s="1"/>
      <c r="AM3354" s="1"/>
      <c r="AN3354" s="1"/>
      <c r="AO3354" s="1"/>
      <c r="AP3354" s="1"/>
      <c r="AQ3354" s="1"/>
      <c r="AR3354" s="1"/>
      <c r="AS3354" s="1"/>
      <c r="AT3354" s="1"/>
      <c r="AU3354" s="1"/>
      <c r="AV3354" s="1"/>
      <c r="AW3354" s="1"/>
      <c r="AX3354" s="1"/>
      <c r="AY3354" s="1"/>
      <c r="AZ3354" s="1"/>
      <c r="BA3354" s="1"/>
      <c r="BB3354" s="1"/>
      <c r="BC3354" s="1"/>
      <c r="BD3354" s="1"/>
      <c r="BE3354" s="1"/>
      <c r="BF3354" s="1"/>
      <c r="BG3354" s="1"/>
      <c r="BH3354" s="1"/>
      <c r="BI3354" s="1"/>
      <c r="BJ3354" s="1"/>
      <c r="BK3354" s="1"/>
      <c r="BL3354" s="1"/>
      <c r="BM3354" s="1"/>
      <c r="BN3354" s="1"/>
      <c r="BO3354" s="1"/>
      <c r="BP3354" s="1"/>
      <c r="BQ3354" s="1"/>
      <c r="BR3354" s="1"/>
      <c r="BS3354" s="1"/>
      <c r="BT3354" s="1"/>
      <c r="BU3354" s="1"/>
      <c r="BV3354" s="1"/>
      <c r="BW3354" s="1"/>
      <c r="BX3354" s="1"/>
      <c r="BY3354" s="1"/>
      <c r="BZ3354" s="1"/>
      <c r="CA3354" s="1"/>
      <c r="CB3354" s="1"/>
      <c r="CC3354" s="1"/>
      <c r="CD3354" s="1"/>
      <c r="CE3354" s="1"/>
      <c r="CF3354" s="1"/>
      <c r="CG3354" s="1"/>
      <c r="CH3354" s="1"/>
      <c r="CI3354" s="1"/>
      <c r="CJ3354" s="1"/>
      <c r="CK3354" s="1"/>
      <c r="CM3354" s="15"/>
    </row>
    <row r="3355" spans="1:91" s="11" customFormat="1" x14ac:dyDescent="0.3">
      <c r="A3355" s="1" t="s">
        <v>60</v>
      </c>
      <c r="B3355" s="7">
        <v>40763</v>
      </c>
      <c r="C3355" s="1">
        <v>6</v>
      </c>
      <c r="D3355" s="1">
        <v>190</v>
      </c>
      <c r="E3355" s="1">
        <v>1</v>
      </c>
      <c r="F3355" s="1">
        <v>36</v>
      </c>
      <c r="G3355" s="1"/>
      <c r="H3355" s="1"/>
      <c r="I3355" s="1">
        <v>1</v>
      </c>
      <c r="J3355" s="1">
        <v>1</v>
      </c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  <c r="AA3355" s="1"/>
      <c r="AB3355" s="1"/>
      <c r="AC3355" s="1"/>
      <c r="AD3355" s="1"/>
      <c r="AE3355" s="1"/>
      <c r="AF3355" s="1"/>
      <c r="AG3355" s="1"/>
      <c r="AH3355" s="1"/>
      <c r="AI3355" s="1"/>
      <c r="AJ3355" s="1"/>
      <c r="AK3355" s="1"/>
      <c r="AL3355" s="1"/>
      <c r="AM3355" s="1"/>
      <c r="AN3355" s="1"/>
      <c r="AO3355" s="1"/>
      <c r="AP3355" s="1"/>
      <c r="AQ3355" s="1"/>
      <c r="AR3355" s="1"/>
      <c r="AS3355" s="1"/>
      <c r="AT3355" s="1"/>
      <c r="AU3355" s="1"/>
      <c r="AV3355" s="1"/>
      <c r="AW3355" s="1"/>
      <c r="AX3355" s="1"/>
      <c r="AY3355" s="1"/>
      <c r="AZ3355" s="1"/>
      <c r="BA3355" s="1"/>
      <c r="BB3355" s="1"/>
      <c r="BC3355" s="1"/>
      <c r="BD3355" s="1"/>
      <c r="BE3355" s="1"/>
      <c r="BF3355" s="1"/>
      <c r="BG3355" s="1"/>
      <c r="BH3355" s="1"/>
      <c r="BI3355" s="1"/>
      <c r="BJ3355" s="1"/>
      <c r="BK3355" s="1"/>
      <c r="BL3355" s="1"/>
      <c r="BM3355" s="1"/>
      <c r="BN3355" s="1"/>
      <c r="BO3355" s="1"/>
      <c r="BP3355" s="1"/>
      <c r="BQ3355" s="1"/>
      <c r="BR3355" s="1"/>
      <c r="BS3355" s="1"/>
      <c r="BT3355" s="1"/>
      <c r="BU3355" s="1"/>
      <c r="BV3355" s="1"/>
      <c r="BW3355" s="1"/>
      <c r="BX3355" s="1"/>
      <c r="BY3355" s="1"/>
      <c r="BZ3355" s="1"/>
      <c r="CA3355" s="1"/>
      <c r="CB3355" s="1"/>
      <c r="CC3355" s="1"/>
      <c r="CD3355" s="1"/>
      <c r="CE3355" s="1"/>
      <c r="CF3355" s="1"/>
      <c r="CG3355" s="1"/>
      <c r="CH3355" s="1"/>
      <c r="CI3355" s="1"/>
      <c r="CJ3355" s="1"/>
      <c r="CK3355" s="1"/>
      <c r="CM3355" s="15"/>
    </row>
    <row r="3356" spans="1:91" s="11" customFormat="1" x14ac:dyDescent="0.3">
      <c r="A3356" s="1" t="s">
        <v>60</v>
      </c>
      <c r="B3356" s="7">
        <v>40763</v>
      </c>
      <c r="C3356" s="1">
        <v>6</v>
      </c>
      <c r="D3356" s="1">
        <v>190</v>
      </c>
      <c r="E3356" s="1">
        <v>1</v>
      </c>
      <c r="F3356" s="1">
        <v>37</v>
      </c>
      <c r="G3356" s="1"/>
      <c r="H3356" s="1">
        <v>1</v>
      </c>
      <c r="I3356" s="1"/>
      <c r="J3356" s="1">
        <v>1</v>
      </c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  <c r="AA3356" s="1"/>
      <c r="AB3356" s="1"/>
      <c r="AC3356" s="1"/>
      <c r="AD3356" s="1"/>
      <c r="AE3356" s="1"/>
      <c r="AF3356" s="1"/>
      <c r="AG3356" s="1"/>
      <c r="AH3356" s="1"/>
      <c r="AI3356" s="1"/>
      <c r="AJ3356" s="1"/>
      <c r="AK3356" s="1"/>
      <c r="AL3356" s="1"/>
      <c r="AM3356" s="1"/>
      <c r="AN3356" s="1"/>
      <c r="AO3356" s="1"/>
      <c r="AP3356" s="1"/>
      <c r="AQ3356" s="1"/>
      <c r="AR3356" s="1"/>
      <c r="AS3356" s="1"/>
      <c r="AT3356" s="1"/>
      <c r="AU3356" s="1"/>
      <c r="AV3356" s="1"/>
      <c r="AW3356" s="1"/>
      <c r="AX3356" s="1"/>
      <c r="AY3356" s="1"/>
      <c r="AZ3356" s="1"/>
      <c r="BA3356" s="1"/>
      <c r="BB3356" s="1"/>
      <c r="BC3356" s="1"/>
      <c r="BD3356" s="1"/>
      <c r="BE3356" s="1"/>
      <c r="BF3356" s="1"/>
      <c r="BG3356" s="1"/>
      <c r="BH3356" s="1"/>
      <c r="BI3356" s="1"/>
      <c r="BJ3356" s="1"/>
      <c r="BK3356" s="1"/>
      <c r="BL3356" s="1"/>
      <c r="BM3356" s="1"/>
      <c r="BN3356" s="1"/>
      <c r="BO3356" s="1"/>
      <c r="BP3356" s="1"/>
      <c r="BQ3356" s="1"/>
      <c r="BR3356" s="1"/>
      <c r="BS3356" s="1"/>
      <c r="BT3356" s="1"/>
      <c r="BU3356" s="1"/>
      <c r="BV3356" s="1"/>
      <c r="BW3356" s="1"/>
      <c r="BX3356" s="1"/>
      <c r="BY3356" s="1"/>
      <c r="BZ3356" s="1"/>
      <c r="CA3356" s="1"/>
      <c r="CB3356" s="1"/>
      <c r="CC3356" s="1"/>
      <c r="CD3356" s="1"/>
      <c r="CE3356" s="1"/>
      <c r="CF3356" s="1"/>
      <c r="CG3356" s="1"/>
      <c r="CH3356" s="1"/>
      <c r="CI3356" s="1"/>
      <c r="CJ3356" s="1"/>
      <c r="CK3356" s="1"/>
      <c r="CM3356" s="15"/>
    </row>
    <row r="3357" spans="1:91" s="11" customFormat="1" x14ac:dyDescent="0.3">
      <c r="A3357" s="1" t="s">
        <v>60</v>
      </c>
      <c r="B3357" s="7">
        <v>40763</v>
      </c>
      <c r="C3357" s="1">
        <v>6</v>
      </c>
      <c r="D3357" s="1">
        <v>190</v>
      </c>
      <c r="E3357" s="1">
        <v>1</v>
      </c>
      <c r="F3357" s="1">
        <v>38</v>
      </c>
      <c r="G3357" s="1"/>
      <c r="H3357" s="1"/>
      <c r="I3357" s="1"/>
      <c r="J3357" s="3">
        <v>0</v>
      </c>
      <c r="K3357" s="3">
        <v>1</v>
      </c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  <c r="AA3357" s="1"/>
      <c r="AB3357" s="1"/>
      <c r="AC3357" s="1"/>
      <c r="AD3357" s="1"/>
      <c r="AE3357" s="1"/>
      <c r="AF3357" s="1"/>
      <c r="AG3357" s="1"/>
      <c r="AH3357" s="1"/>
      <c r="AI3357" s="1"/>
      <c r="AJ3357" s="1"/>
      <c r="AK3357" s="1"/>
      <c r="AL3357" s="1"/>
      <c r="AM3357" s="1"/>
      <c r="AN3357" s="1"/>
      <c r="AO3357" s="1"/>
      <c r="AP3357" s="1"/>
      <c r="AQ3357" s="1"/>
      <c r="AR3357" s="1"/>
      <c r="AS3357" s="1"/>
      <c r="AT3357" s="1"/>
      <c r="AU3357" s="1"/>
      <c r="AV3357" s="1"/>
      <c r="AW3357" s="1"/>
      <c r="AX3357" s="1"/>
      <c r="AY3357" s="1"/>
      <c r="AZ3357" s="1"/>
      <c r="BA3357" s="1"/>
      <c r="BB3357" s="1"/>
      <c r="BC3357" s="1"/>
      <c r="BD3357" s="1"/>
      <c r="BE3357" s="1"/>
      <c r="BF3357" s="1"/>
      <c r="BG3357" s="1"/>
      <c r="BH3357" s="1"/>
      <c r="BI3357" s="1"/>
      <c r="BJ3357" s="1"/>
      <c r="BK3357" s="1"/>
      <c r="BL3357" s="1"/>
      <c r="BM3357" s="1"/>
      <c r="BN3357" s="1"/>
      <c r="BO3357" s="1"/>
      <c r="BP3357" s="1"/>
      <c r="BQ3357" s="1"/>
      <c r="BR3357" s="1"/>
      <c r="BS3357" s="1"/>
      <c r="BT3357" s="1"/>
      <c r="BU3357" s="1"/>
      <c r="BV3357" s="1"/>
      <c r="BW3357" s="1"/>
      <c r="BX3357" s="1"/>
      <c r="BY3357" s="1"/>
      <c r="BZ3357" s="1"/>
      <c r="CA3357" s="1"/>
      <c r="CB3357" s="1"/>
      <c r="CC3357" s="1"/>
      <c r="CD3357" s="1"/>
      <c r="CE3357" s="1"/>
      <c r="CF3357" s="1"/>
      <c r="CG3357" s="1"/>
      <c r="CH3357" s="1"/>
      <c r="CI3357" s="1"/>
      <c r="CJ3357" s="1"/>
      <c r="CK3357" s="1"/>
      <c r="CM3357" s="15"/>
    </row>
    <row r="3358" spans="1:91" s="11" customFormat="1" x14ac:dyDescent="0.3">
      <c r="A3358" s="1" t="s">
        <v>60</v>
      </c>
      <c r="B3358" s="7">
        <v>40763</v>
      </c>
      <c r="C3358" s="1">
        <v>6</v>
      </c>
      <c r="D3358" s="1">
        <v>190</v>
      </c>
      <c r="E3358" s="1">
        <v>1</v>
      </c>
      <c r="F3358" s="1">
        <v>39</v>
      </c>
      <c r="G3358" s="1"/>
      <c r="H3358" s="1"/>
      <c r="I3358" s="1">
        <v>1</v>
      </c>
      <c r="J3358" s="1">
        <v>1</v>
      </c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  <c r="AA3358" s="1"/>
      <c r="AB3358" s="1"/>
      <c r="AC3358" s="1"/>
      <c r="AD3358" s="1"/>
      <c r="AE3358" s="1"/>
      <c r="AF3358" s="1"/>
      <c r="AG3358" s="1"/>
      <c r="AH3358" s="1"/>
      <c r="AI3358" s="1"/>
      <c r="AJ3358" s="1"/>
      <c r="AK3358" s="1"/>
      <c r="AL3358" s="1"/>
      <c r="AM3358" s="1"/>
      <c r="AN3358" s="1"/>
      <c r="AO3358" s="1"/>
      <c r="AP3358" s="1"/>
      <c r="AQ3358" s="1"/>
      <c r="AR3358" s="1"/>
      <c r="AS3358" s="1"/>
      <c r="AT3358" s="1"/>
      <c r="AU3358" s="1"/>
      <c r="AV3358" s="1"/>
      <c r="AW3358" s="1"/>
      <c r="AX3358" s="1"/>
      <c r="AY3358" s="1"/>
      <c r="AZ3358" s="1"/>
      <c r="BA3358" s="1"/>
      <c r="BB3358" s="1"/>
      <c r="BC3358" s="1"/>
      <c r="BD3358" s="1"/>
      <c r="BE3358" s="1"/>
      <c r="BF3358" s="1"/>
      <c r="BG3358" s="1"/>
      <c r="BH3358" s="1"/>
      <c r="BI3358" s="1"/>
      <c r="BJ3358" s="1"/>
      <c r="BK3358" s="1"/>
      <c r="BL3358" s="1"/>
      <c r="BM3358" s="1"/>
      <c r="BN3358" s="1"/>
      <c r="BO3358" s="1"/>
      <c r="BP3358" s="1"/>
      <c r="BQ3358" s="1"/>
      <c r="BR3358" s="1"/>
      <c r="BS3358" s="1"/>
      <c r="BT3358" s="1"/>
      <c r="BU3358" s="1"/>
      <c r="BV3358" s="1"/>
      <c r="BW3358" s="1"/>
      <c r="BX3358" s="1"/>
      <c r="BY3358" s="1"/>
      <c r="BZ3358" s="1"/>
      <c r="CA3358" s="1"/>
      <c r="CB3358" s="1"/>
      <c r="CC3358" s="1"/>
      <c r="CD3358" s="1"/>
      <c r="CE3358" s="1"/>
      <c r="CF3358" s="1"/>
      <c r="CG3358" s="1"/>
      <c r="CH3358" s="1"/>
      <c r="CI3358" s="1"/>
      <c r="CJ3358" s="1"/>
      <c r="CK3358" s="1"/>
      <c r="CM3358" s="15"/>
    </row>
    <row r="3359" spans="1:91" s="11" customFormat="1" x14ac:dyDescent="0.3">
      <c r="A3359" s="1" t="s">
        <v>60</v>
      </c>
      <c r="B3359" s="7">
        <v>40763</v>
      </c>
      <c r="C3359" s="1">
        <v>6</v>
      </c>
      <c r="D3359" s="1">
        <v>190</v>
      </c>
      <c r="E3359" s="1">
        <v>1</v>
      </c>
      <c r="F3359" s="1">
        <v>40</v>
      </c>
      <c r="G3359" s="1"/>
      <c r="H3359" s="1"/>
      <c r="I3359" s="1"/>
      <c r="J3359" s="1">
        <v>1</v>
      </c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  <c r="AA3359" s="1"/>
      <c r="AB3359" s="1"/>
      <c r="AC3359" s="1"/>
      <c r="AD3359" s="1"/>
      <c r="AE3359" s="1"/>
      <c r="AF3359" s="1"/>
      <c r="AG3359" s="1"/>
      <c r="AH3359" s="1"/>
      <c r="AI3359" s="1"/>
      <c r="AJ3359" s="1"/>
      <c r="AK3359" s="1"/>
      <c r="AL3359" s="1"/>
      <c r="AM3359" s="1"/>
      <c r="AN3359" s="1"/>
      <c r="AO3359" s="1"/>
      <c r="AP3359" s="1"/>
      <c r="AQ3359" s="1"/>
      <c r="AR3359" s="1"/>
      <c r="AS3359" s="1"/>
      <c r="AT3359" s="1"/>
      <c r="AU3359" s="1"/>
      <c r="AV3359" s="1"/>
      <c r="AW3359" s="1"/>
      <c r="AX3359" s="1"/>
      <c r="AY3359" s="1"/>
      <c r="AZ3359" s="1"/>
      <c r="BA3359" s="1"/>
      <c r="BB3359" s="1"/>
      <c r="BC3359" s="1"/>
      <c r="BD3359" s="1"/>
      <c r="BE3359" s="1"/>
      <c r="BF3359" s="1"/>
      <c r="BG3359" s="1"/>
      <c r="BH3359" s="1"/>
      <c r="BI3359" s="1"/>
      <c r="BJ3359" s="1"/>
      <c r="BK3359" s="1"/>
      <c r="BL3359" s="1"/>
      <c r="BM3359" s="1"/>
      <c r="BN3359" s="1"/>
      <c r="BO3359" s="1"/>
      <c r="BP3359" s="1"/>
      <c r="BQ3359" s="1"/>
      <c r="BR3359" s="1"/>
      <c r="BS3359" s="1"/>
      <c r="BT3359" s="1"/>
      <c r="BU3359" s="1"/>
      <c r="BV3359" s="1"/>
      <c r="BW3359" s="1"/>
      <c r="BX3359" s="1"/>
      <c r="BY3359" s="1"/>
      <c r="BZ3359" s="1"/>
      <c r="CA3359" s="1"/>
      <c r="CB3359" s="1"/>
      <c r="CC3359" s="1"/>
      <c r="CD3359" s="1"/>
      <c r="CE3359" s="1"/>
      <c r="CF3359" s="1"/>
      <c r="CG3359" s="1"/>
      <c r="CH3359" s="1"/>
      <c r="CI3359" s="1"/>
      <c r="CJ3359" s="1"/>
      <c r="CK3359" s="1"/>
      <c r="CM3359" s="15"/>
    </row>
    <row r="3360" spans="1:91" s="11" customFormat="1" x14ac:dyDescent="0.3">
      <c r="A3360" s="1" t="s">
        <v>60</v>
      </c>
      <c r="B3360" s="7">
        <v>40763</v>
      </c>
      <c r="C3360" s="1">
        <v>6</v>
      </c>
      <c r="D3360" s="1">
        <v>190</v>
      </c>
      <c r="E3360" s="1">
        <v>1</v>
      </c>
      <c r="F3360" s="1">
        <v>41</v>
      </c>
      <c r="G3360" s="1"/>
      <c r="H3360" s="1"/>
      <c r="I3360" s="1">
        <v>1</v>
      </c>
      <c r="J3360" s="1"/>
      <c r="K3360" s="1"/>
      <c r="L3360" s="1">
        <v>1</v>
      </c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  <c r="AA3360" s="1"/>
      <c r="AB3360" s="1"/>
      <c r="AC3360" s="1"/>
      <c r="AD3360" s="1"/>
      <c r="AE3360" s="1"/>
      <c r="AF3360" s="1"/>
      <c r="AG3360" s="1"/>
      <c r="AH3360" s="1"/>
      <c r="AI3360" s="1"/>
      <c r="AJ3360" s="1"/>
      <c r="AK3360" s="1"/>
      <c r="AL3360" s="1"/>
      <c r="AM3360" s="1"/>
      <c r="AN3360" s="1"/>
      <c r="AO3360" s="1"/>
      <c r="AP3360" s="1"/>
      <c r="AQ3360" s="1"/>
      <c r="AR3360" s="1"/>
      <c r="AS3360" s="1"/>
      <c r="AT3360" s="1"/>
      <c r="AU3360" s="1"/>
      <c r="AV3360" s="1"/>
      <c r="AW3360" s="1"/>
      <c r="AX3360" s="1"/>
      <c r="AY3360" s="1"/>
      <c r="AZ3360" s="1"/>
      <c r="BA3360" s="1"/>
      <c r="BB3360" s="1"/>
      <c r="BC3360" s="1"/>
      <c r="BD3360" s="1"/>
      <c r="BE3360" s="1"/>
      <c r="BF3360" s="1"/>
      <c r="BG3360" s="1"/>
      <c r="BH3360" s="1"/>
      <c r="BI3360" s="1"/>
      <c r="BJ3360" s="1"/>
      <c r="BK3360" s="1"/>
      <c r="BL3360" s="1"/>
      <c r="BM3360" s="1"/>
      <c r="BN3360" s="1"/>
      <c r="BO3360" s="1"/>
      <c r="BP3360" s="1"/>
      <c r="BQ3360" s="1"/>
      <c r="BR3360" s="1"/>
      <c r="BS3360" s="1"/>
      <c r="BT3360" s="1"/>
      <c r="BU3360" s="1"/>
      <c r="BV3360" s="1"/>
      <c r="BW3360" s="1"/>
      <c r="BX3360" s="1"/>
      <c r="BY3360" s="1"/>
      <c r="BZ3360" s="1"/>
      <c r="CA3360" s="1"/>
      <c r="CB3360" s="1"/>
      <c r="CC3360" s="1"/>
      <c r="CD3360" s="1"/>
      <c r="CE3360" s="1"/>
      <c r="CF3360" s="1"/>
      <c r="CG3360" s="1"/>
      <c r="CH3360" s="1"/>
      <c r="CI3360" s="1"/>
      <c r="CJ3360" s="1"/>
      <c r="CK3360" s="1"/>
      <c r="CM3360" s="15"/>
    </row>
    <row r="3361" spans="1:91" s="11" customFormat="1" x14ac:dyDescent="0.3">
      <c r="A3361" s="1" t="s">
        <v>60</v>
      </c>
      <c r="B3361" s="7">
        <v>40763</v>
      </c>
      <c r="C3361" s="1">
        <v>6</v>
      </c>
      <c r="D3361" s="1">
        <v>190</v>
      </c>
      <c r="E3361" s="1">
        <v>1</v>
      </c>
      <c r="F3361" s="1">
        <v>42</v>
      </c>
      <c r="G3361" s="1"/>
      <c r="H3361" s="1">
        <v>1</v>
      </c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  <c r="AA3361" s="1"/>
      <c r="AB3361" s="1"/>
      <c r="AC3361" s="1"/>
      <c r="AD3361" s="1"/>
      <c r="AE3361" s="1"/>
      <c r="AF3361" s="1"/>
      <c r="AG3361" s="1"/>
      <c r="AH3361" s="1"/>
      <c r="AI3361" s="1"/>
      <c r="AJ3361" s="1"/>
      <c r="AK3361" s="1"/>
      <c r="AL3361" s="1"/>
      <c r="AM3361" s="1"/>
      <c r="AN3361" s="1"/>
      <c r="AO3361" s="1"/>
      <c r="AP3361" s="1"/>
      <c r="AQ3361" s="1"/>
      <c r="AR3361" s="1"/>
      <c r="AS3361" s="1"/>
      <c r="AT3361" s="1"/>
      <c r="AU3361" s="1"/>
      <c r="AV3361" s="1"/>
      <c r="AW3361" s="1"/>
      <c r="AX3361" s="1"/>
      <c r="AY3361" s="1"/>
      <c r="AZ3361" s="1"/>
      <c r="BA3361" s="1"/>
      <c r="BB3361" s="1"/>
      <c r="BC3361" s="1"/>
      <c r="BD3361" s="1"/>
      <c r="BE3361" s="1"/>
      <c r="BF3361" s="1"/>
      <c r="BG3361" s="1"/>
      <c r="BH3361" s="1"/>
      <c r="BI3361" s="1"/>
      <c r="BJ3361" s="1"/>
      <c r="BK3361" s="1"/>
      <c r="BL3361" s="1"/>
      <c r="BM3361" s="1"/>
      <c r="BN3361" s="1"/>
      <c r="BO3361" s="1"/>
      <c r="BP3361" s="1"/>
      <c r="BQ3361" s="1"/>
      <c r="BR3361" s="1"/>
      <c r="BS3361" s="1"/>
      <c r="BT3361" s="1"/>
      <c r="BU3361" s="1"/>
      <c r="BV3361" s="1"/>
      <c r="BW3361" s="1"/>
      <c r="BX3361" s="1"/>
      <c r="BY3361" s="1"/>
      <c r="BZ3361" s="1"/>
      <c r="CA3361" s="1"/>
      <c r="CB3361" s="1"/>
      <c r="CC3361" s="1"/>
      <c r="CD3361" s="1"/>
      <c r="CE3361" s="1"/>
      <c r="CF3361" s="1"/>
      <c r="CG3361" s="1"/>
      <c r="CH3361" s="1"/>
      <c r="CI3361" s="1"/>
      <c r="CJ3361" s="1"/>
      <c r="CK3361" s="1"/>
      <c r="CM3361" s="15"/>
    </row>
    <row r="3362" spans="1:91" s="11" customFormat="1" x14ac:dyDescent="0.3">
      <c r="A3362" s="1" t="s">
        <v>60</v>
      </c>
      <c r="B3362" s="7">
        <v>40763</v>
      </c>
      <c r="C3362" s="1">
        <v>6</v>
      </c>
      <c r="D3362" s="1">
        <v>190</v>
      </c>
      <c r="E3362" s="1">
        <v>1</v>
      </c>
      <c r="F3362" s="1">
        <v>43</v>
      </c>
      <c r="G3362" s="1"/>
      <c r="H3362" s="1"/>
      <c r="I3362" s="1"/>
      <c r="J3362" s="1">
        <v>1</v>
      </c>
      <c r="K3362" s="1"/>
      <c r="L3362" s="1"/>
      <c r="M3362" s="1"/>
      <c r="N3362" s="1"/>
      <c r="O3362" s="1"/>
      <c r="P3362" s="1"/>
      <c r="Q3362" s="1"/>
      <c r="R3362" s="1">
        <v>1</v>
      </c>
      <c r="S3362" s="1"/>
      <c r="T3362" s="1"/>
      <c r="U3362" s="1"/>
      <c r="V3362" s="1"/>
      <c r="W3362" s="1"/>
      <c r="X3362" s="1"/>
      <c r="Y3362" s="1"/>
      <c r="Z3362" s="1"/>
      <c r="AA3362" s="1"/>
      <c r="AB3362" s="1"/>
      <c r="AC3362" s="1"/>
      <c r="AD3362" s="1"/>
      <c r="AE3362" s="1"/>
      <c r="AF3362" s="1"/>
      <c r="AG3362" s="1"/>
      <c r="AH3362" s="1"/>
      <c r="AI3362" s="1"/>
      <c r="AJ3362" s="1"/>
      <c r="AK3362" s="1"/>
      <c r="AL3362" s="1"/>
      <c r="AM3362" s="1"/>
      <c r="AN3362" s="1"/>
      <c r="AO3362" s="1"/>
      <c r="AP3362" s="1"/>
      <c r="AQ3362" s="1"/>
      <c r="AR3362" s="1"/>
      <c r="AS3362" s="1"/>
      <c r="AT3362" s="1"/>
      <c r="AU3362" s="1"/>
      <c r="AV3362" s="1"/>
      <c r="AW3362" s="1"/>
      <c r="AX3362" s="1"/>
      <c r="AY3362" s="1"/>
      <c r="AZ3362" s="1"/>
      <c r="BA3362" s="1"/>
      <c r="BB3362" s="1"/>
      <c r="BC3362" s="1"/>
      <c r="BD3362" s="1"/>
      <c r="BE3362" s="1"/>
      <c r="BF3362" s="1"/>
      <c r="BG3362" s="1"/>
      <c r="BH3362" s="1"/>
      <c r="BI3362" s="1"/>
      <c r="BJ3362" s="1"/>
      <c r="BK3362" s="1"/>
      <c r="BL3362" s="1"/>
      <c r="BM3362" s="1"/>
      <c r="BN3362" s="1"/>
      <c r="BO3362" s="1"/>
      <c r="BP3362" s="1"/>
      <c r="BQ3362" s="1"/>
      <c r="BR3362" s="1"/>
      <c r="BS3362" s="1"/>
      <c r="BT3362" s="1"/>
      <c r="BU3362" s="1"/>
      <c r="BV3362" s="1"/>
      <c r="BW3362" s="1"/>
      <c r="BX3362" s="1"/>
      <c r="BY3362" s="1"/>
      <c r="BZ3362" s="1"/>
      <c r="CA3362" s="1"/>
      <c r="CB3362" s="1"/>
      <c r="CC3362" s="1"/>
      <c r="CD3362" s="1"/>
      <c r="CE3362" s="1"/>
      <c r="CF3362" s="1"/>
      <c r="CG3362" s="1"/>
      <c r="CH3362" s="1"/>
      <c r="CI3362" s="1"/>
      <c r="CJ3362" s="1"/>
      <c r="CK3362" s="1"/>
      <c r="CM3362" s="15"/>
    </row>
    <row r="3363" spans="1:91" s="11" customFormat="1" x14ac:dyDescent="0.3">
      <c r="A3363" s="1" t="s">
        <v>60</v>
      </c>
      <c r="B3363" s="7">
        <v>40763</v>
      </c>
      <c r="C3363" s="1">
        <v>6</v>
      </c>
      <c r="D3363" s="1">
        <v>190</v>
      </c>
      <c r="E3363" s="1">
        <v>1</v>
      </c>
      <c r="F3363" s="1">
        <v>44</v>
      </c>
      <c r="G3363" s="1"/>
      <c r="H3363" s="1"/>
      <c r="I3363" s="1"/>
      <c r="J3363" s="1">
        <v>1</v>
      </c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  <c r="AA3363" s="1"/>
      <c r="AB3363" s="1"/>
      <c r="AC3363" s="1"/>
      <c r="AD3363" s="1"/>
      <c r="AE3363" s="1"/>
      <c r="AF3363" s="1"/>
      <c r="AG3363" s="1"/>
      <c r="AH3363" s="1"/>
      <c r="AI3363" s="1"/>
      <c r="AJ3363" s="1"/>
      <c r="AK3363" s="1"/>
      <c r="AL3363" s="1"/>
      <c r="AM3363" s="1"/>
      <c r="AN3363" s="1"/>
      <c r="AO3363" s="1"/>
      <c r="AP3363" s="1"/>
      <c r="AQ3363" s="1"/>
      <c r="AR3363" s="1"/>
      <c r="AS3363" s="1"/>
      <c r="AT3363" s="1"/>
      <c r="AU3363" s="1"/>
      <c r="AV3363" s="1"/>
      <c r="AW3363" s="1"/>
      <c r="AX3363" s="1"/>
      <c r="AY3363" s="1"/>
      <c r="AZ3363" s="1"/>
      <c r="BA3363" s="1"/>
      <c r="BB3363" s="1"/>
      <c r="BC3363" s="1"/>
      <c r="BD3363" s="1">
        <v>1</v>
      </c>
      <c r="BE3363" s="1"/>
      <c r="BF3363" s="1"/>
      <c r="BG3363" s="1"/>
      <c r="BH3363" s="1"/>
      <c r="BI3363" s="1"/>
      <c r="BJ3363" s="1"/>
      <c r="BK3363" s="1"/>
      <c r="BL3363" s="1"/>
      <c r="BM3363" s="1"/>
      <c r="BN3363" s="1"/>
      <c r="BO3363" s="1"/>
      <c r="BP3363" s="1"/>
      <c r="BQ3363" s="1"/>
      <c r="BR3363" s="1"/>
      <c r="BS3363" s="1"/>
      <c r="BT3363" s="1"/>
      <c r="BU3363" s="1"/>
      <c r="BV3363" s="1"/>
      <c r="BW3363" s="1"/>
      <c r="BX3363" s="1"/>
      <c r="BY3363" s="1"/>
      <c r="BZ3363" s="1"/>
      <c r="CA3363" s="1"/>
      <c r="CB3363" s="1"/>
      <c r="CC3363" s="1"/>
      <c r="CD3363" s="1"/>
      <c r="CE3363" s="1"/>
      <c r="CF3363" s="1"/>
      <c r="CG3363" s="1"/>
      <c r="CH3363" s="1"/>
      <c r="CI3363" s="1"/>
      <c r="CJ3363" s="1"/>
      <c r="CK3363" s="1"/>
      <c r="CM3363" s="15"/>
    </row>
    <row r="3364" spans="1:91" s="11" customFormat="1" x14ac:dyDescent="0.3">
      <c r="A3364" s="1" t="s">
        <v>60</v>
      </c>
      <c r="B3364" s="7">
        <v>40763</v>
      </c>
      <c r="C3364" s="1">
        <v>6</v>
      </c>
      <c r="D3364" s="1">
        <v>190</v>
      </c>
      <c r="E3364" s="1">
        <v>1</v>
      </c>
      <c r="F3364" s="1">
        <v>45</v>
      </c>
      <c r="G3364" s="1"/>
      <c r="H3364" s="1"/>
      <c r="I3364" s="1">
        <v>1</v>
      </c>
      <c r="J3364" s="1">
        <v>1</v>
      </c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  <c r="AA3364" s="1"/>
      <c r="AB3364" s="1"/>
      <c r="AC3364" s="1"/>
      <c r="AD3364" s="1"/>
      <c r="AE3364" s="1"/>
      <c r="AF3364" s="1"/>
      <c r="AG3364" s="1"/>
      <c r="AH3364" s="1"/>
      <c r="AI3364" s="1"/>
      <c r="AJ3364" s="1"/>
      <c r="AK3364" s="1"/>
      <c r="AL3364" s="1"/>
      <c r="AM3364" s="1"/>
      <c r="AN3364" s="1"/>
      <c r="AO3364" s="1"/>
      <c r="AP3364" s="1"/>
      <c r="AQ3364" s="1"/>
      <c r="AR3364" s="1"/>
      <c r="AS3364" s="1"/>
      <c r="AT3364" s="1"/>
      <c r="AU3364" s="1"/>
      <c r="AV3364" s="1"/>
      <c r="AW3364" s="1"/>
      <c r="AX3364" s="1"/>
      <c r="AY3364" s="1"/>
      <c r="AZ3364" s="1"/>
      <c r="BA3364" s="1"/>
      <c r="BB3364" s="1"/>
      <c r="BC3364" s="1"/>
      <c r="BD3364" s="1"/>
      <c r="BE3364" s="1"/>
      <c r="BF3364" s="1"/>
      <c r="BG3364" s="1"/>
      <c r="BH3364" s="1"/>
      <c r="BI3364" s="1"/>
      <c r="BJ3364" s="1"/>
      <c r="BK3364" s="1"/>
      <c r="BL3364" s="1"/>
      <c r="BM3364" s="1"/>
      <c r="BN3364" s="1"/>
      <c r="BO3364" s="1"/>
      <c r="BP3364" s="1"/>
      <c r="BQ3364" s="1"/>
      <c r="BR3364" s="1"/>
      <c r="BS3364" s="1"/>
      <c r="BT3364" s="1"/>
      <c r="BU3364" s="1"/>
      <c r="BV3364" s="1"/>
      <c r="BW3364" s="1"/>
      <c r="BX3364" s="1"/>
      <c r="BY3364" s="1"/>
      <c r="BZ3364" s="1"/>
      <c r="CA3364" s="1"/>
      <c r="CB3364" s="1"/>
      <c r="CC3364" s="1"/>
      <c r="CD3364" s="1"/>
      <c r="CE3364" s="1"/>
      <c r="CF3364" s="1"/>
      <c r="CG3364" s="1"/>
      <c r="CH3364" s="1"/>
      <c r="CI3364" s="1"/>
      <c r="CJ3364" s="1"/>
      <c r="CK3364" s="1"/>
      <c r="CM3364" s="15"/>
    </row>
    <row r="3365" spans="1:91" s="11" customFormat="1" x14ac:dyDescent="0.3">
      <c r="A3365" s="1" t="s">
        <v>60</v>
      </c>
      <c r="B3365" s="7">
        <v>40763</v>
      </c>
      <c r="C3365" s="1">
        <v>6</v>
      </c>
      <c r="D3365" s="1">
        <v>190</v>
      </c>
      <c r="E3365" s="1">
        <v>1</v>
      </c>
      <c r="F3365" s="1">
        <v>46</v>
      </c>
      <c r="G3365" s="1"/>
      <c r="H3365" s="1">
        <v>1</v>
      </c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  <c r="AA3365" s="1"/>
      <c r="AB3365" s="1"/>
      <c r="AC3365" s="1"/>
      <c r="AD3365" s="1"/>
      <c r="AE3365" s="1"/>
      <c r="AF3365" s="1"/>
      <c r="AG3365" s="1"/>
      <c r="AH3365" s="1"/>
      <c r="AI3365" s="1"/>
      <c r="AJ3365" s="1"/>
      <c r="AK3365" s="1"/>
      <c r="AL3365" s="1"/>
      <c r="AM3365" s="1"/>
      <c r="AN3365" s="1"/>
      <c r="AO3365" s="1"/>
      <c r="AP3365" s="1"/>
      <c r="AQ3365" s="1"/>
      <c r="AR3365" s="1"/>
      <c r="AS3365" s="1"/>
      <c r="AT3365" s="1"/>
      <c r="AU3365" s="1"/>
      <c r="AV3365" s="1"/>
      <c r="AW3365" s="1"/>
      <c r="AX3365" s="1"/>
      <c r="AY3365" s="1"/>
      <c r="AZ3365" s="1"/>
      <c r="BA3365" s="1"/>
      <c r="BB3365" s="1"/>
      <c r="BC3365" s="1"/>
      <c r="BD3365" s="1"/>
      <c r="BE3365" s="1"/>
      <c r="BF3365" s="1"/>
      <c r="BG3365" s="1"/>
      <c r="BH3365" s="1"/>
      <c r="BI3365" s="1"/>
      <c r="BJ3365" s="1"/>
      <c r="BK3365" s="1"/>
      <c r="BL3365" s="1"/>
      <c r="BM3365" s="1"/>
      <c r="BN3365" s="1"/>
      <c r="BO3365" s="1"/>
      <c r="BP3365" s="1"/>
      <c r="BQ3365" s="1"/>
      <c r="BR3365" s="1"/>
      <c r="BS3365" s="1"/>
      <c r="BT3365" s="1"/>
      <c r="BU3365" s="1"/>
      <c r="BV3365" s="1"/>
      <c r="BW3365" s="1"/>
      <c r="BX3365" s="1"/>
      <c r="BY3365" s="1"/>
      <c r="BZ3365" s="1"/>
      <c r="CA3365" s="1"/>
      <c r="CB3365" s="1"/>
      <c r="CC3365" s="1"/>
      <c r="CD3365" s="1"/>
      <c r="CE3365" s="1"/>
      <c r="CF3365" s="1"/>
      <c r="CG3365" s="1"/>
      <c r="CH3365" s="1"/>
      <c r="CI3365" s="1"/>
      <c r="CJ3365" s="1"/>
      <c r="CK3365" s="1"/>
      <c r="CM3365" s="15"/>
    </row>
    <row r="3366" spans="1:91" s="11" customFormat="1" x14ac:dyDescent="0.3">
      <c r="A3366" s="1" t="s">
        <v>60</v>
      </c>
      <c r="B3366" s="7">
        <v>40763</v>
      </c>
      <c r="C3366" s="1">
        <v>6</v>
      </c>
      <c r="D3366" s="1">
        <v>190</v>
      </c>
      <c r="E3366" s="1">
        <v>1</v>
      </c>
      <c r="F3366" s="1">
        <v>47</v>
      </c>
      <c r="G3366" s="1"/>
      <c r="H3366" s="1">
        <v>1</v>
      </c>
      <c r="I3366" s="1">
        <v>1</v>
      </c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  <c r="AA3366" s="1"/>
      <c r="AB3366" s="1"/>
      <c r="AC3366" s="1"/>
      <c r="AD3366" s="1"/>
      <c r="AE3366" s="1"/>
      <c r="AF3366" s="1"/>
      <c r="AG3366" s="1"/>
      <c r="AH3366" s="1"/>
      <c r="AI3366" s="1"/>
      <c r="AJ3366" s="1"/>
      <c r="AK3366" s="1"/>
      <c r="AL3366" s="1"/>
      <c r="AM3366" s="1"/>
      <c r="AN3366" s="1"/>
      <c r="AO3366" s="1"/>
      <c r="AP3366" s="1"/>
      <c r="AQ3366" s="1"/>
      <c r="AR3366" s="1"/>
      <c r="AS3366" s="1"/>
      <c r="AT3366" s="1"/>
      <c r="AU3366" s="1"/>
      <c r="AV3366" s="1"/>
      <c r="AW3366" s="1"/>
      <c r="AX3366" s="1"/>
      <c r="AY3366" s="1"/>
      <c r="AZ3366" s="1"/>
      <c r="BA3366" s="1"/>
      <c r="BB3366" s="1"/>
      <c r="BC3366" s="1"/>
      <c r="BD3366" s="1"/>
      <c r="BE3366" s="1"/>
      <c r="BF3366" s="1"/>
      <c r="BG3366" s="1"/>
      <c r="BH3366" s="1"/>
      <c r="BI3366" s="1"/>
      <c r="BJ3366" s="1"/>
      <c r="BK3366" s="1"/>
      <c r="BL3366" s="1"/>
      <c r="BM3366" s="1"/>
      <c r="BN3366" s="1"/>
      <c r="BO3366" s="1"/>
      <c r="BP3366" s="1"/>
      <c r="BQ3366" s="1"/>
      <c r="BR3366" s="1"/>
      <c r="BS3366" s="1"/>
      <c r="BT3366" s="1"/>
      <c r="BU3366" s="1"/>
      <c r="BV3366" s="1"/>
      <c r="BW3366" s="1"/>
      <c r="BX3366" s="1"/>
      <c r="BY3366" s="1"/>
      <c r="BZ3366" s="1"/>
      <c r="CA3366" s="1"/>
      <c r="CB3366" s="1"/>
      <c r="CC3366" s="1"/>
      <c r="CD3366" s="1"/>
      <c r="CE3366" s="1"/>
      <c r="CF3366" s="1"/>
      <c r="CG3366" s="1"/>
      <c r="CH3366" s="1"/>
      <c r="CI3366" s="1"/>
      <c r="CJ3366" s="1"/>
      <c r="CK3366" s="1"/>
      <c r="CM3366" s="15"/>
    </row>
    <row r="3367" spans="1:91" s="11" customFormat="1" x14ac:dyDescent="0.3">
      <c r="A3367" s="1" t="s">
        <v>60</v>
      </c>
      <c r="B3367" s="7">
        <v>40763</v>
      </c>
      <c r="C3367" s="1">
        <v>6</v>
      </c>
      <c r="D3367" s="1">
        <v>190</v>
      </c>
      <c r="E3367" s="1">
        <v>1</v>
      </c>
      <c r="F3367" s="1">
        <v>48</v>
      </c>
      <c r="G3367" s="1"/>
      <c r="H3367" s="1"/>
      <c r="I3367" s="1"/>
      <c r="J3367" s="1">
        <v>1</v>
      </c>
      <c r="K3367" s="1"/>
      <c r="L3367" s="1">
        <v>1</v>
      </c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  <c r="AA3367" s="1"/>
      <c r="AB3367" s="1"/>
      <c r="AC3367" s="1"/>
      <c r="AD3367" s="1"/>
      <c r="AE3367" s="1"/>
      <c r="AF3367" s="1"/>
      <c r="AG3367" s="1"/>
      <c r="AH3367" s="1"/>
      <c r="AI3367" s="1"/>
      <c r="AJ3367" s="1"/>
      <c r="AK3367" s="1"/>
      <c r="AL3367" s="1"/>
      <c r="AM3367" s="1"/>
      <c r="AN3367" s="1"/>
      <c r="AO3367" s="1"/>
      <c r="AP3367" s="1"/>
      <c r="AQ3367" s="1"/>
      <c r="AR3367" s="1"/>
      <c r="AS3367" s="1"/>
      <c r="AT3367" s="1"/>
      <c r="AU3367" s="1"/>
      <c r="AV3367" s="1"/>
      <c r="AW3367" s="1"/>
      <c r="AX3367" s="1"/>
      <c r="AY3367" s="1"/>
      <c r="AZ3367" s="1"/>
      <c r="BA3367" s="1"/>
      <c r="BB3367" s="1"/>
      <c r="BC3367" s="1"/>
      <c r="BD3367" s="1"/>
      <c r="BE3367" s="1"/>
      <c r="BF3367" s="1"/>
      <c r="BG3367" s="1"/>
      <c r="BH3367" s="1"/>
      <c r="BI3367" s="1"/>
      <c r="BJ3367" s="1"/>
      <c r="BK3367" s="1"/>
      <c r="BL3367" s="1"/>
      <c r="BM3367" s="1"/>
      <c r="BN3367" s="1"/>
      <c r="BO3367" s="1"/>
      <c r="BP3367" s="1"/>
      <c r="BQ3367" s="1"/>
      <c r="BR3367" s="1"/>
      <c r="BS3367" s="1"/>
      <c r="BT3367" s="1"/>
      <c r="BU3367" s="1"/>
      <c r="BV3367" s="1"/>
      <c r="BW3367" s="1"/>
      <c r="BX3367" s="1"/>
      <c r="BY3367" s="1"/>
      <c r="BZ3367" s="1"/>
      <c r="CA3367" s="1"/>
      <c r="CB3367" s="1"/>
      <c r="CC3367" s="1"/>
      <c r="CD3367" s="1"/>
      <c r="CE3367" s="1"/>
      <c r="CF3367" s="1"/>
      <c r="CG3367" s="1"/>
      <c r="CH3367" s="1"/>
      <c r="CI3367" s="1"/>
      <c r="CJ3367" s="1"/>
      <c r="CK3367" s="1"/>
      <c r="CM3367" s="15"/>
    </row>
    <row r="3368" spans="1:91" s="11" customFormat="1" x14ac:dyDescent="0.3">
      <c r="A3368" s="1" t="s">
        <v>60</v>
      </c>
      <c r="B3368" s="7">
        <v>40763</v>
      </c>
      <c r="C3368" s="1">
        <v>6</v>
      </c>
      <c r="D3368" s="1">
        <v>190</v>
      </c>
      <c r="E3368" s="1">
        <v>1</v>
      </c>
      <c r="F3368" s="1">
        <v>49</v>
      </c>
      <c r="G3368" s="1"/>
      <c r="H3368" s="1"/>
      <c r="I3368" s="1"/>
      <c r="J3368" s="1">
        <v>1</v>
      </c>
      <c r="K3368" s="1"/>
      <c r="L3368" s="1"/>
      <c r="M3368" s="1"/>
      <c r="N3368" s="1"/>
      <c r="O3368" s="1"/>
      <c r="P3368" s="1"/>
      <c r="Q3368" s="1"/>
      <c r="R3368" s="1">
        <v>1</v>
      </c>
      <c r="S3368" s="1"/>
      <c r="T3368" s="1"/>
      <c r="U3368" s="1"/>
      <c r="V3368" s="1"/>
      <c r="W3368" s="1"/>
      <c r="X3368" s="1"/>
      <c r="Y3368" s="1"/>
      <c r="Z3368" s="1"/>
      <c r="AA3368" s="1"/>
      <c r="AB3368" s="1"/>
      <c r="AC3368" s="1"/>
      <c r="AD3368" s="1"/>
      <c r="AE3368" s="1"/>
      <c r="AF3368" s="1"/>
      <c r="AG3368" s="1"/>
      <c r="AH3368" s="1"/>
      <c r="AI3368" s="1"/>
      <c r="AJ3368" s="1"/>
      <c r="AK3368" s="1"/>
      <c r="AL3368" s="1"/>
      <c r="AM3368" s="1"/>
      <c r="AN3368" s="1"/>
      <c r="AO3368" s="1"/>
      <c r="AP3368" s="1"/>
      <c r="AQ3368" s="1"/>
      <c r="AR3368" s="1"/>
      <c r="AS3368" s="1"/>
      <c r="AT3368" s="1"/>
      <c r="AU3368" s="1"/>
      <c r="AV3368" s="1"/>
      <c r="AW3368" s="1"/>
      <c r="AX3368" s="1"/>
      <c r="AY3368" s="1"/>
      <c r="AZ3368" s="1"/>
      <c r="BA3368" s="1"/>
      <c r="BB3368" s="1"/>
      <c r="BC3368" s="1"/>
      <c r="BD3368" s="1"/>
      <c r="BE3368" s="1"/>
      <c r="BF3368" s="1"/>
      <c r="BG3368" s="1"/>
      <c r="BH3368" s="1"/>
      <c r="BI3368" s="1"/>
      <c r="BJ3368" s="1"/>
      <c r="BK3368" s="1"/>
      <c r="BL3368" s="1"/>
      <c r="BM3368" s="1"/>
      <c r="BN3368" s="1"/>
      <c r="BO3368" s="1"/>
      <c r="BP3368" s="1"/>
      <c r="BQ3368" s="1"/>
      <c r="BR3368" s="1"/>
      <c r="BS3368" s="1"/>
      <c r="BT3368" s="1"/>
      <c r="BU3368" s="1"/>
      <c r="BV3368" s="1"/>
      <c r="BW3368" s="1"/>
      <c r="BX3368" s="1"/>
      <c r="BY3368" s="1"/>
      <c r="BZ3368" s="1"/>
      <c r="CA3368" s="1"/>
      <c r="CB3368" s="1"/>
      <c r="CC3368" s="1"/>
      <c r="CD3368" s="1"/>
      <c r="CE3368" s="1"/>
      <c r="CF3368" s="1"/>
      <c r="CG3368" s="1"/>
      <c r="CH3368" s="1"/>
      <c r="CI3368" s="1"/>
      <c r="CJ3368" s="1"/>
      <c r="CK3368" s="1"/>
      <c r="CM3368" s="15"/>
    </row>
    <row r="3369" spans="1:91" s="11" customFormat="1" x14ac:dyDescent="0.3">
      <c r="A3369" s="1" t="s">
        <v>60</v>
      </c>
      <c r="B3369" s="7">
        <v>40763</v>
      </c>
      <c r="C3369" s="1">
        <v>6</v>
      </c>
      <c r="D3369" s="1">
        <v>190</v>
      </c>
      <c r="E3369" s="1">
        <v>1</v>
      </c>
      <c r="F3369" s="1">
        <v>50</v>
      </c>
      <c r="G3369" s="1"/>
      <c r="H3369" s="1"/>
      <c r="I3369" s="1"/>
      <c r="J3369" s="1">
        <v>1</v>
      </c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  <c r="AA3369" s="1"/>
      <c r="AB3369" s="1"/>
      <c r="AC3369" s="1"/>
      <c r="AD3369" s="1"/>
      <c r="AE3369" s="1"/>
      <c r="AF3369" s="1"/>
      <c r="AG3369" s="1"/>
      <c r="AH3369" s="1"/>
      <c r="AI3369" s="1"/>
      <c r="AJ3369" s="1"/>
      <c r="AK3369" s="1"/>
      <c r="AL3369" s="1"/>
      <c r="AM3369" s="1"/>
      <c r="AN3369" s="1"/>
      <c r="AO3369" s="1"/>
      <c r="AP3369" s="1"/>
      <c r="AQ3369" s="1"/>
      <c r="AR3369" s="1"/>
      <c r="AS3369" s="1"/>
      <c r="AT3369" s="1"/>
      <c r="AU3369" s="1"/>
      <c r="AV3369" s="1"/>
      <c r="AW3369" s="1"/>
      <c r="AX3369" s="1"/>
      <c r="AY3369" s="1"/>
      <c r="AZ3369" s="1"/>
      <c r="BA3369" s="1"/>
      <c r="BB3369" s="1"/>
      <c r="BC3369" s="1"/>
      <c r="BD3369" s="1">
        <v>1</v>
      </c>
      <c r="BE3369" s="1"/>
      <c r="BF3369" s="1"/>
      <c r="BG3369" s="1"/>
      <c r="BH3369" s="1"/>
      <c r="BI3369" s="1"/>
      <c r="BJ3369" s="1"/>
      <c r="BK3369" s="1"/>
      <c r="BL3369" s="1"/>
      <c r="BM3369" s="1"/>
      <c r="BN3369" s="1"/>
      <c r="BO3369" s="1"/>
      <c r="BP3369" s="1"/>
      <c r="BQ3369" s="1"/>
      <c r="BR3369" s="1"/>
      <c r="BS3369" s="1"/>
      <c r="BT3369" s="1"/>
      <c r="BU3369" s="1"/>
      <c r="BV3369" s="1"/>
      <c r="BW3369" s="1"/>
      <c r="BX3369" s="1"/>
      <c r="BY3369" s="1"/>
      <c r="BZ3369" s="1"/>
      <c r="CA3369" s="1"/>
      <c r="CB3369" s="1"/>
      <c r="CC3369" s="1"/>
      <c r="CD3369" s="1"/>
      <c r="CE3369" s="1"/>
      <c r="CF3369" s="1"/>
      <c r="CG3369" s="1"/>
      <c r="CH3369" s="1"/>
      <c r="CI3369" s="1"/>
      <c r="CJ3369" s="1"/>
      <c r="CK3369" s="1"/>
      <c r="CM3369" s="15"/>
    </row>
    <row r="3370" spans="1:91" s="11" customFormat="1" x14ac:dyDescent="0.3">
      <c r="A3370" s="1" t="s">
        <v>60</v>
      </c>
      <c r="B3370" s="7">
        <v>40763</v>
      </c>
      <c r="C3370" s="1">
        <v>6</v>
      </c>
      <c r="D3370" s="1">
        <v>190</v>
      </c>
      <c r="E3370" s="1">
        <v>1</v>
      </c>
      <c r="F3370" s="1">
        <v>51</v>
      </c>
      <c r="G3370" s="1"/>
      <c r="H3370" s="1"/>
      <c r="I3370" s="1">
        <v>1</v>
      </c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  <c r="AA3370" s="1"/>
      <c r="AB3370" s="1"/>
      <c r="AC3370" s="1"/>
      <c r="AD3370" s="1"/>
      <c r="AE3370" s="1"/>
      <c r="AF3370" s="1"/>
      <c r="AG3370" s="1"/>
      <c r="AH3370" s="1"/>
      <c r="AI3370" s="1">
        <v>1</v>
      </c>
      <c r="AJ3370" s="1"/>
      <c r="AK3370" s="1"/>
      <c r="AL3370" s="1"/>
      <c r="AM3370" s="1"/>
      <c r="AN3370" s="1"/>
      <c r="AO3370" s="1"/>
      <c r="AP3370" s="1"/>
      <c r="AQ3370" s="1"/>
      <c r="AR3370" s="1"/>
      <c r="AS3370" s="1"/>
      <c r="AT3370" s="1"/>
      <c r="AU3370" s="1"/>
      <c r="AV3370" s="1"/>
      <c r="AW3370" s="1"/>
      <c r="AX3370" s="1"/>
      <c r="AY3370" s="1"/>
      <c r="AZ3370" s="1"/>
      <c r="BA3370" s="1"/>
      <c r="BB3370" s="1"/>
      <c r="BC3370" s="1"/>
      <c r="BD3370" s="1"/>
      <c r="BE3370" s="1"/>
      <c r="BF3370" s="1"/>
      <c r="BG3370" s="1"/>
      <c r="BH3370" s="1"/>
      <c r="BI3370" s="1"/>
      <c r="BJ3370" s="1"/>
      <c r="BK3370" s="1"/>
      <c r="BL3370" s="1"/>
      <c r="BM3370" s="1"/>
      <c r="BN3370" s="1"/>
      <c r="BO3370" s="1"/>
      <c r="BP3370" s="1"/>
      <c r="BQ3370" s="1"/>
      <c r="BR3370" s="1"/>
      <c r="BS3370" s="1"/>
      <c r="BT3370" s="1"/>
      <c r="BU3370" s="1"/>
      <c r="BV3370" s="1"/>
      <c r="BW3370" s="1"/>
      <c r="BX3370" s="1"/>
      <c r="BY3370" s="1"/>
      <c r="BZ3370" s="1"/>
      <c r="CA3370" s="1"/>
      <c r="CB3370" s="1"/>
      <c r="CC3370" s="1"/>
      <c r="CD3370" s="1"/>
      <c r="CE3370" s="1"/>
      <c r="CF3370" s="1"/>
      <c r="CG3370" s="1"/>
      <c r="CH3370" s="1"/>
      <c r="CI3370" s="1"/>
      <c r="CJ3370" s="1"/>
      <c r="CK3370" s="1"/>
      <c r="CM3370" s="15"/>
    </row>
    <row r="3371" spans="1:91" s="11" customFormat="1" x14ac:dyDescent="0.3">
      <c r="A3371" s="1" t="s">
        <v>60</v>
      </c>
      <c r="B3371" s="7">
        <v>40763</v>
      </c>
      <c r="C3371" s="1">
        <v>6</v>
      </c>
      <c r="D3371" s="1">
        <v>190</v>
      </c>
      <c r="E3371" s="1">
        <v>1</v>
      </c>
      <c r="F3371" s="1">
        <v>52</v>
      </c>
      <c r="G3371" s="1"/>
      <c r="H3371" s="1"/>
      <c r="I3371" s="1"/>
      <c r="J3371" s="1">
        <v>1</v>
      </c>
      <c r="K3371" s="1"/>
      <c r="L3371" s="1"/>
      <c r="M3371" s="1"/>
      <c r="N3371" s="1"/>
      <c r="O3371" s="1"/>
      <c r="P3371" s="1"/>
      <c r="Q3371" s="1"/>
      <c r="R3371" s="1">
        <v>1</v>
      </c>
      <c r="S3371" s="1"/>
      <c r="T3371" s="1"/>
      <c r="U3371" s="1"/>
      <c r="V3371" s="1"/>
      <c r="W3371" s="1"/>
      <c r="X3371" s="1"/>
      <c r="Y3371" s="1"/>
      <c r="Z3371" s="1"/>
      <c r="AA3371" s="1"/>
      <c r="AB3371" s="1"/>
      <c r="AC3371" s="1"/>
      <c r="AD3371" s="1"/>
      <c r="AE3371" s="1"/>
      <c r="AF3371" s="1"/>
      <c r="AG3371" s="1"/>
      <c r="AH3371" s="1"/>
      <c r="AI3371" s="1"/>
      <c r="AJ3371" s="1"/>
      <c r="AK3371" s="1"/>
      <c r="AL3371" s="1"/>
      <c r="AM3371" s="1"/>
      <c r="AN3371" s="1"/>
      <c r="AO3371" s="1"/>
      <c r="AP3371" s="1"/>
      <c r="AQ3371" s="1"/>
      <c r="AR3371" s="1"/>
      <c r="AS3371" s="1"/>
      <c r="AT3371" s="1"/>
      <c r="AU3371" s="1"/>
      <c r="AV3371" s="1"/>
      <c r="AW3371" s="1"/>
      <c r="AX3371" s="1"/>
      <c r="AY3371" s="1"/>
      <c r="AZ3371" s="1"/>
      <c r="BA3371" s="1"/>
      <c r="BB3371" s="1"/>
      <c r="BC3371" s="1"/>
      <c r="BD3371" s="1"/>
      <c r="BE3371" s="1"/>
      <c r="BF3371" s="1"/>
      <c r="BG3371" s="1"/>
      <c r="BH3371" s="1"/>
      <c r="BI3371" s="1"/>
      <c r="BJ3371" s="1"/>
      <c r="BK3371" s="1"/>
      <c r="BL3371" s="1"/>
      <c r="BM3371" s="1"/>
      <c r="BN3371" s="1"/>
      <c r="BO3371" s="1"/>
      <c r="BP3371" s="1"/>
      <c r="BQ3371" s="1"/>
      <c r="BR3371" s="1"/>
      <c r="BS3371" s="1"/>
      <c r="BT3371" s="1"/>
      <c r="BU3371" s="1"/>
      <c r="BV3371" s="1"/>
      <c r="BW3371" s="1"/>
      <c r="BX3371" s="1"/>
      <c r="BY3371" s="1"/>
      <c r="BZ3371" s="1"/>
      <c r="CA3371" s="1"/>
      <c r="CB3371" s="1"/>
      <c r="CC3371" s="1"/>
      <c r="CD3371" s="1"/>
      <c r="CE3371" s="1"/>
      <c r="CF3371" s="1"/>
      <c r="CG3371" s="1"/>
      <c r="CH3371" s="1"/>
      <c r="CI3371" s="1"/>
      <c r="CJ3371" s="1"/>
      <c r="CK3371" s="1"/>
      <c r="CM3371" s="15"/>
    </row>
    <row r="3372" spans="1:91" s="11" customFormat="1" x14ac:dyDescent="0.3">
      <c r="A3372" s="1" t="s">
        <v>60</v>
      </c>
      <c r="B3372" s="7">
        <v>40763</v>
      </c>
      <c r="C3372" s="1">
        <v>6</v>
      </c>
      <c r="D3372" s="1">
        <v>190</v>
      </c>
      <c r="E3372" s="1">
        <v>1</v>
      </c>
      <c r="F3372" s="1">
        <v>53</v>
      </c>
      <c r="G3372" s="1"/>
      <c r="H3372" s="1"/>
      <c r="I3372" s="1"/>
      <c r="J3372" s="1">
        <v>1</v>
      </c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  <c r="AA3372" s="1"/>
      <c r="AB3372" s="1"/>
      <c r="AC3372" s="1"/>
      <c r="AD3372" s="1"/>
      <c r="AE3372" s="1"/>
      <c r="AF3372" s="1"/>
      <c r="AG3372" s="1"/>
      <c r="AH3372" s="1"/>
      <c r="AI3372" s="1"/>
      <c r="AJ3372" s="1"/>
      <c r="AK3372" s="1"/>
      <c r="AL3372" s="1"/>
      <c r="AM3372" s="1"/>
      <c r="AN3372" s="1"/>
      <c r="AO3372" s="1"/>
      <c r="AP3372" s="1"/>
      <c r="AQ3372" s="1"/>
      <c r="AR3372" s="1"/>
      <c r="AS3372" s="1"/>
      <c r="AT3372" s="1"/>
      <c r="AU3372" s="1"/>
      <c r="AV3372" s="1"/>
      <c r="AW3372" s="1"/>
      <c r="AX3372" s="1"/>
      <c r="AY3372" s="1"/>
      <c r="AZ3372" s="1"/>
      <c r="BA3372" s="1"/>
      <c r="BB3372" s="1"/>
      <c r="BC3372" s="1"/>
      <c r="BD3372" s="1"/>
      <c r="BE3372" s="1"/>
      <c r="BF3372" s="1"/>
      <c r="BG3372" s="1"/>
      <c r="BH3372" s="1"/>
      <c r="BI3372" s="1"/>
      <c r="BJ3372" s="1"/>
      <c r="BK3372" s="1"/>
      <c r="BL3372" s="1"/>
      <c r="BM3372" s="1"/>
      <c r="BN3372" s="1"/>
      <c r="BO3372" s="1"/>
      <c r="BP3372" s="1"/>
      <c r="BQ3372" s="1"/>
      <c r="BR3372" s="1"/>
      <c r="BS3372" s="1"/>
      <c r="BT3372" s="1"/>
      <c r="BU3372" s="1"/>
      <c r="BV3372" s="1"/>
      <c r="BW3372" s="1"/>
      <c r="BX3372" s="1"/>
      <c r="BY3372" s="1"/>
      <c r="BZ3372" s="1"/>
      <c r="CA3372" s="1"/>
      <c r="CB3372" s="1"/>
      <c r="CC3372" s="1"/>
      <c r="CD3372" s="1"/>
      <c r="CE3372" s="1"/>
      <c r="CF3372" s="1"/>
      <c r="CG3372" s="1"/>
      <c r="CH3372" s="1"/>
      <c r="CI3372" s="1"/>
      <c r="CJ3372" s="1"/>
      <c r="CK3372" s="1"/>
      <c r="CM3372" s="15"/>
    </row>
    <row r="3373" spans="1:91" s="11" customFormat="1" x14ac:dyDescent="0.3">
      <c r="A3373" s="1" t="s">
        <v>60</v>
      </c>
      <c r="B3373" s="7">
        <v>40763</v>
      </c>
      <c r="C3373" s="1">
        <v>6</v>
      </c>
      <c r="D3373" s="1">
        <v>190</v>
      </c>
      <c r="E3373" s="1">
        <v>1</v>
      </c>
      <c r="F3373" s="1">
        <v>54</v>
      </c>
      <c r="G3373" s="1"/>
      <c r="H3373" s="1"/>
      <c r="I3373" s="1"/>
      <c r="J3373" s="1">
        <v>1</v>
      </c>
      <c r="K3373" s="1"/>
      <c r="L3373" s="1"/>
      <c r="M3373" s="1"/>
      <c r="N3373" s="1"/>
      <c r="O3373" s="1"/>
      <c r="P3373" s="1"/>
      <c r="Q3373" s="1"/>
      <c r="R3373" s="3">
        <v>0</v>
      </c>
      <c r="S3373" s="3">
        <v>1</v>
      </c>
      <c r="T3373" s="1"/>
      <c r="U3373" s="1"/>
      <c r="V3373" s="1"/>
      <c r="W3373" s="1"/>
      <c r="X3373" s="1"/>
      <c r="Y3373" s="1"/>
      <c r="Z3373" s="1"/>
      <c r="AA3373" s="1"/>
      <c r="AB3373" s="1"/>
      <c r="AC3373" s="1"/>
      <c r="AD3373" s="1"/>
      <c r="AE3373" s="1"/>
      <c r="AF3373" s="1"/>
      <c r="AG3373" s="1"/>
      <c r="AH3373" s="1"/>
      <c r="AI3373" s="1"/>
      <c r="AJ3373" s="1"/>
      <c r="AK3373" s="1"/>
      <c r="AL3373" s="1"/>
      <c r="AM3373" s="1"/>
      <c r="AN3373" s="1"/>
      <c r="AO3373" s="1"/>
      <c r="AP3373" s="1"/>
      <c r="AQ3373" s="1"/>
      <c r="AR3373" s="1"/>
      <c r="AS3373" s="1"/>
      <c r="AT3373" s="1"/>
      <c r="AU3373" s="1"/>
      <c r="AV3373" s="1"/>
      <c r="AW3373" s="1"/>
      <c r="AX3373" s="1"/>
      <c r="AY3373" s="1"/>
      <c r="AZ3373" s="1"/>
      <c r="BA3373" s="1"/>
      <c r="BB3373" s="1"/>
      <c r="BC3373" s="1"/>
      <c r="BD3373" s="1"/>
      <c r="BE3373" s="1"/>
      <c r="BF3373" s="1"/>
      <c r="BG3373" s="1"/>
      <c r="BH3373" s="1"/>
      <c r="BI3373" s="1"/>
      <c r="BJ3373" s="1"/>
      <c r="BK3373" s="1"/>
      <c r="BL3373" s="1"/>
      <c r="BM3373" s="1"/>
      <c r="BN3373" s="1"/>
      <c r="BO3373" s="1"/>
      <c r="BP3373" s="1"/>
      <c r="BQ3373" s="1"/>
      <c r="BR3373" s="1"/>
      <c r="BS3373" s="1"/>
      <c r="BT3373" s="1"/>
      <c r="BU3373" s="1"/>
      <c r="BV3373" s="1"/>
      <c r="BW3373" s="1"/>
      <c r="BX3373" s="1"/>
      <c r="BY3373" s="1"/>
      <c r="BZ3373" s="1"/>
      <c r="CA3373" s="1"/>
      <c r="CB3373" s="1"/>
      <c r="CC3373" s="1"/>
      <c r="CD3373" s="1"/>
      <c r="CE3373" s="1"/>
      <c r="CF3373" s="1"/>
      <c r="CG3373" s="1"/>
      <c r="CH3373" s="1"/>
      <c r="CI3373" s="1"/>
      <c r="CJ3373" s="1"/>
      <c r="CK3373" s="1"/>
      <c r="CM3373" s="15"/>
    </row>
    <row r="3374" spans="1:91" s="11" customFormat="1" x14ac:dyDescent="0.3">
      <c r="A3374" s="1" t="s">
        <v>60</v>
      </c>
      <c r="B3374" s="7">
        <v>40763</v>
      </c>
      <c r="C3374" s="1">
        <v>6</v>
      </c>
      <c r="D3374" s="1">
        <v>190</v>
      </c>
      <c r="E3374" s="1">
        <v>1</v>
      </c>
      <c r="F3374" s="1">
        <v>55</v>
      </c>
      <c r="G3374" s="1"/>
      <c r="H3374" s="1"/>
      <c r="I3374" s="1">
        <v>1</v>
      </c>
      <c r="J3374" s="1">
        <v>1</v>
      </c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  <c r="AA3374" s="1"/>
      <c r="AB3374" s="1"/>
      <c r="AC3374" s="1"/>
      <c r="AD3374" s="1"/>
      <c r="AE3374" s="1"/>
      <c r="AF3374" s="1"/>
      <c r="AG3374" s="1"/>
      <c r="AH3374" s="1"/>
      <c r="AI3374" s="1"/>
      <c r="AJ3374" s="1"/>
      <c r="AK3374" s="1"/>
      <c r="AL3374" s="1"/>
      <c r="AM3374" s="1"/>
      <c r="AN3374" s="1"/>
      <c r="AO3374" s="1"/>
      <c r="AP3374" s="1"/>
      <c r="AQ3374" s="1"/>
      <c r="AR3374" s="1"/>
      <c r="AS3374" s="1"/>
      <c r="AT3374" s="1"/>
      <c r="AU3374" s="1"/>
      <c r="AV3374" s="1"/>
      <c r="AW3374" s="1"/>
      <c r="AX3374" s="1"/>
      <c r="AY3374" s="1"/>
      <c r="AZ3374" s="1"/>
      <c r="BA3374" s="1"/>
      <c r="BB3374" s="1"/>
      <c r="BC3374" s="1"/>
      <c r="BD3374" s="1"/>
      <c r="BE3374" s="1"/>
      <c r="BF3374" s="1"/>
      <c r="BG3374" s="1"/>
      <c r="BH3374" s="1"/>
      <c r="BI3374" s="1"/>
      <c r="BJ3374" s="1"/>
      <c r="BK3374" s="1"/>
      <c r="BL3374" s="1"/>
      <c r="BM3374" s="1"/>
      <c r="BN3374" s="1"/>
      <c r="BO3374" s="1"/>
      <c r="BP3374" s="1"/>
      <c r="BQ3374" s="1"/>
      <c r="BR3374" s="1"/>
      <c r="BS3374" s="1"/>
      <c r="BT3374" s="1"/>
      <c r="BU3374" s="1"/>
      <c r="BV3374" s="1"/>
      <c r="BW3374" s="1"/>
      <c r="BX3374" s="1"/>
      <c r="BY3374" s="1"/>
      <c r="BZ3374" s="1"/>
      <c r="CA3374" s="1"/>
      <c r="CB3374" s="1"/>
      <c r="CC3374" s="1"/>
      <c r="CD3374" s="1"/>
      <c r="CE3374" s="1"/>
      <c r="CF3374" s="1"/>
      <c r="CG3374" s="1"/>
      <c r="CH3374" s="1"/>
      <c r="CI3374" s="1"/>
      <c r="CJ3374" s="1"/>
      <c r="CK3374" s="1"/>
      <c r="CM3374" s="15"/>
    </row>
    <row r="3375" spans="1:91" s="11" customFormat="1" x14ac:dyDescent="0.3">
      <c r="A3375" s="1" t="s">
        <v>60</v>
      </c>
      <c r="B3375" s="7">
        <v>40763</v>
      </c>
      <c r="C3375" s="1">
        <v>6</v>
      </c>
      <c r="D3375" s="1">
        <v>190</v>
      </c>
      <c r="E3375" s="1">
        <v>1</v>
      </c>
      <c r="F3375" s="1">
        <v>56</v>
      </c>
      <c r="G3375" s="1"/>
      <c r="H3375" s="1">
        <v>1</v>
      </c>
      <c r="I3375" s="1"/>
      <c r="J3375" s="1">
        <v>1</v>
      </c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  <c r="AA3375" s="1"/>
      <c r="AB3375" s="1"/>
      <c r="AC3375" s="1"/>
      <c r="AD3375" s="1"/>
      <c r="AE3375" s="1"/>
      <c r="AF3375" s="1"/>
      <c r="AG3375" s="1"/>
      <c r="AH3375" s="1"/>
      <c r="AI3375" s="1"/>
      <c r="AJ3375" s="1"/>
      <c r="AK3375" s="1"/>
      <c r="AL3375" s="1"/>
      <c r="AM3375" s="1"/>
      <c r="AN3375" s="1"/>
      <c r="AO3375" s="1"/>
      <c r="AP3375" s="1"/>
      <c r="AQ3375" s="1"/>
      <c r="AR3375" s="1"/>
      <c r="AS3375" s="1"/>
      <c r="AT3375" s="1"/>
      <c r="AU3375" s="1"/>
      <c r="AV3375" s="1"/>
      <c r="AW3375" s="1"/>
      <c r="AX3375" s="1"/>
      <c r="AY3375" s="1"/>
      <c r="AZ3375" s="1"/>
      <c r="BA3375" s="1"/>
      <c r="BB3375" s="1"/>
      <c r="BC3375" s="1"/>
      <c r="BD3375" s="1"/>
      <c r="BE3375" s="1"/>
      <c r="BF3375" s="1"/>
      <c r="BG3375" s="1"/>
      <c r="BH3375" s="1"/>
      <c r="BI3375" s="1"/>
      <c r="BJ3375" s="1"/>
      <c r="BK3375" s="1"/>
      <c r="BL3375" s="1"/>
      <c r="BM3375" s="1"/>
      <c r="BN3375" s="1"/>
      <c r="BO3375" s="1"/>
      <c r="BP3375" s="1"/>
      <c r="BQ3375" s="1"/>
      <c r="BR3375" s="1"/>
      <c r="BS3375" s="1"/>
      <c r="BT3375" s="1"/>
      <c r="BU3375" s="1"/>
      <c r="BV3375" s="1"/>
      <c r="BW3375" s="1"/>
      <c r="BX3375" s="1"/>
      <c r="BY3375" s="1"/>
      <c r="BZ3375" s="1"/>
      <c r="CA3375" s="1"/>
      <c r="CB3375" s="1"/>
      <c r="CC3375" s="1"/>
      <c r="CD3375" s="1"/>
      <c r="CE3375" s="1"/>
      <c r="CF3375" s="1"/>
      <c r="CG3375" s="1"/>
      <c r="CH3375" s="1"/>
      <c r="CI3375" s="1"/>
      <c r="CJ3375" s="1"/>
      <c r="CK3375" s="1"/>
      <c r="CM3375" s="15"/>
    </row>
    <row r="3376" spans="1:91" s="11" customFormat="1" x14ac:dyDescent="0.3">
      <c r="A3376" s="1" t="s">
        <v>60</v>
      </c>
      <c r="B3376" s="7">
        <v>40763</v>
      </c>
      <c r="C3376" s="1">
        <v>6</v>
      </c>
      <c r="D3376" s="1">
        <v>190</v>
      </c>
      <c r="E3376" s="1">
        <v>1</v>
      </c>
      <c r="F3376" s="1">
        <v>57</v>
      </c>
      <c r="G3376" s="1"/>
      <c r="H3376" s="1"/>
      <c r="I3376" s="1"/>
      <c r="J3376" s="1">
        <v>1</v>
      </c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  <c r="AA3376" s="1"/>
      <c r="AB3376" s="1"/>
      <c r="AC3376" s="1"/>
      <c r="AD3376" s="1"/>
      <c r="AE3376" s="1"/>
      <c r="AF3376" s="1"/>
      <c r="AG3376" s="1"/>
      <c r="AH3376" s="1"/>
      <c r="AI3376" s="1"/>
      <c r="AJ3376" s="1"/>
      <c r="AK3376" s="1"/>
      <c r="AL3376" s="1"/>
      <c r="AM3376" s="1"/>
      <c r="AN3376" s="1"/>
      <c r="AO3376" s="1"/>
      <c r="AP3376" s="1"/>
      <c r="AQ3376" s="1"/>
      <c r="AR3376" s="1"/>
      <c r="AS3376" s="1"/>
      <c r="AT3376" s="1"/>
      <c r="AU3376" s="1"/>
      <c r="AV3376" s="1"/>
      <c r="AW3376" s="1"/>
      <c r="AX3376" s="1"/>
      <c r="AY3376" s="1"/>
      <c r="AZ3376" s="1"/>
      <c r="BA3376" s="1"/>
      <c r="BB3376" s="1"/>
      <c r="BC3376" s="1"/>
      <c r="BD3376" s="1"/>
      <c r="BE3376" s="1"/>
      <c r="BF3376" s="1"/>
      <c r="BG3376" s="1"/>
      <c r="BH3376" s="1"/>
      <c r="BI3376" s="1"/>
      <c r="BJ3376" s="1"/>
      <c r="BK3376" s="1"/>
      <c r="BL3376" s="1"/>
      <c r="BM3376" s="1"/>
      <c r="BN3376" s="1"/>
      <c r="BO3376" s="1"/>
      <c r="BP3376" s="1"/>
      <c r="BQ3376" s="1"/>
      <c r="BR3376" s="1"/>
      <c r="BS3376" s="1"/>
      <c r="BT3376" s="1"/>
      <c r="BU3376" s="1"/>
      <c r="BV3376" s="1"/>
      <c r="BW3376" s="1"/>
      <c r="BX3376" s="1"/>
      <c r="BY3376" s="1"/>
      <c r="BZ3376" s="1"/>
      <c r="CA3376" s="1"/>
      <c r="CB3376" s="1"/>
      <c r="CC3376" s="1"/>
      <c r="CD3376" s="1"/>
      <c r="CE3376" s="1"/>
      <c r="CF3376" s="1"/>
      <c r="CG3376" s="1"/>
      <c r="CH3376" s="1"/>
      <c r="CI3376" s="1"/>
      <c r="CJ3376" s="1"/>
      <c r="CK3376" s="1"/>
      <c r="CM3376" s="15"/>
    </row>
    <row r="3377" spans="1:91" s="11" customFormat="1" x14ac:dyDescent="0.3">
      <c r="A3377" s="1" t="s">
        <v>60</v>
      </c>
      <c r="B3377" s="7">
        <v>40763</v>
      </c>
      <c r="C3377" s="1">
        <v>6</v>
      </c>
      <c r="D3377" s="1">
        <v>190</v>
      </c>
      <c r="E3377" s="1">
        <v>1</v>
      </c>
      <c r="F3377" s="1">
        <v>58</v>
      </c>
      <c r="G3377" s="1"/>
      <c r="H3377" s="1"/>
      <c r="I3377" s="1"/>
      <c r="J3377" s="1">
        <v>1</v>
      </c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  <c r="AA3377" s="1"/>
      <c r="AB3377" s="1"/>
      <c r="AC3377" s="1"/>
      <c r="AD3377" s="1"/>
      <c r="AE3377" s="1"/>
      <c r="AF3377" s="1"/>
      <c r="AG3377" s="1"/>
      <c r="AH3377" s="1"/>
      <c r="AI3377" s="1"/>
      <c r="AJ3377" s="1"/>
      <c r="AK3377" s="1"/>
      <c r="AL3377" s="1"/>
      <c r="AM3377" s="1"/>
      <c r="AN3377" s="1"/>
      <c r="AO3377" s="1"/>
      <c r="AP3377" s="1"/>
      <c r="AQ3377" s="1"/>
      <c r="AR3377" s="1"/>
      <c r="AS3377" s="1"/>
      <c r="AT3377" s="1"/>
      <c r="AU3377" s="1"/>
      <c r="AV3377" s="1"/>
      <c r="AW3377" s="1"/>
      <c r="AX3377" s="1"/>
      <c r="AY3377" s="1"/>
      <c r="AZ3377" s="1"/>
      <c r="BA3377" s="1"/>
      <c r="BB3377" s="1"/>
      <c r="BC3377" s="1"/>
      <c r="BD3377" s="1"/>
      <c r="BE3377" s="1"/>
      <c r="BF3377" s="1"/>
      <c r="BG3377" s="1"/>
      <c r="BH3377" s="1"/>
      <c r="BI3377" s="1"/>
      <c r="BJ3377" s="1"/>
      <c r="BK3377" s="1"/>
      <c r="BL3377" s="1"/>
      <c r="BM3377" s="1"/>
      <c r="BN3377" s="1"/>
      <c r="BO3377" s="1"/>
      <c r="BP3377" s="1"/>
      <c r="BQ3377" s="1"/>
      <c r="BR3377" s="1"/>
      <c r="BS3377" s="1"/>
      <c r="BT3377" s="1"/>
      <c r="BU3377" s="1"/>
      <c r="BV3377" s="1"/>
      <c r="BW3377" s="1"/>
      <c r="BX3377" s="1"/>
      <c r="BY3377" s="1"/>
      <c r="BZ3377" s="1"/>
      <c r="CA3377" s="1"/>
      <c r="CB3377" s="1"/>
      <c r="CC3377" s="1"/>
      <c r="CD3377" s="1"/>
      <c r="CE3377" s="1"/>
      <c r="CF3377" s="1"/>
      <c r="CG3377" s="1"/>
      <c r="CH3377" s="1"/>
      <c r="CI3377" s="1"/>
      <c r="CJ3377" s="1"/>
      <c r="CK3377" s="1"/>
      <c r="CM3377" s="15"/>
    </row>
    <row r="3378" spans="1:91" s="11" customFormat="1" x14ac:dyDescent="0.3">
      <c r="A3378" s="1" t="s">
        <v>60</v>
      </c>
      <c r="B3378" s="7">
        <v>40763</v>
      </c>
      <c r="C3378" s="1">
        <v>6</v>
      </c>
      <c r="D3378" s="1">
        <v>190</v>
      </c>
      <c r="E3378" s="1">
        <v>1</v>
      </c>
      <c r="F3378" s="1">
        <v>59</v>
      </c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3">
        <v>0</v>
      </c>
      <c r="S3378" s="3">
        <v>1</v>
      </c>
      <c r="T3378" s="1"/>
      <c r="U3378" s="1"/>
      <c r="V3378" s="1"/>
      <c r="W3378" s="1"/>
      <c r="X3378" s="1"/>
      <c r="Y3378" s="1"/>
      <c r="Z3378" s="1"/>
      <c r="AA3378" s="1"/>
      <c r="AB3378" s="1"/>
      <c r="AC3378" s="1"/>
      <c r="AD3378" s="1"/>
      <c r="AE3378" s="1"/>
      <c r="AF3378" s="1"/>
      <c r="AG3378" s="1"/>
      <c r="AH3378" s="1"/>
      <c r="AI3378" s="1"/>
      <c r="AJ3378" s="1"/>
      <c r="AK3378" s="1"/>
      <c r="AL3378" s="1"/>
      <c r="AM3378" s="1"/>
      <c r="AN3378" s="1"/>
      <c r="AO3378" s="1"/>
      <c r="AP3378" s="1"/>
      <c r="AQ3378" s="1"/>
      <c r="AR3378" s="1"/>
      <c r="AS3378" s="1"/>
      <c r="AT3378" s="1"/>
      <c r="AU3378" s="1"/>
      <c r="AV3378" s="1"/>
      <c r="AW3378" s="1"/>
      <c r="AX3378" s="1"/>
      <c r="AY3378" s="1"/>
      <c r="AZ3378" s="1"/>
      <c r="BA3378" s="1"/>
      <c r="BB3378" s="1"/>
      <c r="BC3378" s="1"/>
      <c r="BD3378" s="1"/>
      <c r="BE3378" s="1"/>
      <c r="BF3378" s="1"/>
      <c r="BG3378" s="1"/>
      <c r="BH3378" s="1"/>
      <c r="BI3378" s="1"/>
      <c r="BJ3378" s="1"/>
      <c r="BK3378" s="1"/>
      <c r="BL3378" s="1"/>
      <c r="BM3378" s="1"/>
      <c r="BN3378" s="1"/>
      <c r="BO3378" s="1"/>
      <c r="BP3378" s="1"/>
      <c r="BQ3378" s="1"/>
      <c r="BR3378" s="1"/>
      <c r="BS3378" s="1"/>
      <c r="BT3378" s="1"/>
      <c r="BU3378" s="1"/>
      <c r="BV3378" s="1"/>
      <c r="BW3378" s="1"/>
      <c r="BX3378" s="1"/>
      <c r="BY3378" s="1"/>
      <c r="BZ3378" s="1"/>
      <c r="CA3378" s="1"/>
      <c r="CB3378" s="1"/>
      <c r="CC3378" s="1"/>
      <c r="CD3378" s="1"/>
      <c r="CE3378" s="1"/>
      <c r="CF3378" s="1"/>
      <c r="CG3378" s="1"/>
      <c r="CH3378" s="1"/>
      <c r="CI3378" s="1"/>
      <c r="CJ3378" s="1"/>
      <c r="CK3378" s="1"/>
      <c r="CM3378" s="15"/>
    </row>
    <row r="3379" spans="1:91" s="11" customFormat="1" x14ac:dyDescent="0.3">
      <c r="A3379" s="1" t="s">
        <v>60</v>
      </c>
      <c r="B3379" s="7">
        <v>40763</v>
      </c>
      <c r="C3379" s="1">
        <v>6</v>
      </c>
      <c r="D3379" s="1">
        <v>190</v>
      </c>
      <c r="E3379" s="1">
        <v>1</v>
      </c>
      <c r="F3379" s="1">
        <v>60</v>
      </c>
      <c r="G3379" s="1"/>
      <c r="H3379" s="1"/>
      <c r="I3379" s="1"/>
      <c r="J3379" s="1">
        <v>1</v>
      </c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  <c r="AA3379" s="1"/>
      <c r="AB3379" s="1"/>
      <c r="AC3379" s="1"/>
      <c r="AD3379" s="1"/>
      <c r="AE3379" s="1"/>
      <c r="AF3379" s="1"/>
      <c r="AG3379" s="1"/>
      <c r="AH3379" s="1"/>
      <c r="AI3379" s="1"/>
      <c r="AJ3379" s="1"/>
      <c r="AK3379" s="1"/>
      <c r="AL3379" s="1"/>
      <c r="AM3379" s="1"/>
      <c r="AN3379" s="1"/>
      <c r="AO3379" s="1"/>
      <c r="AP3379" s="1"/>
      <c r="AQ3379" s="1"/>
      <c r="AR3379" s="1"/>
      <c r="AS3379" s="1"/>
      <c r="AT3379" s="1"/>
      <c r="AU3379" s="1"/>
      <c r="AV3379" s="1"/>
      <c r="AW3379" s="1"/>
      <c r="AX3379" s="1"/>
      <c r="AY3379" s="1"/>
      <c r="AZ3379" s="1"/>
      <c r="BA3379" s="1"/>
      <c r="BB3379" s="1"/>
      <c r="BC3379" s="1"/>
      <c r="BD3379" s="1"/>
      <c r="BE3379" s="1"/>
      <c r="BF3379" s="1"/>
      <c r="BG3379" s="1"/>
      <c r="BH3379" s="1"/>
      <c r="BI3379" s="1"/>
      <c r="BJ3379" s="1"/>
      <c r="BK3379" s="1"/>
      <c r="BL3379" s="1"/>
      <c r="BM3379" s="1"/>
      <c r="BN3379" s="1"/>
      <c r="BO3379" s="1"/>
      <c r="BP3379" s="1"/>
      <c r="BQ3379" s="1"/>
      <c r="BR3379" s="1"/>
      <c r="BS3379" s="1"/>
      <c r="BT3379" s="1"/>
      <c r="BU3379" s="1"/>
      <c r="BV3379" s="1"/>
      <c r="BW3379" s="1"/>
      <c r="BX3379" s="1"/>
      <c r="BY3379" s="1"/>
      <c r="BZ3379" s="1"/>
      <c r="CA3379" s="1"/>
      <c r="CB3379" s="1"/>
      <c r="CC3379" s="1"/>
      <c r="CD3379" s="1"/>
      <c r="CE3379" s="1"/>
      <c r="CF3379" s="1"/>
      <c r="CG3379" s="1"/>
      <c r="CH3379" s="1"/>
      <c r="CI3379" s="1"/>
      <c r="CJ3379" s="1"/>
      <c r="CK3379" s="1"/>
      <c r="CM3379" s="15"/>
    </row>
    <row r="3380" spans="1:91" s="11" customFormat="1" x14ac:dyDescent="0.3">
      <c r="A3380" s="1" t="s">
        <v>60</v>
      </c>
      <c r="B3380" s="7">
        <v>40763</v>
      </c>
      <c r="C3380" s="1">
        <v>6</v>
      </c>
      <c r="D3380" s="1">
        <v>190</v>
      </c>
      <c r="E3380" s="1">
        <v>1</v>
      </c>
      <c r="F3380" s="1">
        <v>61</v>
      </c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  <c r="AA3380" s="1"/>
      <c r="AB3380" s="1">
        <v>1</v>
      </c>
      <c r="AC3380" s="1"/>
      <c r="AD3380" s="1"/>
      <c r="AE3380" s="1"/>
      <c r="AF3380" s="1"/>
      <c r="AG3380" s="1"/>
      <c r="AH3380" s="1"/>
      <c r="AI3380" s="1"/>
      <c r="AJ3380" s="1"/>
      <c r="AK3380" s="1"/>
      <c r="AL3380" s="1"/>
      <c r="AM3380" s="1"/>
      <c r="AN3380" s="1"/>
      <c r="AO3380" s="1"/>
      <c r="AP3380" s="1"/>
      <c r="AQ3380" s="1"/>
      <c r="AR3380" s="1"/>
      <c r="AS3380" s="1"/>
      <c r="AT3380" s="1"/>
      <c r="AU3380" s="1"/>
      <c r="AV3380" s="1"/>
      <c r="AW3380" s="1"/>
      <c r="AX3380" s="1"/>
      <c r="AY3380" s="1"/>
      <c r="AZ3380" s="1"/>
      <c r="BA3380" s="1"/>
      <c r="BB3380" s="1"/>
      <c r="BC3380" s="1"/>
      <c r="BD3380" s="1"/>
      <c r="BE3380" s="1"/>
      <c r="BF3380" s="1"/>
      <c r="BG3380" s="1"/>
      <c r="BH3380" s="1"/>
      <c r="BI3380" s="1"/>
      <c r="BJ3380" s="1"/>
      <c r="BK3380" s="1"/>
      <c r="BL3380" s="1"/>
      <c r="BM3380" s="1"/>
      <c r="BN3380" s="1"/>
      <c r="BO3380" s="1"/>
      <c r="BP3380" s="1"/>
      <c r="BQ3380" s="1"/>
      <c r="BR3380" s="1"/>
      <c r="BS3380" s="1"/>
      <c r="BT3380" s="1"/>
      <c r="BU3380" s="1"/>
      <c r="BV3380" s="1"/>
      <c r="BW3380" s="1"/>
      <c r="BX3380" s="1"/>
      <c r="BY3380" s="1"/>
      <c r="BZ3380" s="1"/>
      <c r="CA3380" s="1"/>
      <c r="CB3380" s="1"/>
      <c r="CC3380" s="1"/>
      <c r="CD3380" s="1"/>
      <c r="CE3380" s="1"/>
      <c r="CF3380" s="1"/>
      <c r="CG3380" s="1"/>
      <c r="CH3380" s="1"/>
      <c r="CI3380" s="1"/>
      <c r="CJ3380" s="1"/>
      <c r="CK3380" s="1"/>
      <c r="CM3380" s="15"/>
    </row>
    <row r="3381" spans="1:91" s="11" customFormat="1" x14ac:dyDescent="0.3">
      <c r="A3381" s="1" t="s">
        <v>60</v>
      </c>
      <c r="B3381" s="7">
        <v>40763</v>
      </c>
      <c r="C3381" s="1">
        <v>6</v>
      </c>
      <c r="D3381" s="1">
        <v>190</v>
      </c>
      <c r="E3381" s="1">
        <v>1</v>
      </c>
      <c r="F3381" s="1">
        <v>62</v>
      </c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>
        <v>1</v>
      </c>
      <c r="S3381" s="1"/>
      <c r="T3381" s="1"/>
      <c r="U3381" s="1"/>
      <c r="V3381" s="1"/>
      <c r="W3381" s="1"/>
      <c r="X3381" s="1"/>
      <c r="Y3381" s="1"/>
      <c r="Z3381" s="1"/>
      <c r="AA3381" s="1"/>
      <c r="AB3381" s="1">
        <v>1</v>
      </c>
      <c r="AC3381" s="1"/>
      <c r="AD3381" s="1"/>
      <c r="AE3381" s="1"/>
      <c r="AF3381" s="1"/>
      <c r="AG3381" s="1"/>
      <c r="AH3381" s="1"/>
      <c r="AI3381" s="1"/>
      <c r="AJ3381" s="1"/>
      <c r="AK3381" s="1"/>
      <c r="AL3381" s="1"/>
      <c r="AM3381" s="1"/>
      <c r="AN3381" s="1"/>
      <c r="AO3381" s="1"/>
      <c r="AP3381" s="1"/>
      <c r="AQ3381" s="1"/>
      <c r="AR3381" s="1"/>
      <c r="AS3381" s="1"/>
      <c r="AT3381" s="1"/>
      <c r="AU3381" s="1"/>
      <c r="AV3381" s="1"/>
      <c r="AW3381" s="1"/>
      <c r="AX3381" s="1"/>
      <c r="AY3381" s="1"/>
      <c r="AZ3381" s="1"/>
      <c r="BA3381" s="1"/>
      <c r="BB3381" s="1"/>
      <c r="BC3381" s="1"/>
      <c r="BD3381" s="1"/>
      <c r="BE3381" s="1"/>
      <c r="BF3381" s="1"/>
      <c r="BG3381" s="1"/>
      <c r="BH3381" s="1"/>
      <c r="BI3381" s="1"/>
      <c r="BJ3381" s="1"/>
      <c r="BK3381" s="1"/>
      <c r="BL3381" s="1"/>
      <c r="BM3381" s="1"/>
      <c r="BN3381" s="1"/>
      <c r="BO3381" s="1"/>
      <c r="BP3381" s="1"/>
      <c r="BQ3381" s="1"/>
      <c r="BR3381" s="1"/>
      <c r="BS3381" s="1"/>
      <c r="BT3381" s="1"/>
      <c r="BU3381" s="1"/>
      <c r="BV3381" s="1"/>
      <c r="BW3381" s="1"/>
      <c r="BX3381" s="1"/>
      <c r="BY3381" s="1"/>
      <c r="BZ3381" s="1"/>
      <c r="CA3381" s="1"/>
      <c r="CB3381" s="1"/>
      <c r="CC3381" s="1"/>
      <c r="CD3381" s="1"/>
      <c r="CE3381" s="1"/>
      <c r="CF3381" s="1"/>
      <c r="CG3381" s="1"/>
      <c r="CH3381" s="1"/>
      <c r="CI3381" s="1"/>
      <c r="CJ3381" s="1"/>
      <c r="CK3381" s="1"/>
      <c r="CM3381" s="15"/>
    </row>
    <row r="3382" spans="1:91" s="11" customFormat="1" x14ac:dyDescent="0.3">
      <c r="A3382" s="1" t="s">
        <v>60</v>
      </c>
      <c r="B3382" s="7">
        <v>40763</v>
      </c>
      <c r="C3382" s="1">
        <v>6</v>
      </c>
      <c r="D3382" s="1">
        <v>190</v>
      </c>
      <c r="E3382" s="1">
        <v>1</v>
      </c>
      <c r="F3382" s="1">
        <v>63</v>
      </c>
      <c r="G3382" s="1"/>
      <c r="H3382" s="1"/>
      <c r="I3382" s="1"/>
      <c r="J3382" s="1"/>
      <c r="K3382" s="1"/>
      <c r="L3382" s="1">
        <v>1</v>
      </c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  <c r="AA3382" s="1"/>
      <c r="AB3382" s="1"/>
      <c r="AC3382" s="1"/>
      <c r="AD3382" s="1"/>
      <c r="AE3382" s="1"/>
      <c r="AF3382" s="1"/>
      <c r="AG3382" s="1"/>
      <c r="AH3382" s="1"/>
      <c r="AI3382" s="1"/>
      <c r="AJ3382" s="1"/>
      <c r="AK3382" s="1"/>
      <c r="AL3382" s="1"/>
      <c r="AM3382" s="1"/>
      <c r="AN3382" s="1"/>
      <c r="AO3382" s="1"/>
      <c r="AP3382" s="1"/>
      <c r="AQ3382" s="1"/>
      <c r="AR3382" s="1"/>
      <c r="AS3382" s="1"/>
      <c r="AT3382" s="1"/>
      <c r="AU3382" s="1"/>
      <c r="AV3382" s="1"/>
      <c r="AW3382" s="1"/>
      <c r="AX3382" s="1"/>
      <c r="AY3382" s="1"/>
      <c r="AZ3382" s="1"/>
      <c r="BA3382" s="1"/>
      <c r="BB3382" s="1"/>
      <c r="BC3382" s="1"/>
      <c r="BD3382" s="1">
        <v>1</v>
      </c>
      <c r="BE3382" s="1"/>
      <c r="BF3382" s="1"/>
      <c r="BG3382" s="1"/>
      <c r="BH3382" s="1"/>
      <c r="BI3382" s="1"/>
      <c r="BJ3382" s="1"/>
      <c r="BK3382" s="1"/>
      <c r="BL3382" s="1"/>
      <c r="BM3382" s="1"/>
      <c r="BN3382" s="1"/>
      <c r="BO3382" s="1"/>
      <c r="BP3382" s="1"/>
      <c r="BQ3382" s="1"/>
      <c r="BR3382" s="1"/>
      <c r="BS3382" s="1"/>
      <c r="BT3382" s="1"/>
      <c r="BU3382" s="1"/>
      <c r="BV3382" s="1"/>
      <c r="BW3382" s="1"/>
      <c r="BX3382" s="1"/>
      <c r="BY3382" s="1"/>
      <c r="BZ3382" s="1"/>
      <c r="CA3382" s="1"/>
      <c r="CB3382" s="1"/>
      <c r="CC3382" s="1"/>
      <c r="CD3382" s="1"/>
      <c r="CE3382" s="1"/>
      <c r="CF3382" s="1"/>
      <c r="CG3382" s="1"/>
      <c r="CH3382" s="1"/>
      <c r="CI3382" s="1"/>
      <c r="CJ3382" s="1"/>
      <c r="CK3382" s="1"/>
      <c r="CM3382" s="15"/>
    </row>
    <row r="3383" spans="1:91" s="11" customFormat="1" x14ac:dyDescent="0.3">
      <c r="A3383" s="1" t="s">
        <v>60</v>
      </c>
      <c r="B3383" s="7">
        <v>40763</v>
      </c>
      <c r="C3383" s="1">
        <v>6</v>
      </c>
      <c r="D3383" s="1">
        <v>190</v>
      </c>
      <c r="E3383" s="1">
        <v>1</v>
      </c>
      <c r="F3383" s="1">
        <v>64</v>
      </c>
      <c r="G3383" s="1"/>
      <c r="H3383" s="1"/>
      <c r="I3383" s="1">
        <v>1</v>
      </c>
      <c r="J3383" s="1"/>
      <c r="K3383" s="1"/>
      <c r="L3383" s="1"/>
      <c r="M3383" s="1"/>
      <c r="N3383" s="1"/>
      <c r="O3383" s="1"/>
      <c r="P3383" s="1"/>
      <c r="Q3383" s="1"/>
      <c r="R3383" s="1">
        <v>1</v>
      </c>
      <c r="S3383" s="1"/>
      <c r="T3383" s="1"/>
      <c r="U3383" s="1"/>
      <c r="V3383" s="1"/>
      <c r="W3383" s="1"/>
      <c r="X3383" s="1"/>
      <c r="Y3383" s="1"/>
      <c r="Z3383" s="1"/>
      <c r="AA3383" s="1"/>
      <c r="AB3383" s="1"/>
      <c r="AC3383" s="1"/>
      <c r="AD3383" s="1"/>
      <c r="AE3383" s="1"/>
      <c r="AF3383" s="1"/>
      <c r="AG3383" s="1"/>
      <c r="AH3383" s="1"/>
      <c r="AI3383" s="1"/>
      <c r="AJ3383" s="1"/>
      <c r="AK3383" s="1"/>
      <c r="AL3383" s="1"/>
      <c r="AM3383" s="1"/>
      <c r="AN3383" s="1"/>
      <c r="AO3383" s="1"/>
      <c r="AP3383" s="1"/>
      <c r="AQ3383" s="1"/>
      <c r="AR3383" s="1"/>
      <c r="AS3383" s="1"/>
      <c r="AT3383" s="1"/>
      <c r="AU3383" s="1"/>
      <c r="AV3383" s="1"/>
      <c r="AW3383" s="1"/>
      <c r="AX3383" s="1"/>
      <c r="AY3383" s="1"/>
      <c r="AZ3383" s="1"/>
      <c r="BA3383" s="1"/>
      <c r="BB3383" s="1"/>
      <c r="BC3383" s="1"/>
      <c r="BD3383" s="1"/>
      <c r="BE3383" s="1"/>
      <c r="BF3383" s="1"/>
      <c r="BG3383" s="1"/>
      <c r="BH3383" s="1"/>
      <c r="BI3383" s="1"/>
      <c r="BJ3383" s="1"/>
      <c r="BK3383" s="1"/>
      <c r="BL3383" s="1"/>
      <c r="BM3383" s="1"/>
      <c r="BN3383" s="1"/>
      <c r="BO3383" s="1"/>
      <c r="BP3383" s="1"/>
      <c r="BQ3383" s="1"/>
      <c r="BR3383" s="1"/>
      <c r="BS3383" s="1"/>
      <c r="BT3383" s="1"/>
      <c r="BU3383" s="1"/>
      <c r="BV3383" s="1"/>
      <c r="BW3383" s="1"/>
      <c r="BX3383" s="1"/>
      <c r="BY3383" s="1"/>
      <c r="BZ3383" s="1"/>
      <c r="CA3383" s="1"/>
      <c r="CB3383" s="1"/>
      <c r="CC3383" s="1"/>
      <c r="CD3383" s="1"/>
      <c r="CE3383" s="1"/>
      <c r="CF3383" s="1"/>
      <c r="CG3383" s="1"/>
      <c r="CH3383" s="1"/>
      <c r="CI3383" s="1"/>
      <c r="CJ3383" s="1"/>
      <c r="CK3383" s="1"/>
      <c r="CM3383" s="15"/>
    </row>
    <row r="3384" spans="1:91" s="11" customFormat="1" x14ac:dyDescent="0.3">
      <c r="A3384" s="1" t="s">
        <v>60</v>
      </c>
      <c r="B3384" s="7">
        <v>40763</v>
      </c>
      <c r="C3384" s="1">
        <v>6</v>
      </c>
      <c r="D3384" s="1">
        <v>190</v>
      </c>
      <c r="E3384" s="1">
        <v>1</v>
      </c>
      <c r="F3384" s="1">
        <v>65</v>
      </c>
      <c r="G3384" s="1"/>
      <c r="H3384" s="1"/>
      <c r="I3384" s="1">
        <v>1</v>
      </c>
      <c r="J3384" s="1"/>
      <c r="K3384" s="1"/>
      <c r="L3384" s="1"/>
      <c r="M3384" s="1"/>
      <c r="N3384" s="1"/>
      <c r="O3384" s="1"/>
      <c r="P3384" s="1"/>
      <c r="Q3384" s="1"/>
      <c r="R3384" s="1">
        <v>1</v>
      </c>
      <c r="S3384" s="1"/>
      <c r="T3384" s="1"/>
      <c r="U3384" s="1"/>
      <c r="V3384" s="1"/>
      <c r="W3384" s="1"/>
      <c r="X3384" s="1"/>
      <c r="Y3384" s="1"/>
      <c r="Z3384" s="1"/>
      <c r="AA3384" s="1"/>
      <c r="AB3384" s="1"/>
      <c r="AC3384" s="1"/>
      <c r="AD3384" s="1"/>
      <c r="AE3384" s="1"/>
      <c r="AF3384" s="1"/>
      <c r="AG3384" s="1"/>
      <c r="AH3384" s="1"/>
      <c r="AI3384" s="1"/>
      <c r="AJ3384" s="1"/>
      <c r="AK3384" s="1"/>
      <c r="AL3384" s="1"/>
      <c r="AM3384" s="1"/>
      <c r="AN3384" s="1"/>
      <c r="AO3384" s="1"/>
      <c r="AP3384" s="1"/>
      <c r="AQ3384" s="1"/>
      <c r="AR3384" s="1"/>
      <c r="AS3384" s="1"/>
      <c r="AT3384" s="1"/>
      <c r="AU3384" s="1"/>
      <c r="AV3384" s="1"/>
      <c r="AW3384" s="1"/>
      <c r="AX3384" s="1"/>
      <c r="AY3384" s="1"/>
      <c r="AZ3384" s="1"/>
      <c r="BA3384" s="1"/>
      <c r="BB3384" s="1"/>
      <c r="BC3384" s="1"/>
      <c r="BD3384" s="1"/>
      <c r="BE3384" s="1"/>
      <c r="BF3384" s="1"/>
      <c r="BG3384" s="1"/>
      <c r="BH3384" s="1"/>
      <c r="BI3384" s="1"/>
      <c r="BJ3384" s="1"/>
      <c r="BK3384" s="1"/>
      <c r="BL3384" s="1"/>
      <c r="BM3384" s="1"/>
      <c r="BN3384" s="1"/>
      <c r="BO3384" s="1"/>
      <c r="BP3384" s="1"/>
      <c r="BQ3384" s="1"/>
      <c r="BR3384" s="1"/>
      <c r="BS3384" s="1"/>
      <c r="BT3384" s="1"/>
      <c r="BU3384" s="1"/>
      <c r="BV3384" s="1"/>
      <c r="BW3384" s="1"/>
      <c r="BX3384" s="1"/>
      <c r="BY3384" s="1"/>
      <c r="BZ3384" s="1"/>
      <c r="CA3384" s="1"/>
      <c r="CB3384" s="1"/>
      <c r="CC3384" s="1"/>
      <c r="CD3384" s="1"/>
      <c r="CE3384" s="1"/>
      <c r="CF3384" s="1"/>
      <c r="CG3384" s="1"/>
      <c r="CH3384" s="1"/>
      <c r="CI3384" s="1"/>
      <c r="CJ3384" s="1"/>
      <c r="CK3384" s="1"/>
      <c r="CM3384" s="15"/>
    </row>
    <row r="3385" spans="1:91" s="11" customFormat="1" x14ac:dyDescent="0.3">
      <c r="A3385" s="1" t="s">
        <v>60</v>
      </c>
      <c r="B3385" s="7">
        <v>40763</v>
      </c>
      <c r="C3385" s="1">
        <v>6</v>
      </c>
      <c r="D3385" s="1">
        <v>190</v>
      </c>
      <c r="E3385" s="1">
        <v>1</v>
      </c>
      <c r="F3385" s="1">
        <v>66</v>
      </c>
      <c r="G3385" s="1"/>
      <c r="H3385" s="1"/>
      <c r="I3385" s="1"/>
      <c r="J3385" s="1">
        <v>1</v>
      </c>
      <c r="K3385" s="1"/>
      <c r="L3385" s="1"/>
      <c r="M3385" s="1"/>
      <c r="N3385" s="1"/>
      <c r="O3385" s="1"/>
      <c r="P3385" s="1"/>
      <c r="Q3385" s="1"/>
      <c r="R3385" s="3">
        <v>0</v>
      </c>
      <c r="S3385" s="3">
        <v>1</v>
      </c>
      <c r="T3385" s="1"/>
      <c r="U3385" s="1"/>
      <c r="V3385" s="1"/>
      <c r="W3385" s="1"/>
      <c r="X3385" s="1"/>
      <c r="Y3385" s="1"/>
      <c r="Z3385" s="1"/>
      <c r="AA3385" s="1"/>
      <c r="AB3385" s="1"/>
      <c r="AC3385" s="1"/>
      <c r="AD3385" s="1"/>
      <c r="AE3385" s="1"/>
      <c r="AF3385" s="1"/>
      <c r="AG3385" s="1"/>
      <c r="AH3385" s="1"/>
      <c r="AI3385" s="1"/>
      <c r="AJ3385" s="1"/>
      <c r="AK3385" s="1"/>
      <c r="AL3385" s="1"/>
      <c r="AM3385" s="1"/>
      <c r="AN3385" s="1"/>
      <c r="AO3385" s="1"/>
      <c r="AP3385" s="1"/>
      <c r="AQ3385" s="1"/>
      <c r="AR3385" s="1"/>
      <c r="AS3385" s="1"/>
      <c r="AT3385" s="1"/>
      <c r="AU3385" s="1"/>
      <c r="AV3385" s="1"/>
      <c r="AW3385" s="1"/>
      <c r="AX3385" s="1"/>
      <c r="AY3385" s="1"/>
      <c r="AZ3385" s="1"/>
      <c r="BA3385" s="1"/>
      <c r="BB3385" s="1"/>
      <c r="BC3385" s="1"/>
      <c r="BD3385" s="1"/>
      <c r="BE3385" s="1"/>
      <c r="BF3385" s="1"/>
      <c r="BG3385" s="1"/>
      <c r="BH3385" s="1"/>
      <c r="BI3385" s="1"/>
      <c r="BJ3385" s="1"/>
      <c r="BK3385" s="1"/>
      <c r="BL3385" s="1"/>
      <c r="BM3385" s="1"/>
      <c r="BN3385" s="1"/>
      <c r="BO3385" s="1"/>
      <c r="BP3385" s="1"/>
      <c r="BQ3385" s="1"/>
      <c r="BR3385" s="1"/>
      <c r="BS3385" s="1"/>
      <c r="BT3385" s="1"/>
      <c r="BU3385" s="1"/>
      <c r="BV3385" s="1"/>
      <c r="BW3385" s="1"/>
      <c r="BX3385" s="1"/>
      <c r="BY3385" s="1"/>
      <c r="BZ3385" s="1"/>
      <c r="CA3385" s="1"/>
      <c r="CB3385" s="1"/>
      <c r="CC3385" s="1"/>
      <c r="CD3385" s="1"/>
      <c r="CE3385" s="1"/>
      <c r="CF3385" s="1"/>
      <c r="CG3385" s="1"/>
      <c r="CH3385" s="1"/>
      <c r="CI3385" s="1"/>
      <c r="CJ3385" s="1"/>
      <c r="CK3385" s="1"/>
      <c r="CM3385" s="15"/>
    </row>
    <row r="3386" spans="1:91" s="11" customFormat="1" x14ac:dyDescent="0.3">
      <c r="A3386" s="1" t="s">
        <v>60</v>
      </c>
      <c r="B3386" s="7">
        <v>40763</v>
      </c>
      <c r="C3386" s="1">
        <v>6</v>
      </c>
      <c r="D3386" s="1">
        <v>190</v>
      </c>
      <c r="E3386" s="1">
        <v>1</v>
      </c>
      <c r="F3386" s="1">
        <v>67</v>
      </c>
      <c r="G3386" s="1"/>
      <c r="H3386" s="1"/>
      <c r="I3386" s="1"/>
      <c r="J3386" s="1">
        <v>1</v>
      </c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  <c r="AA3386" s="1"/>
      <c r="AB3386" s="1"/>
      <c r="AC3386" s="1"/>
      <c r="AD3386" s="1"/>
      <c r="AE3386" s="1"/>
      <c r="AF3386" s="1"/>
      <c r="AG3386" s="1"/>
      <c r="AH3386" s="1"/>
      <c r="AI3386" s="1"/>
      <c r="AJ3386" s="1"/>
      <c r="AK3386" s="1"/>
      <c r="AL3386" s="1"/>
      <c r="AM3386" s="1"/>
      <c r="AN3386" s="1"/>
      <c r="AO3386" s="1"/>
      <c r="AP3386" s="1"/>
      <c r="AQ3386" s="1"/>
      <c r="AR3386" s="1"/>
      <c r="AS3386" s="1"/>
      <c r="AT3386" s="1"/>
      <c r="AU3386" s="1"/>
      <c r="AV3386" s="1"/>
      <c r="AW3386" s="1"/>
      <c r="AX3386" s="1"/>
      <c r="AY3386" s="1"/>
      <c r="AZ3386" s="1"/>
      <c r="BA3386" s="1"/>
      <c r="BB3386" s="1"/>
      <c r="BC3386" s="1"/>
      <c r="BD3386" s="1"/>
      <c r="BE3386" s="1"/>
      <c r="BF3386" s="1"/>
      <c r="BG3386" s="1"/>
      <c r="BH3386" s="1"/>
      <c r="BI3386" s="1"/>
      <c r="BJ3386" s="1"/>
      <c r="BK3386" s="1"/>
      <c r="BL3386" s="1"/>
      <c r="BM3386" s="1"/>
      <c r="BN3386" s="1"/>
      <c r="BO3386" s="1"/>
      <c r="BP3386" s="1"/>
      <c r="BQ3386" s="1"/>
      <c r="BR3386" s="1"/>
      <c r="BS3386" s="1"/>
      <c r="BT3386" s="1"/>
      <c r="BU3386" s="1"/>
      <c r="BV3386" s="1"/>
      <c r="BW3386" s="1"/>
      <c r="BX3386" s="1"/>
      <c r="BY3386" s="1"/>
      <c r="BZ3386" s="1"/>
      <c r="CA3386" s="1"/>
      <c r="CB3386" s="1"/>
      <c r="CC3386" s="1"/>
      <c r="CD3386" s="1"/>
      <c r="CE3386" s="1"/>
      <c r="CF3386" s="1"/>
      <c r="CG3386" s="1"/>
      <c r="CH3386" s="1"/>
      <c r="CI3386" s="1"/>
      <c r="CJ3386" s="1"/>
      <c r="CK3386" s="1"/>
      <c r="CM3386" s="15"/>
    </row>
    <row r="3387" spans="1:91" s="11" customFormat="1" x14ac:dyDescent="0.3">
      <c r="A3387" s="1" t="s">
        <v>60</v>
      </c>
      <c r="B3387" s="7">
        <v>40763</v>
      </c>
      <c r="C3387" s="1">
        <v>6</v>
      </c>
      <c r="D3387" s="1">
        <v>190</v>
      </c>
      <c r="E3387" s="1">
        <v>1</v>
      </c>
      <c r="F3387" s="1">
        <v>68</v>
      </c>
      <c r="G3387" s="1"/>
      <c r="H3387" s="1"/>
      <c r="I3387" s="1"/>
      <c r="J3387" s="1">
        <v>1</v>
      </c>
      <c r="K3387" s="1"/>
      <c r="L3387" s="1"/>
      <c r="M3387" s="1"/>
      <c r="N3387" s="1"/>
      <c r="O3387" s="1"/>
      <c r="P3387" s="1"/>
      <c r="Q3387" s="1"/>
      <c r="R3387" s="3">
        <v>0</v>
      </c>
      <c r="S3387" s="3">
        <v>1</v>
      </c>
      <c r="T3387" s="1"/>
      <c r="U3387" s="1"/>
      <c r="V3387" s="1"/>
      <c r="W3387" s="1"/>
      <c r="X3387" s="1"/>
      <c r="Y3387" s="1"/>
      <c r="Z3387" s="1"/>
      <c r="AA3387" s="1"/>
      <c r="AB3387" s="1"/>
      <c r="AC3387" s="1"/>
      <c r="AD3387" s="1"/>
      <c r="AE3387" s="1"/>
      <c r="AF3387" s="1"/>
      <c r="AG3387" s="1"/>
      <c r="AH3387" s="1"/>
      <c r="AI3387" s="1"/>
      <c r="AJ3387" s="1"/>
      <c r="AK3387" s="1"/>
      <c r="AL3387" s="1"/>
      <c r="AM3387" s="1"/>
      <c r="AN3387" s="1"/>
      <c r="AO3387" s="1"/>
      <c r="AP3387" s="1"/>
      <c r="AQ3387" s="1"/>
      <c r="AR3387" s="1"/>
      <c r="AS3387" s="1"/>
      <c r="AT3387" s="1"/>
      <c r="AU3387" s="1"/>
      <c r="AV3387" s="1"/>
      <c r="AW3387" s="1"/>
      <c r="AX3387" s="1"/>
      <c r="AY3387" s="1"/>
      <c r="AZ3387" s="1"/>
      <c r="BA3387" s="1"/>
      <c r="BB3387" s="1"/>
      <c r="BC3387" s="1"/>
      <c r="BD3387" s="1"/>
      <c r="BE3387" s="1"/>
      <c r="BF3387" s="1"/>
      <c r="BG3387" s="1"/>
      <c r="BH3387" s="1"/>
      <c r="BI3387" s="1"/>
      <c r="BJ3387" s="1"/>
      <c r="BK3387" s="1"/>
      <c r="BL3387" s="1"/>
      <c r="BM3387" s="1"/>
      <c r="BN3387" s="1"/>
      <c r="BO3387" s="1"/>
      <c r="BP3387" s="1"/>
      <c r="BQ3387" s="1"/>
      <c r="BR3387" s="1"/>
      <c r="BS3387" s="1"/>
      <c r="BT3387" s="1"/>
      <c r="BU3387" s="1"/>
      <c r="BV3387" s="1"/>
      <c r="BW3387" s="1"/>
      <c r="BX3387" s="1"/>
      <c r="BY3387" s="1"/>
      <c r="BZ3387" s="1"/>
      <c r="CA3387" s="1"/>
      <c r="CB3387" s="1"/>
      <c r="CC3387" s="1"/>
      <c r="CD3387" s="1"/>
      <c r="CE3387" s="1"/>
      <c r="CF3387" s="1"/>
      <c r="CG3387" s="1"/>
      <c r="CH3387" s="1"/>
      <c r="CI3387" s="1"/>
      <c r="CJ3387" s="1"/>
      <c r="CK3387" s="1"/>
      <c r="CM3387" s="15"/>
    </row>
    <row r="3388" spans="1:91" s="11" customFormat="1" x14ac:dyDescent="0.3">
      <c r="A3388" s="1" t="s">
        <v>60</v>
      </c>
      <c r="B3388" s="7">
        <v>40763</v>
      </c>
      <c r="C3388" s="1">
        <v>6</v>
      </c>
      <c r="D3388" s="1">
        <v>190</v>
      </c>
      <c r="E3388" s="1">
        <v>1</v>
      </c>
      <c r="F3388" s="1">
        <v>69</v>
      </c>
      <c r="G3388" s="1"/>
      <c r="H3388" s="1"/>
      <c r="I3388" s="1"/>
      <c r="J3388" s="1">
        <v>1</v>
      </c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  <c r="AA3388" s="1"/>
      <c r="AB3388" s="1"/>
      <c r="AC3388" s="1"/>
      <c r="AD3388" s="1"/>
      <c r="AE3388" s="1"/>
      <c r="AF3388" s="1"/>
      <c r="AG3388" s="1"/>
      <c r="AH3388" s="1"/>
      <c r="AI3388" s="1"/>
      <c r="AJ3388" s="1"/>
      <c r="AK3388" s="1"/>
      <c r="AL3388" s="1"/>
      <c r="AM3388" s="1"/>
      <c r="AN3388" s="1"/>
      <c r="AO3388" s="1"/>
      <c r="AP3388" s="1"/>
      <c r="AQ3388" s="1"/>
      <c r="AR3388" s="1"/>
      <c r="AS3388" s="1"/>
      <c r="AT3388" s="1"/>
      <c r="AU3388" s="1"/>
      <c r="AV3388" s="1"/>
      <c r="AW3388" s="1"/>
      <c r="AX3388" s="1"/>
      <c r="AY3388" s="1"/>
      <c r="AZ3388" s="1"/>
      <c r="BA3388" s="1"/>
      <c r="BB3388" s="1"/>
      <c r="BC3388" s="1"/>
      <c r="BD3388" s="1"/>
      <c r="BE3388" s="1"/>
      <c r="BF3388" s="1"/>
      <c r="BG3388" s="1"/>
      <c r="BH3388" s="1"/>
      <c r="BI3388" s="1"/>
      <c r="BJ3388" s="1"/>
      <c r="BK3388" s="1"/>
      <c r="BL3388" s="1"/>
      <c r="BM3388" s="1"/>
      <c r="BN3388" s="1"/>
      <c r="BO3388" s="1"/>
      <c r="BP3388" s="1"/>
      <c r="BQ3388" s="1"/>
      <c r="BR3388" s="1"/>
      <c r="BS3388" s="1"/>
      <c r="BT3388" s="1"/>
      <c r="BU3388" s="1"/>
      <c r="BV3388" s="1"/>
      <c r="BW3388" s="1"/>
      <c r="BX3388" s="1"/>
      <c r="BY3388" s="1"/>
      <c r="BZ3388" s="1"/>
      <c r="CA3388" s="1"/>
      <c r="CB3388" s="1"/>
      <c r="CC3388" s="1"/>
      <c r="CD3388" s="1"/>
      <c r="CE3388" s="1"/>
      <c r="CF3388" s="1"/>
      <c r="CG3388" s="1"/>
      <c r="CH3388" s="1"/>
      <c r="CI3388" s="1"/>
      <c r="CJ3388" s="1"/>
      <c r="CK3388" s="1"/>
      <c r="CM3388" s="15"/>
    </row>
    <row r="3389" spans="1:91" s="11" customFormat="1" x14ac:dyDescent="0.3">
      <c r="A3389" s="1" t="s">
        <v>60</v>
      </c>
      <c r="B3389" s="7">
        <v>40763</v>
      </c>
      <c r="C3389" s="1">
        <v>6</v>
      </c>
      <c r="D3389" s="1">
        <v>190</v>
      </c>
      <c r="E3389" s="1">
        <v>1</v>
      </c>
      <c r="F3389" s="1">
        <v>70</v>
      </c>
      <c r="G3389" s="1"/>
      <c r="H3389" s="1"/>
      <c r="I3389" s="1"/>
      <c r="J3389" s="1">
        <v>1</v>
      </c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  <c r="AA3389" s="1"/>
      <c r="AB3389" s="1"/>
      <c r="AC3389" s="1"/>
      <c r="AD3389" s="1"/>
      <c r="AE3389" s="1"/>
      <c r="AF3389" s="1"/>
      <c r="AG3389" s="1"/>
      <c r="AH3389" s="1"/>
      <c r="AI3389" s="1"/>
      <c r="AJ3389" s="1"/>
      <c r="AK3389" s="1"/>
      <c r="AL3389" s="1"/>
      <c r="AM3389" s="1"/>
      <c r="AN3389" s="1"/>
      <c r="AO3389" s="1"/>
      <c r="AP3389" s="1"/>
      <c r="AQ3389" s="1"/>
      <c r="AR3389" s="1"/>
      <c r="AS3389" s="1"/>
      <c r="AT3389" s="1"/>
      <c r="AU3389" s="1"/>
      <c r="AV3389" s="1"/>
      <c r="AW3389" s="1"/>
      <c r="AX3389" s="1"/>
      <c r="AY3389" s="1"/>
      <c r="AZ3389" s="1"/>
      <c r="BA3389" s="1"/>
      <c r="BB3389" s="1"/>
      <c r="BC3389" s="1"/>
      <c r="BD3389" s="1"/>
      <c r="BE3389" s="1"/>
      <c r="BF3389" s="1"/>
      <c r="BG3389" s="1"/>
      <c r="BH3389" s="1"/>
      <c r="BI3389" s="1"/>
      <c r="BJ3389" s="1"/>
      <c r="BK3389" s="1"/>
      <c r="BL3389" s="1"/>
      <c r="BM3389" s="1"/>
      <c r="BN3389" s="1"/>
      <c r="BO3389" s="1"/>
      <c r="BP3389" s="1"/>
      <c r="BQ3389" s="1"/>
      <c r="BR3389" s="1"/>
      <c r="BS3389" s="1"/>
      <c r="BT3389" s="1"/>
      <c r="BU3389" s="1"/>
      <c r="BV3389" s="1"/>
      <c r="BW3389" s="1"/>
      <c r="BX3389" s="1"/>
      <c r="BY3389" s="1"/>
      <c r="BZ3389" s="1"/>
      <c r="CA3389" s="1"/>
      <c r="CB3389" s="1"/>
      <c r="CC3389" s="1"/>
      <c r="CD3389" s="1"/>
      <c r="CE3389" s="1"/>
      <c r="CF3389" s="1"/>
      <c r="CG3389" s="1"/>
      <c r="CH3389" s="1"/>
      <c r="CI3389" s="1"/>
      <c r="CJ3389" s="1"/>
      <c r="CK3389" s="1"/>
      <c r="CM3389" s="15"/>
    </row>
    <row r="3390" spans="1:91" s="11" customFormat="1" x14ac:dyDescent="0.3">
      <c r="A3390" s="1" t="s">
        <v>60</v>
      </c>
      <c r="B3390" s="7">
        <v>40763</v>
      </c>
      <c r="C3390" s="1">
        <v>6</v>
      </c>
      <c r="D3390" s="1">
        <v>190</v>
      </c>
      <c r="E3390" s="1">
        <v>1</v>
      </c>
      <c r="F3390" s="1">
        <v>71</v>
      </c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  <c r="AA3390" s="1"/>
      <c r="AB3390" s="1"/>
      <c r="AC3390" s="1"/>
      <c r="AD3390" s="1"/>
      <c r="AE3390" s="1"/>
      <c r="AF3390" s="1"/>
      <c r="AG3390" s="1"/>
      <c r="AH3390" s="1"/>
      <c r="AI3390" s="1"/>
      <c r="AJ3390" s="1"/>
      <c r="AK3390" s="1"/>
      <c r="AL3390" s="1"/>
      <c r="AM3390" s="1"/>
      <c r="AN3390" s="1"/>
      <c r="AO3390" s="1"/>
      <c r="AP3390" s="1"/>
      <c r="AQ3390" s="1"/>
      <c r="AR3390" s="1"/>
      <c r="AS3390" s="1"/>
      <c r="AT3390" s="1"/>
      <c r="AU3390" s="1"/>
      <c r="AV3390" s="1"/>
      <c r="AW3390" s="1"/>
      <c r="AX3390" s="1"/>
      <c r="AY3390" s="1"/>
      <c r="AZ3390" s="1"/>
      <c r="BA3390" s="1"/>
      <c r="BB3390" s="1"/>
      <c r="BC3390" s="1"/>
      <c r="BD3390" s="1"/>
      <c r="BE3390" s="1"/>
      <c r="BF3390" s="1"/>
      <c r="BG3390" s="1"/>
      <c r="BH3390" s="1"/>
      <c r="BI3390" s="1"/>
      <c r="BJ3390" s="1"/>
      <c r="BK3390" s="1"/>
      <c r="BL3390" s="1"/>
      <c r="BM3390" s="1"/>
      <c r="BN3390" s="1"/>
      <c r="BO3390" s="1"/>
      <c r="BP3390" s="1"/>
      <c r="BQ3390" s="1"/>
      <c r="BR3390" s="1"/>
      <c r="BS3390" s="1"/>
      <c r="BT3390" s="1"/>
      <c r="BU3390" s="1"/>
      <c r="BV3390" s="1"/>
      <c r="BW3390" s="1"/>
      <c r="BX3390" s="1"/>
      <c r="BY3390" s="1"/>
      <c r="BZ3390" s="1"/>
      <c r="CA3390" s="1"/>
      <c r="CB3390" s="1"/>
      <c r="CC3390" s="1"/>
      <c r="CD3390" s="1"/>
      <c r="CE3390" s="1"/>
      <c r="CF3390" s="1"/>
      <c r="CG3390" s="1"/>
      <c r="CH3390" s="1"/>
      <c r="CI3390" s="1"/>
      <c r="CJ3390" s="1"/>
      <c r="CK3390" s="1"/>
      <c r="CM3390" s="15"/>
    </row>
    <row r="3391" spans="1:91" s="11" customFormat="1" x14ac:dyDescent="0.3">
      <c r="A3391" s="1" t="s">
        <v>60</v>
      </c>
      <c r="B3391" s="7">
        <v>40763</v>
      </c>
      <c r="C3391" s="1">
        <v>6</v>
      </c>
      <c r="D3391" s="1">
        <v>190</v>
      </c>
      <c r="E3391" s="1">
        <v>1</v>
      </c>
      <c r="F3391" s="1">
        <v>72</v>
      </c>
      <c r="G3391" s="1"/>
      <c r="H3391" s="1">
        <v>1</v>
      </c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  <c r="AA3391" s="1"/>
      <c r="AB3391" s="1"/>
      <c r="AC3391" s="1"/>
      <c r="AD3391" s="1"/>
      <c r="AE3391" s="1"/>
      <c r="AF3391" s="1"/>
      <c r="AG3391" s="1"/>
      <c r="AH3391" s="1"/>
      <c r="AI3391" s="1"/>
      <c r="AJ3391" s="1"/>
      <c r="AK3391" s="1"/>
      <c r="AL3391" s="1"/>
      <c r="AM3391" s="1"/>
      <c r="AN3391" s="1"/>
      <c r="AO3391" s="1"/>
      <c r="AP3391" s="1"/>
      <c r="AQ3391" s="1"/>
      <c r="AR3391" s="1"/>
      <c r="AS3391" s="1"/>
      <c r="AT3391" s="1"/>
      <c r="AU3391" s="1"/>
      <c r="AV3391" s="1"/>
      <c r="AW3391" s="1"/>
      <c r="AX3391" s="1"/>
      <c r="AY3391" s="1"/>
      <c r="AZ3391" s="1"/>
      <c r="BA3391" s="1"/>
      <c r="BB3391" s="1"/>
      <c r="BC3391" s="1"/>
      <c r="BD3391" s="1"/>
      <c r="BE3391" s="1"/>
      <c r="BF3391" s="1"/>
      <c r="BG3391" s="1">
        <v>1</v>
      </c>
      <c r="BH3391" s="1"/>
      <c r="BI3391" s="1"/>
      <c r="BJ3391" s="1"/>
      <c r="BK3391" s="1"/>
      <c r="BL3391" s="1"/>
      <c r="BM3391" s="1"/>
      <c r="BN3391" s="1"/>
      <c r="BO3391" s="1"/>
      <c r="BP3391" s="1"/>
      <c r="BQ3391" s="1"/>
      <c r="BR3391" s="1"/>
      <c r="BS3391" s="1"/>
      <c r="BT3391" s="1"/>
      <c r="BU3391" s="1"/>
      <c r="BV3391" s="1"/>
      <c r="BW3391" s="1"/>
      <c r="BX3391" s="1"/>
      <c r="BY3391" s="1"/>
      <c r="BZ3391" s="1"/>
      <c r="CA3391" s="1"/>
      <c r="CB3391" s="1"/>
      <c r="CC3391" s="1"/>
      <c r="CD3391" s="1"/>
      <c r="CE3391" s="1"/>
      <c r="CF3391" s="1"/>
      <c r="CG3391" s="1"/>
      <c r="CH3391" s="1"/>
      <c r="CI3391" s="1"/>
      <c r="CJ3391" s="1"/>
      <c r="CK3391" s="1"/>
      <c r="CM3391" s="15"/>
    </row>
    <row r="3392" spans="1:91" s="11" customFormat="1" x14ac:dyDescent="0.3">
      <c r="A3392" s="1" t="s">
        <v>60</v>
      </c>
      <c r="B3392" s="7">
        <v>40763</v>
      </c>
      <c r="C3392" s="1">
        <v>6</v>
      </c>
      <c r="D3392" s="1">
        <v>190</v>
      </c>
      <c r="E3392" s="1">
        <v>1</v>
      </c>
      <c r="F3392" s="1">
        <v>73</v>
      </c>
      <c r="G3392" s="1"/>
      <c r="H3392" s="1"/>
      <c r="I3392" s="1">
        <v>1</v>
      </c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  <c r="AA3392" s="1"/>
      <c r="AB3392" s="1"/>
      <c r="AC3392" s="1"/>
      <c r="AD3392" s="1"/>
      <c r="AE3392" s="1"/>
      <c r="AF3392" s="1"/>
      <c r="AG3392" s="1"/>
      <c r="AH3392" s="1"/>
      <c r="AI3392" s="1"/>
      <c r="AJ3392" s="1"/>
      <c r="AK3392" s="1"/>
      <c r="AL3392" s="1"/>
      <c r="AM3392" s="1"/>
      <c r="AN3392" s="1"/>
      <c r="AO3392" s="1"/>
      <c r="AP3392" s="1"/>
      <c r="AQ3392" s="1"/>
      <c r="AR3392" s="1"/>
      <c r="AS3392" s="1"/>
      <c r="AT3392" s="1"/>
      <c r="AU3392" s="1"/>
      <c r="AV3392" s="1"/>
      <c r="AW3392" s="1"/>
      <c r="AX3392" s="1"/>
      <c r="AY3392" s="1"/>
      <c r="AZ3392" s="1"/>
      <c r="BA3392" s="1"/>
      <c r="BB3392" s="1"/>
      <c r="BC3392" s="1"/>
      <c r="BD3392" s="1"/>
      <c r="BE3392" s="1"/>
      <c r="BF3392" s="1"/>
      <c r="BG3392" s="1"/>
      <c r="BH3392" s="1"/>
      <c r="BI3392" s="1"/>
      <c r="BJ3392" s="1"/>
      <c r="BK3392" s="1"/>
      <c r="BL3392" s="1"/>
      <c r="BM3392" s="1"/>
      <c r="BN3392" s="1"/>
      <c r="BO3392" s="1"/>
      <c r="BP3392" s="1"/>
      <c r="BQ3392" s="1"/>
      <c r="BR3392" s="1"/>
      <c r="BS3392" s="1"/>
      <c r="BT3392" s="1"/>
      <c r="BU3392" s="1"/>
      <c r="BV3392" s="1"/>
      <c r="BW3392" s="1"/>
      <c r="BX3392" s="1"/>
      <c r="BY3392" s="1"/>
      <c r="BZ3392" s="1"/>
      <c r="CA3392" s="1"/>
      <c r="CB3392" s="1"/>
      <c r="CC3392" s="1"/>
      <c r="CD3392" s="1"/>
      <c r="CE3392" s="1"/>
      <c r="CF3392" s="1"/>
      <c r="CG3392" s="1"/>
      <c r="CH3392" s="1"/>
      <c r="CI3392" s="1"/>
      <c r="CJ3392" s="1"/>
      <c r="CK3392" s="1"/>
      <c r="CM3392" s="15"/>
    </row>
    <row r="3393" spans="1:91" s="11" customFormat="1" x14ac:dyDescent="0.3">
      <c r="A3393" s="1" t="s">
        <v>60</v>
      </c>
      <c r="B3393" s="7">
        <v>40763</v>
      </c>
      <c r="C3393" s="1">
        <v>6</v>
      </c>
      <c r="D3393" s="1">
        <v>190</v>
      </c>
      <c r="E3393" s="1">
        <v>1</v>
      </c>
      <c r="F3393" s="1">
        <v>74</v>
      </c>
      <c r="G3393" s="1"/>
      <c r="H3393" s="1"/>
      <c r="I3393" s="1">
        <v>1</v>
      </c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  <c r="AA3393" s="1"/>
      <c r="AB3393" s="1"/>
      <c r="AC3393" s="1"/>
      <c r="AD3393" s="1"/>
      <c r="AE3393" s="1"/>
      <c r="AF3393" s="1"/>
      <c r="AG3393" s="1"/>
      <c r="AH3393" s="1"/>
      <c r="AI3393" s="1"/>
      <c r="AJ3393" s="1"/>
      <c r="AK3393" s="1"/>
      <c r="AL3393" s="1"/>
      <c r="AM3393" s="1"/>
      <c r="AN3393" s="1"/>
      <c r="AO3393" s="1"/>
      <c r="AP3393" s="1"/>
      <c r="AQ3393" s="1"/>
      <c r="AR3393" s="1"/>
      <c r="AS3393" s="1"/>
      <c r="AT3393" s="1"/>
      <c r="AU3393" s="1"/>
      <c r="AV3393" s="1"/>
      <c r="AW3393" s="1"/>
      <c r="AX3393" s="1"/>
      <c r="AY3393" s="1"/>
      <c r="AZ3393" s="1"/>
      <c r="BA3393" s="1"/>
      <c r="BB3393" s="1"/>
      <c r="BC3393" s="1"/>
      <c r="BD3393" s="1"/>
      <c r="BE3393" s="1"/>
      <c r="BF3393" s="1"/>
      <c r="BG3393" s="1"/>
      <c r="BH3393" s="1"/>
      <c r="BI3393" s="1"/>
      <c r="BJ3393" s="1"/>
      <c r="BK3393" s="1"/>
      <c r="BL3393" s="1"/>
      <c r="BM3393" s="1"/>
      <c r="BN3393" s="1"/>
      <c r="BO3393" s="1"/>
      <c r="BP3393" s="1"/>
      <c r="BQ3393" s="1"/>
      <c r="BR3393" s="1"/>
      <c r="BS3393" s="1"/>
      <c r="BT3393" s="1"/>
      <c r="BU3393" s="1"/>
      <c r="BV3393" s="1"/>
      <c r="BW3393" s="1"/>
      <c r="BX3393" s="1"/>
      <c r="BY3393" s="1"/>
      <c r="BZ3393" s="1"/>
      <c r="CA3393" s="1"/>
      <c r="CB3393" s="1"/>
      <c r="CC3393" s="1"/>
      <c r="CD3393" s="1"/>
      <c r="CE3393" s="1"/>
      <c r="CF3393" s="1"/>
      <c r="CG3393" s="1"/>
      <c r="CH3393" s="1"/>
      <c r="CI3393" s="1"/>
      <c r="CJ3393" s="1"/>
      <c r="CK3393" s="1"/>
      <c r="CM3393" s="15"/>
    </row>
    <row r="3394" spans="1:91" s="11" customFormat="1" x14ac:dyDescent="0.3">
      <c r="A3394" s="1" t="s">
        <v>60</v>
      </c>
      <c r="B3394" s="7">
        <v>40763</v>
      </c>
      <c r="C3394" s="1">
        <v>6</v>
      </c>
      <c r="D3394" s="1">
        <v>190</v>
      </c>
      <c r="E3394" s="1">
        <v>1</v>
      </c>
      <c r="F3394" s="1">
        <v>75</v>
      </c>
      <c r="G3394" s="1"/>
      <c r="H3394" s="1"/>
      <c r="I3394" s="1">
        <v>1</v>
      </c>
      <c r="J3394" s="1"/>
      <c r="K3394" s="1"/>
      <c r="L3394" s="1"/>
      <c r="M3394" s="1"/>
      <c r="N3394" s="1"/>
      <c r="O3394" s="1"/>
      <c r="P3394" s="1"/>
      <c r="Q3394" s="1"/>
      <c r="R3394" s="1">
        <v>1</v>
      </c>
      <c r="S3394" s="1"/>
      <c r="T3394" s="1"/>
      <c r="U3394" s="1"/>
      <c r="V3394" s="1"/>
      <c r="W3394" s="1"/>
      <c r="X3394" s="1"/>
      <c r="Y3394" s="1"/>
      <c r="Z3394" s="1"/>
      <c r="AA3394" s="1"/>
      <c r="AB3394" s="1"/>
      <c r="AC3394" s="1"/>
      <c r="AD3394" s="1"/>
      <c r="AE3394" s="1"/>
      <c r="AF3394" s="1"/>
      <c r="AG3394" s="1"/>
      <c r="AH3394" s="1"/>
      <c r="AI3394" s="1"/>
      <c r="AJ3394" s="1"/>
      <c r="AK3394" s="1"/>
      <c r="AL3394" s="1"/>
      <c r="AM3394" s="1"/>
      <c r="AN3394" s="1"/>
      <c r="AO3394" s="1"/>
      <c r="AP3394" s="1"/>
      <c r="AQ3394" s="1"/>
      <c r="AR3394" s="1"/>
      <c r="AS3394" s="1"/>
      <c r="AT3394" s="1"/>
      <c r="AU3394" s="1"/>
      <c r="AV3394" s="1"/>
      <c r="AW3394" s="1"/>
      <c r="AX3394" s="1"/>
      <c r="AY3394" s="1"/>
      <c r="AZ3394" s="1"/>
      <c r="BA3394" s="1"/>
      <c r="BB3394" s="1"/>
      <c r="BC3394" s="1"/>
      <c r="BD3394" s="1"/>
      <c r="BE3394" s="1"/>
      <c r="BF3394" s="1"/>
      <c r="BG3394" s="1"/>
      <c r="BH3394" s="1"/>
      <c r="BI3394" s="1"/>
      <c r="BJ3394" s="1"/>
      <c r="BK3394" s="1"/>
      <c r="BL3394" s="1"/>
      <c r="BM3394" s="1"/>
      <c r="BN3394" s="1"/>
      <c r="BO3394" s="1"/>
      <c r="BP3394" s="1"/>
      <c r="BQ3394" s="1"/>
      <c r="BR3394" s="1"/>
      <c r="BS3394" s="1"/>
      <c r="BT3394" s="1"/>
      <c r="BU3394" s="1"/>
      <c r="BV3394" s="1"/>
      <c r="BW3394" s="1"/>
      <c r="BX3394" s="1"/>
      <c r="BY3394" s="1"/>
      <c r="BZ3394" s="1"/>
      <c r="CA3394" s="1"/>
      <c r="CB3394" s="1"/>
      <c r="CC3394" s="1"/>
      <c r="CD3394" s="1"/>
      <c r="CE3394" s="1"/>
      <c r="CF3394" s="1"/>
      <c r="CG3394" s="1"/>
      <c r="CH3394" s="1"/>
      <c r="CI3394" s="1"/>
      <c r="CJ3394" s="1"/>
      <c r="CK3394" s="1"/>
      <c r="CM3394" s="15"/>
    </row>
    <row r="3395" spans="1:91" s="11" customFormat="1" x14ac:dyDescent="0.3">
      <c r="A3395" s="1" t="s">
        <v>60</v>
      </c>
      <c r="B3395" s="7">
        <v>40763</v>
      </c>
      <c r="C3395" s="1">
        <v>6</v>
      </c>
      <c r="D3395" s="1">
        <v>190</v>
      </c>
      <c r="E3395" s="1">
        <v>1</v>
      </c>
      <c r="F3395" s="1">
        <v>76</v>
      </c>
      <c r="G3395" s="1"/>
      <c r="H3395" s="1"/>
      <c r="I3395" s="1"/>
      <c r="J3395" s="1">
        <v>1</v>
      </c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  <c r="AA3395" s="1"/>
      <c r="AB3395" s="1"/>
      <c r="AC3395" s="1"/>
      <c r="AD3395" s="1"/>
      <c r="AE3395" s="1"/>
      <c r="AF3395" s="1"/>
      <c r="AG3395" s="1"/>
      <c r="AH3395" s="1"/>
      <c r="AI3395" s="1"/>
      <c r="AJ3395" s="1"/>
      <c r="AK3395" s="1"/>
      <c r="AL3395" s="1"/>
      <c r="AM3395" s="1"/>
      <c r="AN3395" s="1"/>
      <c r="AO3395" s="1"/>
      <c r="AP3395" s="1"/>
      <c r="AQ3395" s="1"/>
      <c r="AR3395" s="1"/>
      <c r="AS3395" s="1"/>
      <c r="AT3395" s="1"/>
      <c r="AU3395" s="1"/>
      <c r="AV3395" s="1"/>
      <c r="AW3395" s="1"/>
      <c r="AX3395" s="1"/>
      <c r="AY3395" s="1"/>
      <c r="AZ3395" s="1"/>
      <c r="BA3395" s="1"/>
      <c r="BB3395" s="1"/>
      <c r="BC3395" s="1"/>
      <c r="BD3395" s="1"/>
      <c r="BE3395" s="1"/>
      <c r="BF3395" s="1"/>
      <c r="BG3395" s="1"/>
      <c r="BH3395" s="1"/>
      <c r="BI3395" s="1"/>
      <c r="BJ3395" s="1"/>
      <c r="BK3395" s="1"/>
      <c r="BL3395" s="1"/>
      <c r="BM3395" s="1"/>
      <c r="BN3395" s="1"/>
      <c r="BO3395" s="1"/>
      <c r="BP3395" s="1"/>
      <c r="BQ3395" s="1"/>
      <c r="BR3395" s="1"/>
      <c r="BS3395" s="1"/>
      <c r="BT3395" s="1"/>
      <c r="BU3395" s="1"/>
      <c r="BV3395" s="1"/>
      <c r="BW3395" s="1"/>
      <c r="BX3395" s="1"/>
      <c r="BY3395" s="1"/>
      <c r="BZ3395" s="1"/>
      <c r="CA3395" s="1"/>
      <c r="CB3395" s="1"/>
      <c r="CC3395" s="1"/>
      <c r="CD3395" s="1"/>
      <c r="CE3395" s="1"/>
      <c r="CF3395" s="1"/>
      <c r="CG3395" s="1"/>
      <c r="CH3395" s="1"/>
      <c r="CI3395" s="1"/>
      <c r="CJ3395" s="1"/>
      <c r="CK3395" s="1"/>
      <c r="CM3395" s="15"/>
    </row>
    <row r="3396" spans="1:91" s="11" customFormat="1" x14ac:dyDescent="0.3">
      <c r="A3396" s="1" t="s">
        <v>60</v>
      </c>
      <c r="B3396" s="7">
        <v>40763</v>
      </c>
      <c r="C3396" s="1">
        <v>6</v>
      </c>
      <c r="D3396" s="1">
        <v>190</v>
      </c>
      <c r="E3396" s="1">
        <v>1</v>
      </c>
      <c r="F3396" s="1">
        <v>77</v>
      </c>
      <c r="G3396" s="1"/>
      <c r="H3396" s="1"/>
      <c r="I3396" s="1">
        <v>1</v>
      </c>
      <c r="J3396" s="1">
        <v>1</v>
      </c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  <c r="AA3396" s="1"/>
      <c r="AB3396" s="1"/>
      <c r="AC3396" s="1"/>
      <c r="AD3396" s="1"/>
      <c r="AE3396" s="1"/>
      <c r="AF3396" s="1"/>
      <c r="AG3396" s="1"/>
      <c r="AH3396" s="1"/>
      <c r="AI3396" s="1"/>
      <c r="AJ3396" s="1"/>
      <c r="AK3396" s="1"/>
      <c r="AL3396" s="1"/>
      <c r="AM3396" s="1"/>
      <c r="AN3396" s="1"/>
      <c r="AO3396" s="1"/>
      <c r="AP3396" s="1"/>
      <c r="AQ3396" s="1"/>
      <c r="AR3396" s="1"/>
      <c r="AS3396" s="1"/>
      <c r="AT3396" s="1"/>
      <c r="AU3396" s="1"/>
      <c r="AV3396" s="1"/>
      <c r="AW3396" s="1"/>
      <c r="AX3396" s="1"/>
      <c r="AY3396" s="1"/>
      <c r="AZ3396" s="1"/>
      <c r="BA3396" s="1"/>
      <c r="BB3396" s="1"/>
      <c r="BC3396" s="1"/>
      <c r="BD3396" s="1"/>
      <c r="BE3396" s="1"/>
      <c r="BF3396" s="1"/>
      <c r="BG3396" s="1"/>
      <c r="BH3396" s="1"/>
      <c r="BI3396" s="1"/>
      <c r="BJ3396" s="1"/>
      <c r="BK3396" s="1"/>
      <c r="BL3396" s="1"/>
      <c r="BM3396" s="1"/>
      <c r="BN3396" s="1"/>
      <c r="BO3396" s="1"/>
      <c r="BP3396" s="1"/>
      <c r="BQ3396" s="1"/>
      <c r="BR3396" s="1"/>
      <c r="BS3396" s="1"/>
      <c r="BT3396" s="1"/>
      <c r="BU3396" s="1"/>
      <c r="BV3396" s="1"/>
      <c r="BW3396" s="1"/>
      <c r="BX3396" s="1"/>
      <c r="BY3396" s="1"/>
      <c r="BZ3396" s="1"/>
      <c r="CA3396" s="1"/>
      <c r="CB3396" s="1"/>
      <c r="CC3396" s="1"/>
      <c r="CD3396" s="1"/>
      <c r="CE3396" s="1"/>
      <c r="CF3396" s="1"/>
      <c r="CG3396" s="1"/>
      <c r="CH3396" s="1"/>
      <c r="CI3396" s="1"/>
      <c r="CJ3396" s="1"/>
      <c r="CK3396" s="1"/>
      <c r="CM3396" s="15"/>
    </row>
    <row r="3397" spans="1:91" s="11" customFormat="1" x14ac:dyDescent="0.3">
      <c r="A3397" s="1" t="s">
        <v>60</v>
      </c>
      <c r="B3397" s="7">
        <v>40763</v>
      </c>
      <c r="C3397" s="1">
        <v>6</v>
      </c>
      <c r="D3397" s="1">
        <v>190</v>
      </c>
      <c r="E3397" s="1">
        <v>1</v>
      </c>
      <c r="F3397" s="1">
        <v>78</v>
      </c>
      <c r="G3397" s="1"/>
      <c r="H3397" s="1"/>
      <c r="I3397" s="1"/>
      <c r="J3397" s="1">
        <v>1</v>
      </c>
      <c r="K3397" s="1"/>
      <c r="L3397" s="1"/>
      <c r="M3397" s="1"/>
      <c r="N3397" s="1"/>
      <c r="O3397" s="1"/>
      <c r="P3397" s="1"/>
      <c r="Q3397" s="1"/>
      <c r="R3397" s="1">
        <v>1</v>
      </c>
      <c r="S3397" s="1"/>
      <c r="T3397" s="1"/>
      <c r="U3397" s="1"/>
      <c r="V3397" s="1"/>
      <c r="W3397" s="1"/>
      <c r="X3397" s="1"/>
      <c r="Y3397" s="1"/>
      <c r="Z3397" s="1"/>
      <c r="AA3397" s="1"/>
      <c r="AB3397" s="1"/>
      <c r="AC3397" s="1"/>
      <c r="AD3397" s="1"/>
      <c r="AE3397" s="1"/>
      <c r="AF3397" s="1"/>
      <c r="AG3397" s="1"/>
      <c r="AH3397" s="1"/>
      <c r="AI3397" s="1"/>
      <c r="AJ3397" s="1"/>
      <c r="AK3397" s="1"/>
      <c r="AL3397" s="1"/>
      <c r="AM3397" s="1"/>
      <c r="AN3397" s="1"/>
      <c r="AO3397" s="1"/>
      <c r="AP3397" s="1"/>
      <c r="AQ3397" s="1"/>
      <c r="AR3397" s="1"/>
      <c r="AS3397" s="1"/>
      <c r="AT3397" s="1"/>
      <c r="AU3397" s="1"/>
      <c r="AV3397" s="1"/>
      <c r="AW3397" s="1"/>
      <c r="AX3397" s="1"/>
      <c r="AY3397" s="1"/>
      <c r="AZ3397" s="1"/>
      <c r="BA3397" s="1"/>
      <c r="BB3397" s="1"/>
      <c r="BC3397" s="1"/>
      <c r="BD3397" s="1"/>
      <c r="BE3397" s="1"/>
      <c r="BF3397" s="1"/>
      <c r="BG3397" s="1"/>
      <c r="BH3397" s="1"/>
      <c r="BI3397" s="1"/>
      <c r="BJ3397" s="1"/>
      <c r="BK3397" s="1"/>
      <c r="BL3397" s="1"/>
      <c r="BM3397" s="1"/>
      <c r="BN3397" s="1"/>
      <c r="BO3397" s="1"/>
      <c r="BP3397" s="1"/>
      <c r="BQ3397" s="1"/>
      <c r="BR3397" s="1"/>
      <c r="BS3397" s="1"/>
      <c r="BT3397" s="1"/>
      <c r="BU3397" s="1"/>
      <c r="BV3397" s="1"/>
      <c r="BW3397" s="1"/>
      <c r="BX3397" s="1"/>
      <c r="BY3397" s="1"/>
      <c r="BZ3397" s="1"/>
      <c r="CA3397" s="1"/>
      <c r="CB3397" s="1"/>
      <c r="CC3397" s="1"/>
      <c r="CD3397" s="1"/>
      <c r="CE3397" s="1"/>
      <c r="CF3397" s="1"/>
      <c r="CG3397" s="1"/>
      <c r="CH3397" s="1"/>
      <c r="CI3397" s="1"/>
      <c r="CJ3397" s="1"/>
      <c r="CK3397" s="1"/>
      <c r="CM3397" s="15"/>
    </row>
    <row r="3398" spans="1:91" s="11" customFormat="1" x14ac:dyDescent="0.3">
      <c r="A3398" s="1" t="s">
        <v>60</v>
      </c>
      <c r="B3398" s="7">
        <v>40763</v>
      </c>
      <c r="C3398" s="1">
        <v>6</v>
      </c>
      <c r="D3398" s="1">
        <v>190</v>
      </c>
      <c r="E3398" s="1">
        <v>1</v>
      </c>
      <c r="F3398" s="1">
        <v>79</v>
      </c>
      <c r="G3398" s="1"/>
      <c r="H3398" s="1">
        <v>1</v>
      </c>
      <c r="I3398" s="1"/>
      <c r="J3398" s="1">
        <v>1</v>
      </c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  <c r="AA3398" s="1"/>
      <c r="AB3398" s="1"/>
      <c r="AC3398" s="1"/>
      <c r="AD3398" s="1"/>
      <c r="AE3398" s="1"/>
      <c r="AF3398" s="1"/>
      <c r="AG3398" s="1"/>
      <c r="AH3398" s="1"/>
      <c r="AI3398" s="1"/>
      <c r="AJ3398" s="1"/>
      <c r="AK3398" s="1"/>
      <c r="AL3398" s="1"/>
      <c r="AM3398" s="1"/>
      <c r="AN3398" s="1"/>
      <c r="AO3398" s="1"/>
      <c r="AP3398" s="1"/>
      <c r="AQ3398" s="1"/>
      <c r="AR3398" s="1"/>
      <c r="AS3398" s="1"/>
      <c r="AT3398" s="1"/>
      <c r="AU3398" s="1"/>
      <c r="AV3398" s="1"/>
      <c r="AW3398" s="1"/>
      <c r="AX3398" s="1"/>
      <c r="AY3398" s="1"/>
      <c r="AZ3398" s="1"/>
      <c r="BA3398" s="1"/>
      <c r="BB3398" s="1"/>
      <c r="BC3398" s="1"/>
      <c r="BD3398" s="1"/>
      <c r="BE3398" s="1"/>
      <c r="BF3398" s="1"/>
      <c r="BG3398" s="1"/>
      <c r="BH3398" s="1"/>
      <c r="BI3398" s="1"/>
      <c r="BJ3398" s="1"/>
      <c r="BK3398" s="1"/>
      <c r="BL3398" s="1"/>
      <c r="BM3398" s="1"/>
      <c r="BN3398" s="1"/>
      <c r="BO3398" s="1"/>
      <c r="BP3398" s="1"/>
      <c r="BQ3398" s="1"/>
      <c r="BR3398" s="1"/>
      <c r="BS3398" s="1"/>
      <c r="BT3398" s="1"/>
      <c r="BU3398" s="1"/>
      <c r="BV3398" s="1"/>
      <c r="BW3398" s="1"/>
      <c r="BX3398" s="1"/>
      <c r="BY3398" s="1"/>
      <c r="BZ3398" s="1"/>
      <c r="CA3398" s="1"/>
      <c r="CB3398" s="1"/>
      <c r="CC3398" s="1"/>
      <c r="CD3398" s="1"/>
      <c r="CE3398" s="1"/>
      <c r="CF3398" s="1"/>
      <c r="CG3398" s="1"/>
      <c r="CH3398" s="1"/>
      <c r="CI3398" s="1"/>
      <c r="CJ3398" s="1"/>
      <c r="CK3398" s="1"/>
      <c r="CM3398" s="15"/>
    </row>
    <row r="3399" spans="1:91" s="11" customFormat="1" x14ac:dyDescent="0.3">
      <c r="A3399" s="1" t="s">
        <v>60</v>
      </c>
      <c r="B3399" s="7">
        <v>40763</v>
      </c>
      <c r="C3399" s="1">
        <v>6</v>
      </c>
      <c r="D3399" s="1">
        <v>190</v>
      </c>
      <c r="E3399" s="1">
        <v>1</v>
      </c>
      <c r="F3399" s="1">
        <v>80</v>
      </c>
      <c r="G3399" s="1"/>
      <c r="H3399" s="1"/>
      <c r="I3399" s="1"/>
      <c r="J3399" s="1">
        <v>1</v>
      </c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  <c r="AA3399" s="1"/>
      <c r="AB3399" s="1"/>
      <c r="AC3399" s="1"/>
      <c r="AD3399" s="1"/>
      <c r="AE3399" s="1"/>
      <c r="AF3399" s="1"/>
      <c r="AG3399" s="1"/>
      <c r="AH3399" s="1"/>
      <c r="AI3399" s="1"/>
      <c r="AJ3399" s="1"/>
      <c r="AK3399" s="1"/>
      <c r="AL3399" s="1"/>
      <c r="AM3399" s="1"/>
      <c r="AN3399" s="1"/>
      <c r="AO3399" s="1"/>
      <c r="AP3399" s="1"/>
      <c r="AQ3399" s="1"/>
      <c r="AR3399" s="1"/>
      <c r="AS3399" s="1"/>
      <c r="AT3399" s="1"/>
      <c r="AU3399" s="1"/>
      <c r="AV3399" s="1"/>
      <c r="AW3399" s="1"/>
      <c r="AX3399" s="1"/>
      <c r="AY3399" s="1"/>
      <c r="AZ3399" s="1"/>
      <c r="BA3399" s="1"/>
      <c r="BB3399" s="1"/>
      <c r="BC3399" s="1"/>
      <c r="BD3399" s="1"/>
      <c r="BE3399" s="1"/>
      <c r="BF3399" s="1"/>
      <c r="BG3399" s="1"/>
      <c r="BH3399" s="1"/>
      <c r="BI3399" s="1"/>
      <c r="BJ3399" s="1"/>
      <c r="BK3399" s="1"/>
      <c r="BL3399" s="1"/>
      <c r="BM3399" s="1"/>
      <c r="BN3399" s="1"/>
      <c r="BO3399" s="1"/>
      <c r="BP3399" s="1"/>
      <c r="BQ3399" s="1"/>
      <c r="BR3399" s="1"/>
      <c r="BS3399" s="1"/>
      <c r="BT3399" s="1"/>
      <c r="BU3399" s="1"/>
      <c r="BV3399" s="1"/>
      <c r="BW3399" s="1"/>
      <c r="BX3399" s="1"/>
      <c r="BY3399" s="1"/>
      <c r="BZ3399" s="1"/>
      <c r="CA3399" s="1"/>
      <c r="CB3399" s="1"/>
      <c r="CC3399" s="1"/>
      <c r="CD3399" s="1"/>
      <c r="CE3399" s="1"/>
      <c r="CF3399" s="1"/>
      <c r="CG3399" s="1"/>
      <c r="CH3399" s="1"/>
      <c r="CI3399" s="1"/>
      <c r="CJ3399" s="1"/>
      <c r="CK3399" s="1"/>
      <c r="CM3399" s="15"/>
    </row>
    <row r="3400" spans="1:91" s="11" customFormat="1" x14ac:dyDescent="0.3">
      <c r="A3400" s="1" t="s">
        <v>60</v>
      </c>
      <c r="B3400" s="7">
        <v>40763</v>
      </c>
      <c r="C3400" s="1">
        <v>6</v>
      </c>
      <c r="D3400" s="1">
        <v>190</v>
      </c>
      <c r="E3400" s="1">
        <v>1</v>
      </c>
      <c r="F3400" s="1">
        <v>81</v>
      </c>
      <c r="G3400" s="1"/>
      <c r="H3400" s="1"/>
      <c r="I3400" s="1">
        <v>1</v>
      </c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  <c r="AA3400" s="1">
        <v>1</v>
      </c>
      <c r="AB3400" s="1"/>
      <c r="AC3400" s="1"/>
      <c r="AD3400" s="1"/>
      <c r="AE3400" s="1"/>
      <c r="AF3400" s="1"/>
      <c r="AG3400" s="1"/>
      <c r="AH3400" s="1"/>
      <c r="AI3400" s="1"/>
      <c r="AJ3400" s="1"/>
      <c r="AK3400" s="1"/>
      <c r="AL3400" s="1"/>
      <c r="AM3400" s="1"/>
      <c r="AN3400" s="1"/>
      <c r="AO3400" s="1"/>
      <c r="AP3400" s="1"/>
      <c r="AQ3400" s="1"/>
      <c r="AR3400" s="1"/>
      <c r="AS3400" s="1"/>
      <c r="AT3400" s="1"/>
      <c r="AU3400" s="1"/>
      <c r="AV3400" s="1"/>
      <c r="AW3400" s="1"/>
      <c r="AX3400" s="1"/>
      <c r="AY3400" s="1"/>
      <c r="AZ3400" s="1"/>
      <c r="BA3400" s="1"/>
      <c r="BB3400" s="1"/>
      <c r="BC3400" s="1"/>
      <c r="BD3400" s="1"/>
      <c r="BE3400" s="1"/>
      <c r="BF3400" s="1"/>
      <c r="BG3400" s="1"/>
      <c r="BH3400" s="1"/>
      <c r="BI3400" s="1"/>
      <c r="BJ3400" s="1"/>
      <c r="BK3400" s="1"/>
      <c r="BL3400" s="1"/>
      <c r="BM3400" s="1"/>
      <c r="BN3400" s="1"/>
      <c r="BO3400" s="1"/>
      <c r="BP3400" s="1"/>
      <c r="BQ3400" s="1"/>
      <c r="BR3400" s="1"/>
      <c r="BS3400" s="1"/>
      <c r="BT3400" s="1"/>
      <c r="BU3400" s="1"/>
      <c r="BV3400" s="1"/>
      <c r="BW3400" s="1"/>
      <c r="BX3400" s="1"/>
      <c r="BY3400" s="1"/>
      <c r="BZ3400" s="1"/>
      <c r="CA3400" s="1"/>
      <c r="CB3400" s="1"/>
      <c r="CC3400" s="1"/>
      <c r="CD3400" s="1"/>
      <c r="CE3400" s="1"/>
      <c r="CF3400" s="1"/>
      <c r="CG3400" s="1"/>
      <c r="CH3400" s="1"/>
      <c r="CI3400" s="1"/>
      <c r="CJ3400" s="1"/>
      <c r="CK3400" s="1"/>
      <c r="CM3400" s="15"/>
    </row>
    <row r="3401" spans="1:91" s="11" customFormat="1" x14ac:dyDescent="0.3">
      <c r="A3401" s="1" t="s">
        <v>60</v>
      </c>
      <c r="B3401" s="7">
        <v>40763</v>
      </c>
      <c r="C3401" s="1">
        <v>6</v>
      </c>
      <c r="D3401" s="1">
        <v>190</v>
      </c>
      <c r="E3401" s="1">
        <v>1</v>
      </c>
      <c r="F3401" s="1">
        <v>82</v>
      </c>
      <c r="G3401" s="1"/>
      <c r="H3401" s="1"/>
      <c r="I3401" s="1"/>
      <c r="J3401" s="3">
        <v>0</v>
      </c>
      <c r="K3401" s="3">
        <v>1</v>
      </c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  <c r="AA3401" s="1"/>
      <c r="AB3401" s="1">
        <v>1</v>
      </c>
      <c r="AC3401" s="1"/>
      <c r="AD3401" s="1"/>
      <c r="AE3401" s="1"/>
      <c r="AF3401" s="1"/>
      <c r="AG3401" s="1"/>
      <c r="AH3401" s="1"/>
      <c r="AI3401" s="1"/>
      <c r="AJ3401" s="1"/>
      <c r="AK3401" s="1"/>
      <c r="AL3401" s="1"/>
      <c r="AM3401" s="1"/>
      <c r="AN3401" s="1"/>
      <c r="AO3401" s="1"/>
      <c r="AP3401" s="1"/>
      <c r="AQ3401" s="1"/>
      <c r="AR3401" s="1"/>
      <c r="AS3401" s="1"/>
      <c r="AT3401" s="1"/>
      <c r="AU3401" s="1"/>
      <c r="AV3401" s="1"/>
      <c r="AW3401" s="1"/>
      <c r="AX3401" s="1"/>
      <c r="AY3401" s="1"/>
      <c r="AZ3401" s="1"/>
      <c r="BA3401" s="1"/>
      <c r="BB3401" s="1"/>
      <c r="BC3401" s="1"/>
      <c r="BD3401" s="1"/>
      <c r="BE3401" s="1"/>
      <c r="BF3401" s="1"/>
      <c r="BG3401" s="1"/>
      <c r="BH3401" s="1"/>
      <c r="BI3401" s="1"/>
      <c r="BJ3401" s="1"/>
      <c r="BK3401" s="1"/>
      <c r="BL3401" s="1"/>
      <c r="BM3401" s="1"/>
      <c r="BN3401" s="1"/>
      <c r="BO3401" s="1"/>
      <c r="BP3401" s="1"/>
      <c r="BQ3401" s="1"/>
      <c r="BR3401" s="1"/>
      <c r="BS3401" s="1"/>
      <c r="BT3401" s="1"/>
      <c r="BU3401" s="1"/>
      <c r="BV3401" s="1"/>
      <c r="BW3401" s="1"/>
      <c r="BX3401" s="1"/>
      <c r="BY3401" s="1"/>
      <c r="BZ3401" s="1"/>
      <c r="CA3401" s="1"/>
      <c r="CB3401" s="1"/>
      <c r="CC3401" s="1"/>
      <c r="CD3401" s="1"/>
      <c r="CE3401" s="1"/>
      <c r="CF3401" s="1"/>
      <c r="CG3401" s="1"/>
      <c r="CH3401" s="1"/>
      <c r="CI3401" s="1"/>
      <c r="CJ3401" s="1"/>
      <c r="CK3401" s="1"/>
      <c r="CM3401" s="15"/>
    </row>
    <row r="3402" spans="1:91" s="11" customFormat="1" x14ac:dyDescent="0.3">
      <c r="A3402" s="1" t="s">
        <v>60</v>
      </c>
      <c r="B3402" s="7">
        <v>40763</v>
      </c>
      <c r="C3402" s="1">
        <v>6</v>
      </c>
      <c r="D3402" s="1">
        <v>190</v>
      </c>
      <c r="E3402" s="1">
        <v>1</v>
      </c>
      <c r="F3402" s="1">
        <v>83</v>
      </c>
      <c r="G3402" s="1"/>
      <c r="H3402" s="1"/>
      <c r="I3402" s="1"/>
      <c r="J3402" s="1">
        <v>1</v>
      </c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  <c r="AA3402" s="1"/>
      <c r="AB3402" s="1"/>
      <c r="AC3402" s="1"/>
      <c r="AD3402" s="1"/>
      <c r="AE3402" s="1"/>
      <c r="AF3402" s="1"/>
      <c r="AG3402" s="1"/>
      <c r="AH3402" s="1"/>
      <c r="AI3402" s="1"/>
      <c r="AJ3402" s="1"/>
      <c r="AK3402" s="1"/>
      <c r="AL3402" s="1"/>
      <c r="AM3402" s="1"/>
      <c r="AN3402" s="1"/>
      <c r="AO3402" s="1"/>
      <c r="AP3402" s="1"/>
      <c r="AQ3402" s="1"/>
      <c r="AR3402" s="1"/>
      <c r="AS3402" s="1"/>
      <c r="AT3402" s="1"/>
      <c r="AU3402" s="1"/>
      <c r="AV3402" s="1"/>
      <c r="AW3402" s="1"/>
      <c r="AX3402" s="1"/>
      <c r="AY3402" s="1"/>
      <c r="AZ3402" s="1"/>
      <c r="BA3402" s="1"/>
      <c r="BB3402" s="1"/>
      <c r="BC3402" s="1"/>
      <c r="BD3402" s="1"/>
      <c r="BE3402" s="1"/>
      <c r="BF3402" s="1"/>
      <c r="BG3402" s="1"/>
      <c r="BH3402" s="1"/>
      <c r="BI3402" s="1"/>
      <c r="BJ3402" s="1"/>
      <c r="BK3402" s="1"/>
      <c r="BL3402" s="1"/>
      <c r="BM3402" s="1"/>
      <c r="BN3402" s="1"/>
      <c r="BO3402" s="1"/>
      <c r="BP3402" s="1"/>
      <c r="BQ3402" s="1"/>
      <c r="BR3402" s="1"/>
      <c r="BS3402" s="1"/>
      <c r="BT3402" s="1"/>
      <c r="BU3402" s="1"/>
      <c r="BV3402" s="1"/>
      <c r="BW3402" s="1"/>
      <c r="BX3402" s="1"/>
      <c r="BY3402" s="1"/>
      <c r="BZ3402" s="1"/>
      <c r="CA3402" s="1"/>
      <c r="CB3402" s="1"/>
      <c r="CC3402" s="1"/>
      <c r="CD3402" s="1"/>
      <c r="CE3402" s="1"/>
      <c r="CF3402" s="1"/>
      <c r="CG3402" s="1"/>
      <c r="CH3402" s="1"/>
      <c r="CI3402" s="1"/>
      <c r="CJ3402" s="1"/>
      <c r="CK3402" s="1"/>
      <c r="CM3402" s="15"/>
    </row>
    <row r="3403" spans="1:91" s="11" customFormat="1" x14ac:dyDescent="0.3">
      <c r="A3403" s="1" t="s">
        <v>60</v>
      </c>
      <c r="B3403" s="7">
        <v>40763</v>
      </c>
      <c r="C3403" s="1">
        <v>6</v>
      </c>
      <c r="D3403" s="1">
        <v>190</v>
      </c>
      <c r="E3403" s="1">
        <v>1</v>
      </c>
      <c r="F3403" s="1">
        <v>84</v>
      </c>
      <c r="G3403" s="1"/>
      <c r="H3403" s="1">
        <v>1</v>
      </c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  <c r="AA3403" s="1"/>
      <c r="AB3403" s="1"/>
      <c r="AC3403" s="1"/>
      <c r="AD3403" s="1"/>
      <c r="AE3403" s="1"/>
      <c r="AF3403" s="1"/>
      <c r="AG3403" s="1"/>
      <c r="AH3403" s="1"/>
      <c r="AI3403" s="1"/>
      <c r="AJ3403" s="1"/>
      <c r="AK3403" s="1"/>
      <c r="AL3403" s="1"/>
      <c r="AM3403" s="1"/>
      <c r="AN3403" s="1"/>
      <c r="AO3403" s="1"/>
      <c r="AP3403" s="1"/>
      <c r="AQ3403" s="1"/>
      <c r="AR3403" s="1"/>
      <c r="AS3403" s="1"/>
      <c r="AT3403" s="1"/>
      <c r="AU3403" s="1"/>
      <c r="AV3403" s="1"/>
      <c r="AW3403" s="1"/>
      <c r="AX3403" s="1"/>
      <c r="AY3403" s="1"/>
      <c r="AZ3403" s="1"/>
      <c r="BA3403" s="1"/>
      <c r="BB3403" s="1"/>
      <c r="BC3403" s="1"/>
      <c r="BD3403" s="1"/>
      <c r="BE3403" s="1"/>
      <c r="BF3403" s="1"/>
      <c r="BG3403" s="1"/>
      <c r="BH3403" s="1"/>
      <c r="BI3403" s="1"/>
      <c r="BJ3403" s="1"/>
      <c r="BK3403" s="1"/>
      <c r="BL3403" s="1"/>
      <c r="BM3403" s="1"/>
      <c r="BN3403" s="1"/>
      <c r="BO3403" s="1"/>
      <c r="BP3403" s="1"/>
      <c r="BQ3403" s="1"/>
      <c r="BR3403" s="1"/>
      <c r="BS3403" s="1"/>
      <c r="BT3403" s="1"/>
      <c r="BU3403" s="1"/>
      <c r="BV3403" s="1"/>
      <c r="BW3403" s="1"/>
      <c r="BX3403" s="1"/>
      <c r="BY3403" s="1"/>
      <c r="BZ3403" s="1"/>
      <c r="CA3403" s="1"/>
      <c r="CB3403" s="1"/>
      <c r="CC3403" s="1"/>
      <c r="CD3403" s="1"/>
      <c r="CE3403" s="1"/>
      <c r="CF3403" s="1"/>
      <c r="CG3403" s="1"/>
      <c r="CH3403" s="1"/>
      <c r="CI3403" s="1"/>
      <c r="CJ3403" s="1"/>
      <c r="CK3403" s="1"/>
      <c r="CM3403" s="15"/>
    </row>
    <row r="3404" spans="1:91" s="11" customFormat="1" x14ac:dyDescent="0.3">
      <c r="A3404" s="1" t="s">
        <v>60</v>
      </c>
      <c r="B3404" s="7">
        <v>40763</v>
      </c>
      <c r="C3404" s="1">
        <v>6</v>
      </c>
      <c r="D3404" s="1">
        <v>190</v>
      </c>
      <c r="E3404" s="1">
        <v>1</v>
      </c>
      <c r="F3404" s="1">
        <v>85</v>
      </c>
      <c r="G3404" s="1"/>
      <c r="H3404" s="1">
        <v>1</v>
      </c>
      <c r="I3404" s="1"/>
      <c r="J3404" s="1"/>
      <c r="K3404" s="1"/>
      <c r="L3404" s="1"/>
      <c r="M3404" s="1"/>
      <c r="N3404" s="1"/>
      <c r="O3404" s="1"/>
      <c r="P3404" s="1"/>
      <c r="Q3404" s="1"/>
      <c r="R3404" s="1">
        <v>1</v>
      </c>
      <c r="S3404" s="1"/>
      <c r="T3404" s="1"/>
      <c r="U3404" s="1"/>
      <c r="V3404" s="1"/>
      <c r="W3404" s="1"/>
      <c r="X3404" s="1"/>
      <c r="Y3404" s="1"/>
      <c r="Z3404" s="1"/>
      <c r="AA3404" s="1"/>
      <c r="AB3404" s="1"/>
      <c r="AC3404" s="1"/>
      <c r="AD3404" s="1"/>
      <c r="AE3404" s="1"/>
      <c r="AF3404" s="1"/>
      <c r="AG3404" s="1"/>
      <c r="AH3404" s="1"/>
      <c r="AI3404" s="1"/>
      <c r="AJ3404" s="1"/>
      <c r="AK3404" s="1"/>
      <c r="AL3404" s="1"/>
      <c r="AM3404" s="1"/>
      <c r="AN3404" s="1"/>
      <c r="AO3404" s="1"/>
      <c r="AP3404" s="1"/>
      <c r="AQ3404" s="1"/>
      <c r="AR3404" s="1"/>
      <c r="AS3404" s="1"/>
      <c r="AT3404" s="1"/>
      <c r="AU3404" s="1"/>
      <c r="AV3404" s="1"/>
      <c r="AW3404" s="1"/>
      <c r="AX3404" s="1"/>
      <c r="AY3404" s="1"/>
      <c r="AZ3404" s="1"/>
      <c r="BA3404" s="1"/>
      <c r="BB3404" s="1"/>
      <c r="BC3404" s="1"/>
      <c r="BD3404" s="1"/>
      <c r="BE3404" s="1"/>
      <c r="BF3404" s="1"/>
      <c r="BG3404" s="1"/>
      <c r="BH3404" s="1"/>
      <c r="BI3404" s="1"/>
      <c r="BJ3404" s="1"/>
      <c r="BK3404" s="1"/>
      <c r="BL3404" s="1"/>
      <c r="BM3404" s="1"/>
      <c r="BN3404" s="1"/>
      <c r="BO3404" s="1"/>
      <c r="BP3404" s="1"/>
      <c r="BQ3404" s="1"/>
      <c r="BR3404" s="1"/>
      <c r="BS3404" s="1"/>
      <c r="BT3404" s="1"/>
      <c r="BU3404" s="1"/>
      <c r="BV3404" s="1"/>
      <c r="BW3404" s="1"/>
      <c r="BX3404" s="1"/>
      <c r="BY3404" s="1"/>
      <c r="BZ3404" s="1"/>
      <c r="CA3404" s="1"/>
      <c r="CB3404" s="1"/>
      <c r="CC3404" s="1"/>
      <c r="CD3404" s="1"/>
      <c r="CE3404" s="1"/>
      <c r="CF3404" s="1"/>
      <c r="CG3404" s="1"/>
      <c r="CH3404" s="1"/>
      <c r="CI3404" s="1"/>
      <c r="CJ3404" s="1"/>
      <c r="CK3404" s="1"/>
      <c r="CM3404" s="15"/>
    </row>
    <row r="3405" spans="1:91" s="11" customFormat="1" x14ac:dyDescent="0.3">
      <c r="A3405" s="1" t="s">
        <v>60</v>
      </c>
      <c r="B3405" s="7">
        <v>40763</v>
      </c>
      <c r="C3405" s="1">
        <v>6</v>
      </c>
      <c r="D3405" s="1">
        <v>190</v>
      </c>
      <c r="E3405" s="1">
        <v>1</v>
      </c>
      <c r="F3405" s="1">
        <v>86</v>
      </c>
      <c r="G3405" s="1"/>
      <c r="H3405" s="1"/>
      <c r="I3405" s="1">
        <v>1</v>
      </c>
      <c r="J3405" s="1"/>
      <c r="K3405" s="1"/>
      <c r="L3405" s="1"/>
      <c r="M3405" s="1"/>
      <c r="N3405" s="1"/>
      <c r="O3405" s="1"/>
      <c r="P3405" s="1"/>
      <c r="Q3405" s="1"/>
      <c r="R3405" s="1">
        <v>1</v>
      </c>
      <c r="S3405" s="1"/>
      <c r="T3405" s="1"/>
      <c r="U3405" s="1"/>
      <c r="V3405" s="1"/>
      <c r="W3405" s="1"/>
      <c r="X3405" s="1"/>
      <c r="Y3405" s="1"/>
      <c r="Z3405" s="1"/>
      <c r="AA3405" s="1"/>
      <c r="AB3405" s="1"/>
      <c r="AC3405" s="1"/>
      <c r="AD3405" s="1"/>
      <c r="AE3405" s="1"/>
      <c r="AF3405" s="1"/>
      <c r="AG3405" s="1"/>
      <c r="AH3405" s="1"/>
      <c r="AI3405" s="1"/>
      <c r="AJ3405" s="1"/>
      <c r="AK3405" s="1"/>
      <c r="AL3405" s="1"/>
      <c r="AM3405" s="1"/>
      <c r="AN3405" s="1"/>
      <c r="AO3405" s="1"/>
      <c r="AP3405" s="1"/>
      <c r="AQ3405" s="1"/>
      <c r="AR3405" s="1"/>
      <c r="AS3405" s="1"/>
      <c r="AT3405" s="1"/>
      <c r="AU3405" s="1"/>
      <c r="AV3405" s="1"/>
      <c r="AW3405" s="1"/>
      <c r="AX3405" s="1"/>
      <c r="AY3405" s="1"/>
      <c r="AZ3405" s="1"/>
      <c r="BA3405" s="1"/>
      <c r="BB3405" s="1"/>
      <c r="BC3405" s="1"/>
      <c r="BD3405" s="1"/>
      <c r="BE3405" s="1"/>
      <c r="BF3405" s="1"/>
      <c r="BG3405" s="1"/>
      <c r="BH3405" s="1"/>
      <c r="BI3405" s="1"/>
      <c r="BJ3405" s="1"/>
      <c r="BK3405" s="1"/>
      <c r="BL3405" s="1"/>
      <c r="BM3405" s="1"/>
      <c r="BN3405" s="1"/>
      <c r="BO3405" s="1"/>
      <c r="BP3405" s="1"/>
      <c r="BQ3405" s="1"/>
      <c r="BR3405" s="1"/>
      <c r="BS3405" s="1"/>
      <c r="BT3405" s="1"/>
      <c r="BU3405" s="1"/>
      <c r="BV3405" s="1"/>
      <c r="BW3405" s="1"/>
      <c r="BX3405" s="1"/>
      <c r="BY3405" s="1"/>
      <c r="BZ3405" s="1"/>
      <c r="CA3405" s="1"/>
      <c r="CB3405" s="1"/>
      <c r="CC3405" s="1"/>
      <c r="CD3405" s="1"/>
      <c r="CE3405" s="1"/>
      <c r="CF3405" s="1"/>
      <c r="CG3405" s="1"/>
      <c r="CH3405" s="1"/>
      <c r="CI3405" s="1"/>
      <c r="CJ3405" s="1"/>
      <c r="CK3405" s="1"/>
      <c r="CM3405" s="15"/>
    </row>
    <row r="3406" spans="1:91" s="11" customFormat="1" x14ac:dyDescent="0.3">
      <c r="A3406" s="1" t="s">
        <v>60</v>
      </c>
      <c r="B3406" s="7">
        <v>40763</v>
      </c>
      <c r="C3406" s="1">
        <v>6</v>
      </c>
      <c r="D3406" s="1">
        <v>190</v>
      </c>
      <c r="E3406" s="1">
        <v>1</v>
      </c>
      <c r="F3406" s="1">
        <v>87</v>
      </c>
      <c r="G3406" s="1"/>
      <c r="H3406" s="1"/>
      <c r="I3406" s="1"/>
      <c r="J3406" s="1">
        <v>1</v>
      </c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  <c r="AA3406" s="1"/>
      <c r="AB3406" s="1"/>
      <c r="AC3406" s="1"/>
      <c r="AD3406" s="1"/>
      <c r="AE3406" s="1"/>
      <c r="AF3406" s="1"/>
      <c r="AG3406" s="1"/>
      <c r="AH3406" s="1"/>
      <c r="AI3406" s="1"/>
      <c r="AJ3406" s="1"/>
      <c r="AK3406" s="1"/>
      <c r="AL3406" s="1"/>
      <c r="AM3406" s="1"/>
      <c r="AN3406" s="1"/>
      <c r="AO3406" s="1"/>
      <c r="AP3406" s="1"/>
      <c r="AQ3406" s="1"/>
      <c r="AR3406" s="1"/>
      <c r="AS3406" s="1"/>
      <c r="AT3406" s="1"/>
      <c r="AU3406" s="1"/>
      <c r="AV3406" s="1"/>
      <c r="AW3406" s="1"/>
      <c r="AX3406" s="1"/>
      <c r="AY3406" s="1"/>
      <c r="AZ3406" s="1"/>
      <c r="BA3406" s="1"/>
      <c r="BB3406" s="1"/>
      <c r="BC3406" s="1"/>
      <c r="BD3406" s="1"/>
      <c r="BE3406" s="1"/>
      <c r="BF3406" s="1"/>
      <c r="BG3406" s="1"/>
      <c r="BH3406" s="1"/>
      <c r="BI3406" s="1"/>
      <c r="BJ3406" s="1"/>
      <c r="BK3406" s="1"/>
      <c r="BL3406" s="1"/>
      <c r="BM3406" s="1"/>
      <c r="BN3406" s="1"/>
      <c r="BO3406" s="1"/>
      <c r="BP3406" s="1"/>
      <c r="BQ3406" s="1"/>
      <c r="BR3406" s="1"/>
      <c r="BS3406" s="1"/>
      <c r="BT3406" s="1"/>
      <c r="BU3406" s="1"/>
      <c r="BV3406" s="1"/>
      <c r="BW3406" s="1"/>
      <c r="BX3406" s="1"/>
      <c r="BY3406" s="1"/>
      <c r="BZ3406" s="1"/>
      <c r="CA3406" s="1"/>
      <c r="CB3406" s="1"/>
      <c r="CC3406" s="1"/>
      <c r="CD3406" s="1"/>
      <c r="CE3406" s="1"/>
      <c r="CF3406" s="1"/>
      <c r="CG3406" s="1"/>
      <c r="CH3406" s="1"/>
      <c r="CI3406" s="1"/>
      <c r="CJ3406" s="1"/>
      <c r="CK3406" s="1"/>
      <c r="CM3406" s="15"/>
    </row>
    <row r="3407" spans="1:91" s="11" customFormat="1" x14ac:dyDescent="0.3">
      <c r="A3407" s="1" t="s">
        <v>60</v>
      </c>
      <c r="B3407" s="7">
        <v>40763</v>
      </c>
      <c r="C3407" s="1">
        <v>6</v>
      </c>
      <c r="D3407" s="1">
        <v>190</v>
      </c>
      <c r="E3407" s="1">
        <v>1</v>
      </c>
      <c r="F3407" s="1">
        <v>88</v>
      </c>
      <c r="G3407" s="1"/>
      <c r="H3407" s="1"/>
      <c r="I3407" s="1"/>
      <c r="J3407" s="1">
        <v>1</v>
      </c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  <c r="AA3407" s="1"/>
      <c r="AB3407" s="1"/>
      <c r="AC3407" s="1"/>
      <c r="AD3407" s="1"/>
      <c r="AE3407" s="1"/>
      <c r="AF3407" s="1"/>
      <c r="AG3407" s="1"/>
      <c r="AH3407" s="1"/>
      <c r="AI3407" s="1"/>
      <c r="AJ3407" s="1"/>
      <c r="AK3407" s="1"/>
      <c r="AL3407" s="1"/>
      <c r="AM3407" s="1"/>
      <c r="AN3407" s="1"/>
      <c r="AO3407" s="1"/>
      <c r="AP3407" s="1"/>
      <c r="AQ3407" s="1"/>
      <c r="AR3407" s="1"/>
      <c r="AS3407" s="1"/>
      <c r="AT3407" s="1"/>
      <c r="AU3407" s="1"/>
      <c r="AV3407" s="1"/>
      <c r="AW3407" s="1"/>
      <c r="AX3407" s="1"/>
      <c r="AY3407" s="1"/>
      <c r="AZ3407" s="1"/>
      <c r="BA3407" s="1"/>
      <c r="BB3407" s="1"/>
      <c r="BC3407" s="1"/>
      <c r="BD3407" s="1"/>
      <c r="BE3407" s="1"/>
      <c r="BF3407" s="1"/>
      <c r="BG3407" s="1"/>
      <c r="BH3407" s="1"/>
      <c r="BI3407" s="1"/>
      <c r="BJ3407" s="1"/>
      <c r="BK3407" s="1"/>
      <c r="BL3407" s="1"/>
      <c r="BM3407" s="1"/>
      <c r="BN3407" s="1"/>
      <c r="BO3407" s="1"/>
      <c r="BP3407" s="1"/>
      <c r="BQ3407" s="1"/>
      <c r="BR3407" s="1"/>
      <c r="BS3407" s="1"/>
      <c r="BT3407" s="1"/>
      <c r="BU3407" s="1"/>
      <c r="BV3407" s="1"/>
      <c r="BW3407" s="1"/>
      <c r="BX3407" s="1"/>
      <c r="BY3407" s="1"/>
      <c r="BZ3407" s="1"/>
      <c r="CA3407" s="1"/>
      <c r="CB3407" s="1"/>
      <c r="CC3407" s="1"/>
      <c r="CD3407" s="1"/>
      <c r="CE3407" s="1"/>
      <c r="CF3407" s="1"/>
      <c r="CG3407" s="1"/>
      <c r="CH3407" s="1"/>
      <c r="CI3407" s="1"/>
      <c r="CJ3407" s="1"/>
      <c r="CK3407" s="1"/>
      <c r="CM3407" s="15"/>
    </row>
    <row r="3408" spans="1:91" s="11" customFormat="1" x14ac:dyDescent="0.3">
      <c r="A3408" s="1" t="s">
        <v>60</v>
      </c>
      <c r="B3408" s="7">
        <v>40763</v>
      </c>
      <c r="C3408" s="1">
        <v>6</v>
      </c>
      <c r="D3408" s="1">
        <v>190</v>
      </c>
      <c r="E3408" s="1">
        <v>1</v>
      </c>
      <c r="F3408" s="1">
        <v>89</v>
      </c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>
        <v>1</v>
      </c>
      <c r="S3408" s="1"/>
      <c r="T3408" s="1"/>
      <c r="U3408" s="1"/>
      <c r="V3408" s="1"/>
      <c r="W3408" s="1"/>
      <c r="X3408" s="1"/>
      <c r="Y3408" s="1"/>
      <c r="Z3408" s="1"/>
      <c r="AA3408" s="1"/>
      <c r="AB3408" s="1"/>
      <c r="AC3408" s="1"/>
      <c r="AD3408" s="1">
        <v>1</v>
      </c>
      <c r="AE3408" s="1"/>
      <c r="AF3408" s="1"/>
      <c r="AG3408" s="1"/>
      <c r="AH3408" s="1"/>
      <c r="AI3408" s="1"/>
      <c r="AJ3408" s="1"/>
      <c r="AK3408" s="1"/>
      <c r="AL3408" s="1"/>
      <c r="AM3408" s="1"/>
      <c r="AN3408" s="1"/>
      <c r="AO3408" s="1"/>
      <c r="AP3408" s="1"/>
      <c r="AQ3408" s="1"/>
      <c r="AR3408" s="1"/>
      <c r="AS3408" s="1"/>
      <c r="AT3408" s="1"/>
      <c r="AU3408" s="1"/>
      <c r="AV3408" s="1"/>
      <c r="AW3408" s="1"/>
      <c r="AX3408" s="1"/>
      <c r="AY3408" s="1"/>
      <c r="AZ3408" s="1"/>
      <c r="BA3408" s="1"/>
      <c r="BB3408" s="1"/>
      <c r="BC3408" s="1"/>
      <c r="BD3408" s="1"/>
      <c r="BE3408" s="1"/>
      <c r="BF3408" s="1"/>
      <c r="BG3408" s="1"/>
      <c r="BH3408" s="1"/>
      <c r="BI3408" s="1"/>
      <c r="BJ3408" s="1"/>
      <c r="BK3408" s="1"/>
      <c r="BL3408" s="1"/>
      <c r="BM3408" s="1"/>
      <c r="BN3408" s="1"/>
      <c r="BO3408" s="1"/>
      <c r="BP3408" s="1"/>
      <c r="BQ3408" s="1"/>
      <c r="BR3408" s="1"/>
      <c r="BS3408" s="1"/>
      <c r="BT3408" s="1"/>
      <c r="BU3408" s="1"/>
      <c r="BV3408" s="1"/>
      <c r="BW3408" s="1"/>
      <c r="BX3408" s="1"/>
      <c r="BY3408" s="1"/>
      <c r="BZ3408" s="1"/>
      <c r="CA3408" s="1"/>
      <c r="CB3408" s="1"/>
      <c r="CC3408" s="1"/>
      <c r="CD3408" s="1"/>
      <c r="CE3408" s="1"/>
      <c r="CF3408" s="1"/>
      <c r="CG3408" s="1"/>
      <c r="CH3408" s="1"/>
      <c r="CI3408" s="1"/>
      <c r="CJ3408" s="1"/>
      <c r="CK3408" s="1"/>
      <c r="CM3408" s="15"/>
    </row>
    <row r="3409" spans="1:91" s="11" customFormat="1" x14ac:dyDescent="0.3">
      <c r="A3409" s="1" t="s">
        <v>60</v>
      </c>
      <c r="B3409" s="7">
        <v>40763</v>
      </c>
      <c r="C3409" s="1">
        <v>6</v>
      </c>
      <c r="D3409" s="1">
        <v>190</v>
      </c>
      <c r="E3409" s="1">
        <v>1</v>
      </c>
      <c r="F3409" s="1">
        <v>90</v>
      </c>
      <c r="G3409" s="1"/>
      <c r="H3409" s="1">
        <v>1</v>
      </c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  <c r="AA3409" s="1"/>
      <c r="AB3409" s="1"/>
      <c r="AC3409" s="1"/>
      <c r="AD3409" s="1"/>
      <c r="AE3409" s="1"/>
      <c r="AF3409" s="1"/>
      <c r="AG3409" s="1"/>
      <c r="AH3409" s="1"/>
      <c r="AI3409" s="1"/>
      <c r="AJ3409" s="1"/>
      <c r="AK3409" s="1"/>
      <c r="AL3409" s="1"/>
      <c r="AM3409" s="1"/>
      <c r="AN3409" s="1"/>
      <c r="AO3409" s="1"/>
      <c r="AP3409" s="1"/>
      <c r="AQ3409" s="1"/>
      <c r="AR3409" s="1"/>
      <c r="AS3409" s="1"/>
      <c r="AT3409" s="1"/>
      <c r="AU3409" s="1"/>
      <c r="AV3409" s="1"/>
      <c r="AW3409" s="1"/>
      <c r="AX3409" s="1"/>
      <c r="AY3409" s="1"/>
      <c r="AZ3409" s="1"/>
      <c r="BA3409" s="1"/>
      <c r="BB3409" s="1"/>
      <c r="BC3409" s="1"/>
      <c r="BD3409" s="1"/>
      <c r="BE3409" s="1"/>
      <c r="BF3409" s="1"/>
      <c r="BG3409" s="1"/>
      <c r="BH3409" s="1"/>
      <c r="BI3409" s="1"/>
      <c r="BJ3409" s="1"/>
      <c r="BK3409" s="1"/>
      <c r="BL3409" s="1"/>
      <c r="BM3409" s="1"/>
      <c r="BN3409" s="1"/>
      <c r="BO3409" s="1"/>
      <c r="BP3409" s="1"/>
      <c r="BQ3409" s="1"/>
      <c r="BR3409" s="1"/>
      <c r="BS3409" s="1"/>
      <c r="BT3409" s="1"/>
      <c r="BU3409" s="1"/>
      <c r="BV3409" s="1"/>
      <c r="BW3409" s="1"/>
      <c r="BX3409" s="1"/>
      <c r="BY3409" s="1"/>
      <c r="BZ3409" s="1"/>
      <c r="CA3409" s="1"/>
      <c r="CB3409" s="1"/>
      <c r="CC3409" s="1"/>
      <c r="CD3409" s="1"/>
      <c r="CE3409" s="1"/>
      <c r="CF3409" s="1"/>
      <c r="CG3409" s="1"/>
      <c r="CH3409" s="1"/>
      <c r="CI3409" s="1"/>
      <c r="CJ3409" s="1"/>
      <c r="CK3409" s="1"/>
      <c r="CM3409" s="15"/>
    </row>
    <row r="3410" spans="1:91" s="11" customFormat="1" x14ac:dyDescent="0.3">
      <c r="A3410" s="1" t="s">
        <v>60</v>
      </c>
      <c r="B3410" s="7">
        <v>40763</v>
      </c>
      <c r="C3410" s="1">
        <v>6</v>
      </c>
      <c r="D3410" s="1">
        <v>190</v>
      </c>
      <c r="E3410" s="1">
        <v>1</v>
      </c>
      <c r="F3410" s="1">
        <v>91</v>
      </c>
      <c r="G3410" s="1"/>
      <c r="H3410" s="1"/>
      <c r="I3410" s="1"/>
      <c r="J3410" s="1"/>
      <c r="K3410" s="1"/>
      <c r="L3410" s="1"/>
      <c r="M3410" s="1"/>
      <c r="N3410" s="1"/>
      <c r="O3410" s="1"/>
      <c r="P3410" s="3">
        <v>0</v>
      </c>
      <c r="Q3410" s="3">
        <v>1</v>
      </c>
      <c r="R3410" s="1"/>
      <c r="S3410" s="1"/>
      <c r="T3410" s="1"/>
      <c r="U3410" s="1"/>
      <c r="V3410" s="1"/>
      <c r="W3410" s="1"/>
      <c r="X3410" s="1"/>
      <c r="Y3410" s="1"/>
      <c r="Z3410" s="1"/>
      <c r="AA3410" s="1"/>
      <c r="AB3410" s="1"/>
      <c r="AC3410" s="1"/>
      <c r="AD3410" s="1"/>
      <c r="AE3410" s="1"/>
      <c r="AF3410" s="1"/>
      <c r="AG3410" s="1"/>
      <c r="AH3410" s="1"/>
      <c r="AI3410" s="1"/>
      <c r="AJ3410" s="1"/>
      <c r="AK3410" s="1"/>
      <c r="AL3410" s="1"/>
      <c r="AM3410" s="1"/>
      <c r="AN3410" s="1"/>
      <c r="AO3410" s="1"/>
      <c r="AP3410" s="1"/>
      <c r="AQ3410" s="1"/>
      <c r="AR3410" s="1"/>
      <c r="AS3410" s="1"/>
      <c r="AT3410" s="1"/>
      <c r="AU3410" s="1"/>
      <c r="AV3410" s="1"/>
      <c r="AW3410" s="1"/>
      <c r="AX3410" s="1"/>
      <c r="AY3410" s="1"/>
      <c r="AZ3410" s="1"/>
      <c r="BA3410" s="1"/>
      <c r="BB3410" s="1"/>
      <c r="BC3410" s="1"/>
      <c r="BD3410" s="1"/>
      <c r="BE3410" s="1"/>
      <c r="BF3410" s="1"/>
      <c r="BG3410" s="1"/>
      <c r="BH3410" s="1"/>
      <c r="BI3410" s="1"/>
      <c r="BJ3410" s="1"/>
      <c r="BK3410" s="1"/>
      <c r="BL3410" s="1"/>
      <c r="BM3410" s="1"/>
      <c r="BN3410" s="1"/>
      <c r="BO3410" s="1"/>
      <c r="BP3410" s="1"/>
      <c r="BQ3410" s="1"/>
      <c r="BR3410" s="1"/>
      <c r="BS3410" s="1"/>
      <c r="BT3410" s="1"/>
      <c r="BU3410" s="1"/>
      <c r="BV3410" s="1"/>
      <c r="BW3410" s="1"/>
      <c r="BX3410" s="1"/>
      <c r="BY3410" s="1"/>
      <c r="BZ3410" s="1"/>
      <c r="CA3410" s="1"/>
      <c r="CB3410" s="1"/>
      <c r="CC3410" s="1"/>
      <c r="CD3410" s="1"/>
      <c r="CE3410" s="1"/>
      <c r="CF3410" s="1"/>
      <c r="CG3410" s="1"/>
      <c r="CH3410" s="1"/>
      <c r="CI3410" s="1"/>
      <c r="CJ3410" s="1"/>
      <c r="CK3410" s="1"/>
      <c r="CM3410" s="15"/>
    </row>
    <row r="3411" spans="1:91" s="11" customFormat="1" x14ac:dyDescent="0.3">
      <c r="A3411" s="1" t="s">
        <v>60</v>
      </c>
      <c r="B3411" s="7">
        <v>40763</v>
      </c>
      <c r="C3411" s="1">
        <v>6</v>
      </c>
      <c r="D3411" s="1">
        <v>190</v>
      </c>
      <c r="E3411" s="1">
        <v>1</v>
      </c>
      <c r="F3411" s="1">
        <v>92</v>
      </c>
      <c r="G3411" s="1"/>
      <c r="H3411" s="1"/>
      <c r="I3411" s="1"/>
      <c r="J3411" s="1">
        <v>1</v>
      </c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  <c r="AA3411" s="1"/>
      <c r="AB3411" s="1"/>
      <c r="AC3411" s="1"/>
      <c r="AD3411" s="1"/>
      <c r="AE3411" s="1"/>
      <c r="AF3411" s="1"/>
      <c r="AG3411" s="1"/>
      <c r="AH3411" s="1"/>
      <c r="AI3411" s="1"/>
      <c r="AJ3411" s="1"/>
      <c r="AK3411" s="1"/>
      <c r="AL3411" s="1"/>
      <c r="AM3411" s="1"/>
      <c r="AN3411" s="1"/>
      <c r="AO3411" s="1"/>
      <c r="AP3411" s="1"/>
      <c r="AQ3411" s="1"/>
      <c r="AR3411" s="1"/>
      <c r="AS3411" s="1"/>
      <c r="AT3411" s="1"/>
      <c r="AU3411" s="1"/>
      <c r="AV3411" s="1"/>
      <c r="AW3411" s="1"/>
      <c r="AX3411" s="1"/>
      <c r="AY3411" s="1"/>
      <c r="AZ3411" s="1"/>
      <c r="BA3411" s="1"/>
      <c r="BB3411" s="1"/>
      <c r="BC3411" s="1"/>
      <c r="BD3411" s="1"/>
      <c r="BE3411" s="1"/>
      <c r="BF3411" s="1"/>
      <c r="BG3411" s="1"/>
      <c r="BH3411" s="1"/>
      <c r="BI3411" s="1"/>
      <c r="BJ3411" s="1"/>
      <c r="BK3411" s="1"/>
      <c r="BL3411" s="1"/>
      <c r="BM3411" s="1"/>
      <c r="BN3411" s="1"/>
      <c r="BO3411" s="1"/>
      <c r="BP3411" s="1"/>
      <c r="BQ3411" s="1"/>
      <c r="BR3411" s="1"/>
      <c r="BS3411" s="1"/>
      <c r="BT3411" s="1"/>
      <c r="BU3411" s="1"/>
      <c r="BV3411" s="1"/>
      <c r="BW3411" s="1"/>
      <c r="BX3411" s="1"/>
      <c r="BY3411" s="1"/>
      <c r="BZ3411" s="1"/>
      <c r="CA3411" s="1"/>
      <c r="CB3411" s="1"/>
      <c r="CC3411" s="1"/>
      <c r="CD3411" s="1"/>
      <c r="CE3411" s="1"/>
      <c r="CF3411" s="1"/>
      <c r="CG3411" s="1"/>
      <c r="CH3411" s="1"/>
      <c r="CI3411" s="1"/>
      <c r="CJ3411" s="1"/>
      <c r="CK3411" s="1"/>
      <c r="CM3411" s="15"/>
    </row>
    <row r="3412" spans="1:91" s="11" customFormat="1" x14ac:dyDescent="0.3">
      <c r="A3412" s="1" t="s">
        <v>60</v>
      </c>
      <c r="B3412" s="7">
        <v>40763</v>
      </c>
      <c r="C3412" s="1">
        <v>6</v>
      </c>
      <c r="D3412" s="1">
        <v>190</v>
      </c>
      <c r="E3412" s="1">
        <v>1</v>
      </c>
      <c r="F3412" s="1">
        <v>93</v>
      </c>
      <c r="G3412" s="1"/>
      <c r="H3412" s="1"/>
      <c r="I3412" s="1"/>
      <c r="J3412" s="1"/>
      <c r="K3412" s="1"/>
      <c r="L3412" s="1">
        <v>1</v>
      </c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  <c r="AA3412" s="1"/>
      <c r="AB3412" s="1"/>
      <c r="AC3412" s="1"/>
      <c r="AD3412" s="1"/>
      <c r="AE3412" s="1"/>
      <c r="AF3412" s="1"/>
      <c r="AG3412" s="1"/>
      <c r="AH3412" s="1"/>
      <c r="AI3412" s="1"/>
      <c r="AJ3412" s="1"/>
      <c r="AK3412" s="1"/>
      <c r="AL3412" s="1"/>
      <c r="AM3412" s="1"/>
      <c r="AN3412" s="1"/>
      <c r="AO3412" s="1"/>
      <c r="AP3412" s="1"/>
      <c r="AQ3412" s="1"/>
      <c r="AR3412" s="1"/>
      <c r="AS3412" s="1"/>
      <c r="AT3412" s="1"/>
      <c r="AU3412" s="1"/>
      <c r="AV3412" s="1"/>
      <c r="AW3412" s="1"/>
      <c r="AX3412" s="1"/>
      <c r="AY3412" s="1"/>
      <c r="AZ3412" s="1"/>
      <c r="BA3412" s="1"/>
      <c r="BB3412" s="1"/>
      <c r="BC3412" s="1"/>
      <c r="BD3412" s="1"/>
      <c r="BE3412" s="1"/>
      <c r="BF3412" s="1"/>
      <c r="BG3412" s="1"/>
      <c r="BH3412" s="1"/>
      <c r="BI3412" s="1"/>
      <c r="BJ3412" s="1"/>
      <c r="BK3412" s="1"/>
      <c r="BL3412" s="1"/>
      <c r="BM3412" s="1"/>
      <c r="BN3412" s="1"/>
      <c r="BO3412" s="1"/>
      <c r="BP3412" s="1"/>
      <c r="BQ3412" s="1"/>
      <c r="BR3412" s="1"/>
      <c r="BS3412" s="1"/>
      <c r="BT3412" s="1"/>
      <c r="BU3412" s="1"/>
      <c r="BV3412" s="1"/>
      <c r="BW3412" s="1"/>
      <c r="BX3412" s="1"/>
      <c r="BY3412" s="1"/>
      <c r="BZ3412" s="1"/>
      <c r="CA3412" s="1"/>
      <c r="CB3412" s="1"/>
      <c r="CC3412" s="1"/>
      <c r="CD3412" s="1"/>
      <c r="CE3412" s="1"/>
      <c r="CF3412" s="1"/>
      <c r="CG3412" s="1"/>
      <c r="CH3412" s="1"/>
      <c r="CI3412" s="1"/>
      <c r="CJ3412" s="1"/>
      <c r="CK3412" s="1"/>
      <c r="CM3412" s="15"/>
    </row>
    <row r="3413" spans="1:91" s="11" customFormat="1" x14ac:dyDescent="0.3">
      <c r="A3413" s="1" t="s">
        <v>60</v>
      </c>
      <c r="B3413" s="7">
        <v>40763</v>
      </c>
      <c r="C3413" s="1">
        <v>6</v>
      </c>
      <c r="D3413" s="1">
        <v>190</v>
      </c>
      <c r="E3413" s="1">
        <v>1</v>
      </c>
      <c r="F3413" s="1">
        <v>94</v>
      </c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>
        <v>1</v>
      </c>
      <c r="S3413" s="1"/>
      <c r="T3413" s="1"/>
      <c r="U3413" s="1"/>
      <c r="V3413" s="1"/>
      <c r="W3413" s="1"/>
      <c r="X3413" s="1"/>
      <c r="Y3413" s="1"/>
      <c r="Z3413" s="1"/>
      <c r="AA3413" s="1"/>
      <c r="AB3413" s="1"/>
      <c r="AC3413" s="1"/>
      <c r="AD3413" s="1"/>
      <c r="AE3413" s="1"/>
      <c r="AF3413" s="1"/>
      <c r="AG3413" s="1"/>
      <c r="AH3413" s="1"/>
      <c r="AI3413" s="1"/>
      <c r="AJ3413" s="1"/>
      <c r="AK3413" s="1"/>
      <c r="AL3413" s="1"/>
      <c r="AM3413" s="1"/>
      <c r="AN3413" s="1"/>
      <c r="AO3413" s="1"/>
      <c r="AP3413" s="1"/>
      <c r="AQ3413" s="1"/>
      <c r="AR3413" s="1"/>
      <c r="AS3413" s="1"/>
      <c r="AT3413" s="1"/>
      <c r="AU3413" s="1"/>
      <c r="AV3413" s="1"/>
      <c r="AW3413" s="1"/>
      <c r="AX3413" s="1"/>
      <c r="AY3413" s="1"/>
      <c r="AZ3413" s="1"/>
      <c r="BA3413" s="1"/>
      <c r="BB3413" s="1"/>
      <c r="BC3413" s="1"/>
      <c r="BD3413" s="1"/>
      <c r="BE3413" s="1"/>
      <c r="BF3413" s="1"/>
      <c r="BG3413" s="1"/>
      <c r="BH3413" s="1"/>
      <c r="BI3413" s="1"/>
      <c r="BJ3413" s="1"/>
      <c r="BK3413" s="1"/>
      <c r="BL3413" s="1"/>
      <c r="BM3413" s="1"/>
      <c r="BN3413" s="1"/>
      <c r="BO3413" s="1"/>
      <c r="BP3413" s="1"/>
      <c r="BQ3413" s="1"/>
      <c r="BR3413" s="1"/>
      <c r="BS3413" s="1"/>
      <c r="BT3413" s="1"/>
      <c r="BU3413" s="1"/>
      <c r="BV3413" s="1"/>
      <c r="BW3413" s="1"/>
      <c r="BX3413" s="1"/>
      <c r="BY3413" s="1"/>
      <c r="BZ3413" s="1"/>
      <c r="CA3413" s="1"/>
      <c r="CB3413" s="1"/>
      <c r="CC3413" s="1"/>
      <c r="CD3413" s="1"/>
      <c r="CE3413" s="1"/>
      <c r="CF3413" s="1"/>
      <c r="CG3413" s="1"/>
      <c r="CH3413" s="1"/>
      <c r="CI3413" s="1"/>
      <c r="CJ3413" s="1"/>
      <c r="CK3413" s="1"/>
      <c r="CM3413" s="15"/>
    </row>
    <row r="3414" spans="1:91" s="11" customFormat="1" x14ac:dyDescent="0.3">
      <c r="A3414" s="1" t="s">
        <v>60</v>
      </c>
      <c r="B3414" s="7">
        <v>40763</v>
      </c>
      <c r="C3414" s="1">
        <v>6</v>
      </c>
      <c r="D3414" s="1">
        <v>190</v>
      </c>
      <c r="E3414" s="1">
        <v>1</v>
      </c>
      <c r="F3414" s="1">
        <v>95</v>
      </c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  <c r="AA3414" s="1"/>
      <c r="AB3414" s="1"/>
      <c r="AC3414" s="1"/>
      <c r="AD3414" s="1"/>
      <c r="AE3414" s="1"/>
      <c r="AF3414" s="1"/>
      <c r="AG3414" s="1"/>
      <c r="AH3414" s="1"/>
      <c r="AI3414" s="1"/>
      <c r="AJ3414" s="1"/>
      <c r="AK3414" s="1"/>
      <c r="AL3414" s="1"/>
      <c r="AM3414" s="1"/>
      <c r="AN3414" s="1"/>
      <c r="AO3414" s="1"/>
      <c r="AP3414" s="1"/>
      <c r="AQ3414" s="1"/>
      <c r="AR3414" s="1"/>
      <c r="AS3414" s="1"/>
      <c r="AT3414" s="1"/>
      <c r="AU3414" s="1"/>
      <c r="AV3414" s="1"/>
      <c r="AW3414" s="1"/>
      <c r="AX3414" s="1"/>
      <c r="AY3414" s="1"/>
      <c r="AZ3414" s="1"/>
      <c r="BA3414" s="1"/>
      <c r="BB3414" s="1"/>
      <c r="BC3414" s="1"/>
      <c r="BD3414" s="1"/>
      <c r="BE3414" s="1"/>
      <c r="BF3414" s="1"/>
      <c r="BG3414" s="1"/>
      <c r="BH3414" s="1"/>
      <c r="BI3414" s="1"/>
      <c r="BJ3414" s="1"/>
      <c r="BK3414" s="1"/>
      <c r="BL3414" s="1"/>
      <c r="BM3414" s="1"/>
      <c r="BN3414" s="1"/>
      <c r="BO3414" s="1"/>
      <c r="BP3414" s="1"/>
      <c r="BQ3414" s="1"/>
      <c r="BR3414" s="1"/>
      <c r="BS3414" s="1"/>
      <c r="BT3414" s="1"/>
      <c r="BU3414" s="1"/>
      <c r="BV3414" s="1"/>
      <c r="BW3414" s="1"/>
      <c r="BX3414" s="1"/>
      <c r="BY3414" s="1"/>
      <c r="BZ3414" s="1"/>
      <c r="CA3414" s="1"/>
      <c r="CB3414" s="1"/>
      <c r="CC3414" s="1"/>
      <c r="CD3414" s="1"/>
      <c r="CE3414" s="1"/>
      <c r="CF3414" s="1"/>
      <c r="CG3414" s="1"/>
      <c r="CH3414" s="1"/>
      <c r="CI3414" s="1"/>
      <c r="CJ3414" s="1"/>
      <c r="CK3414" s="1"/>
      <c r="CM3414" s="15"/>
    </row>
    <row r="3415" spans="1:91" s="11" customFormat="1" x14ac:dyDescent="0.3">
      <c r="A3415" s="1" t="s">
        <v>60</v>
      </c>
      <c r="B3415" s="7">
        <v>40763</v>
      </c>
      <c r="C3415" s="1">
        <v>6</v>
      </c>
      <c r="D3415" s="1">
        <v>190</v>
      </c>
      <c r="E3415" s="1">
        <v>1</v>
      </c>
      <c r="F3415" s="1">
        <v>96</v>
      </c>
      <c r="G3415" s="1"/>
      <c r="H3415" s="1"/>
      <c r="I3415" s="1"/>
      <c r="J3415" s="1">
        <v>1</v>
      </c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  <c r="AA3415" s="1"/>
      <c r="AB3415" s="1"/>
      <c r="AC3415" s="1"/>
      <c r="AD3415" s="1"/>
      <c r="AE3415" s="1"/>
      <c r="AF3415" s="1"/>
      <c r="AG3415" s="1"/>
      <c r="AH3415" s="1"/>
      <c r="AI3415" s="1"/>
      <c r="AJ3415" s="1"/>
      <c r="AK3415" s="1"/>
      <c r="AL3415" s="1"/>
      <c r="AM3415" s="1"/>
      <c r="AN3415" s="1"/>
      <c r="AO3415" s="1"/>
      <c r="AP3415" s="1"/>
      <c r="AQ3415" s="1"/>
      <c r="AR3415" s="1"/>
      <c r="AS3415" s="1"/>
      <c r="AT3415" s="1"/>
      <c r="AU3415" s="1"/>
      <c r="AV3415" s="1"/>
      <c r="AW3415" s="1"/>
      <c r="AX3415" s="1"/>
      <c r="AY3415" s="1"/>
      <c r="AZ3415" s="1"/>
      <c r="BA3415" s="1"/>
      <c r="BB3415" s="1"/>
      <c r="BC3415" s="1"/>
      <c r="BD3415" s="1"/>
      <c r="BE3415" s="1"/>
      <c r="BF3415" s="1"/>
      <c r="BG3415" s="1"/>
      <c r="BH3415" s="1"/>
      <c r="BI3415" s="1"/>
      <c r="BJ3415" s="1"/>
      <c r="BK3415" s="1"/>
      <c r="BL3415" s="1"/>
      <c r="BM3415" s="1"/>
      <c r="BN3415" s="1"/>
      <c r="BO3415" s="1"/>
      <c r="BP3415" s="1"/>
      <c r="BQ3415" s="1"/>
      <c r="BR3415" s="1"/>
      <c r="BS3415" s="1"/>
      <c r="BT3415" s="1"/>
      <c r="BU3415" s="1"/>
      <c r="BV3415" s="1"/>
      <c r="BW3415" s="1"/>
      <c r="BX3415" s="1"/>
      <c r="BY3415" s="1"/>
      <c r="BZ3415" s="1"/>
      <c r="CA3415" s="1"/>
      <c r="CB3415" s="1"/>
      <c r="CC3415" s="1"/>
      <c r="CD3415" s="1"/>
      <c r="CE3415" s="1"/>
      <c r="CF3415" s="1"/>
      <c r="CG3415" s="1"/>
      <c r="CH3415" s="1"/>
      <c r="CI3415" s="1"/>
      <c r="CJ3415" s="1"/>
      <c r="CK3415" s="1"/>
      <c r="CM3415" s="15"/>
    </row>
    <row r="3416" spans="1:91" s="11" customFormat="1" x14ac:dyDescent="0.3">
      <c r="A3416" s="1" t="s">
        <v>60</v>
      </c>
      <c r="B3416" s="7">
        <v>40763</v>
      </c>
      <c r="C3416" s="1">
        <v>6</v>
      </c>
      <c r="D3416" s="1">
        <v>190</v>
      </c>
      <c r="E3416" s="1">
        <v>1</v>
      </c>
      <c r="F3416" s="1">
        <v>97</v>
      </c>
      <c r="G3416" s="1"/>
      <c r="H3416" s="1"/>
      <c r="I3416" s="1"/>
      <c r="J3416" s="1">
        <v>1</v>
      </c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  <c r="AA3416" s="1"/>
      <c r="AB3416" s="1"/>
      <c r="AC3416" s="1"/>
      <c r="AD3416" s="1"/>
      <c r="AE3416" s="1"/>
      <c r="AF3416" s="1"/>
      <c r="AG3416" s="1"/>
      <c r="AH3416" s="1"/>
      <c r="AI3416" s="1"/>
      <c r="AJ3416" s="1"/>
      <c r="AK3416" s="1"/>
      <c r="AL3416" s="1"/>
      <c r="AM3416" s="1"/>
      <c r="AN3416" s="1"/>
      <c r="AO3416" s="1"/>
      <c r="AP3416" s="1"/>
      <c r="AQ3416" s="1"/>
      <c r="AR3416" s="1"/>
      <c r="AS3416" s="1"/>
      <c r="AT3416" s="1"/>
      <c r="AU3416" s="1"/>
      <c r="AV3416" s="1"/>
      <c r="AW3416" s="1"/>
      <c r="AX3416" s="1"/>
      <c r="AY3416" s="1"/>
      <c r="AZ3416" s="1"/>
      <c r="BA3416" s="1"/>
      <c r="BB3416" s="1"/>
      <c r="BC3416" s="1"/>
      <c r="BD3416" s="1"/>
      <c r="BE3416" s="1"/>
      <c r="BF3416" s="1"/>
      <c r="BG3416" s="1"/>
      <c r="BH3416" s="1"/>
      <c r="BI3416" s="1"/>
      <c r="BJ3416" s="1"/>
      <c r="BK3416" s="1"/>
      <c r="BL3416" s="1"/>
      <c r="BM3416" s="1"/>
      <c r="BN3416" s="1"/>
      <c r="BO3416" s="1"/>
      <c r="BP3416" s="1"/>
      <c r="BQ3416" s="1"/>
      <c r="BR3416" s="1"/>
      <c r="BS3416" s="1"/>
      <c r="BT3416" s="1"/>
      <c r="BU3416" s="1"/>
      <c r="BV3416" s="1"/>
      <c r="BW3416" s="1"/>
      <c r="BX3416" s="1"/>
      <c r="BY3416" s="1"/>
      <c r="BZ3416" s="1"/>
      <c r="CA3416" s="1"/>
      <c r="CB3416" s="1"/>
      <c r="CC3416" s="1"/>
      <c r="CD3416" s="1"/>
      <c r="CE3416" s="1"/>
      <c r="CF3416" s="1"/>
      <c r="CG3416" s="1"/>
      <c r="CH3416" s="1"/>
      <c r="CI3416" s="1"/>
      <c r="CJ3416" s="1"/>
      <c r="CK3416" s="1"/>
      <c r="CM3416" s="15"/>
    </row>
    <row r="3417" spans="1:91" s="11" customFormat="1" x14ac:dyDescent="0.3">
      <c r="A3417" s="1" t="s">
        <v>60</v>
      </c>
      <c r="B3417" s="7">
        <v>40763</v>
      </c>
      <c r="C3417" s="1">
        <v>6</v>
      </c>
      <c r="D3417" s="1">
        <v>190</v>
      </c>
      <c r="E3417" s="1">
        <v>1</v>
      </c>
      <c r="F3417" s="1">
        <v>98</v>
      </c>
      <c r="G3417" s="1"/>
      <c r="H3417" s="1"/>
      <c r="I3417" s="1">
        <v>1</v>
      </c>
      <c r="J3417" s="3">
        <v>0</v>
      </c>
      <c r="K3417" s="3">
        <v>1</v>
      </c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  <c r="AA3417" s="1"/>
      <c r="AB3417" s="1"/>
      <c r="AC3417" s="1"/>
      <c r="AD3417" s="1"/>
      <c r="AE3417" s="1"/>
      <c r="AF3417" s="1"/>
      <c r="AG3417" s="1"/>
      <c r="AH3417" s="1"/>
      <c r="AI3417" s="1"/>
      <c r="AJ3417" s="1"/>
      <c r="AK3417" s="1"/>
      <c r="AL3417" s="1"/>
      <c r="AM3417" s="1"/>
      <c r="AN3417" s="1"/>
      <c r="AO3417" s="1"/>
      <c r="AP3417" s="1"/>
      <c r="AQ3417" s="1"/>
      <c r="AR3417" s="1"/>
      <c r="AS3417" s="1"/>
      <c r="AT3417" s="1"/>
      <c r="AU3417" s="1"/>
      <c r="AV3417" s="1"/>
      <c r="AW3417" s="1"/>
      <c r="AX3417" s="1"/>
      <c r="AY3417" s="1"/>
      <c r="AZ3417" s="1"/>
      <c r="BA3417" s="1"/>
      <c r="BB3417" s="1"/>
      <c r="BC3417" s="1"/>
      <c r="BD3417" s="1"/>
      <c r="BE3417" s="1"/>
      <c r="BF3417" s="1"/>
      <c r="BG3417" s="1"/>
      <c r="BH3417" s="1"/>
      <c r="BI3417" s="1"/>
      <c r="BJ3417" s="1"/>
      <c r="BK3417" s="1"/>
      <c r="BL3417" s="1"/>
      <c r="BM3417" s="1"/>
      <c r="BN3417" s="1"/>
      <c r="BO3417" s="1"/>
      <c r="BP3417" s="1"/>
      <c r="BQ3417" s="1"/>
      <c r="BR3417" s="1"/>
      <c r="BS3417" s="1"/>
      <c r="BT3417" s="1"/>
      <c r="BU3417" s="1"/>
      <c r="BV3417" s="1"/>
      <c r="BW3417" s="1"/>
      <c r="BX3417" s="1"/>
      <c r="BY3417" s="1"/>
      <c r="BZ3417" s="1"/>
      <c r="CA3417" s="1"/>
      <c r="CB3417" s="1"/>
      <c r="CC3417" s="1"/>
      <c r="CD3417" s="1"/>
      <c r="CE3417" s="1"/>
      <c r="CF3417" s="1"/>
      <c r="CG3417" s="1"/>
      <c r="CH3417" s="1"/>
      <c r="CI3417" s="1"/>
      <c r="CJ3417" s="1"/>
      <c r="CK3417" s="1"/>
      <c r="CM3417" s="15"/>
    </row>
    <row r="3418" spans="1:91" s="11" customFormat="1" x14ac:dyDescent="0.3">
      <c r="A3418" s="1" t="s">
        <v>60</v>
      </c>
      <c r="B3418" s="7">
        <v>40763</v>
      </c>
      <c r="C3418" s="1">
        <v>6</v>
      </c>
      <c r="D3418" s="1">
        <v>190</v>
      </c>
      <c r="E3418" s="1">
        <v>1</v>
      </c>
      <c r="F3418" s="1">
        <v>99</v>
      </c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  <c r="AA3418" s="1"/>
      <c r="AB3418" s="1"/>
      <c r="AC3418" s="1"/>
      <c r="AD3418" s="3">
        <v>0</v>
      </c>
      <c r="AE3418" s="3">
        <v>1</v>
      </c>
      <c r="AF3418" s="1"/>
      <c r="AG3418" s="1"/>
      <c r="AH3418" s="1"/>
      <c r="AI3418" s="1"/>
      <c r="AJ3418" s="1"/>
      <c r="AK3418" s="1"/>
      <c r="AL3418" s="1"/>
      <c r="AM3418" s="1"/>
      <c r="AN3418" s="1"/>
      <c r="AO3418" s="1"/>
      <c r="AP3418" s="1"/>
      <c r="AQ3418" s="1"/>
      <c r="AR3418" s="1"/>
      <c r="AS3418" s="1"/>
      <c r="AT3418" s="1"/>
      <c r="AU3418" s="1"/>
      <c r="AV3418" s="1"/>
      <c r="AW3418" s="1"/>
      <c r="AX3418" s="1"/>
      <c r="AY3418" s="1"/>
      <c r="AZ3418" s="1"/>
      <c r="BA3418" s="1"/>
      <c r="BB3418" s="1"/>
      <c r="BC3418" s="1"/>
      <c r="BD3418" s="1"/>
      <c r="BE3418" s="1"/>
      <c r="BF3418" s="1"/>
      <c r="BG3418" s="1"/>
      <c r="BH3418" s="1"/>
      <c r="BI3418" s="1"/>
      <c r="BJ3418" s="1"/>
      <c r="BK3418" s="1"/>
      <c r="BL3418" s="1"/>
      <c r="BM3418" s="1"/>
      <c r="BN3418" s="1"/>
      <c r="BO3418" s="1"/>
      <c r="BP3418" s="1"/>
      <c r="BQ3418" s="1"/>
      <c r="BR3418" s="1"/>
      <c r="BS3418" s="1"/>
      <c r="BT3418" s="1"/>
      <c r="BU3418" s="1"/>
      <c r="BV3418" s="1"/>
      <c r="BW3418" s="1"/>
      <c r="BX3418" s="1"/>
      <c r="BY3418" s="1"/>
      <c r="BZ3418" s="1"/>
      <c r="CA3418" s="1"/>
      <c r="CB3418" s="1"/>
      <c r="CC3418" s="1"/>
      <c r="CD3418" s="1"/>
      <c r="CE3418" s="1"/>
      <c r="CF3418" s="1"/>
      <c r="CG3418" s="1"/>
      <c r="CH3418" s="1"/>
      <c r="CI3418" s="1"/>
      <c r="CJ3418" s="1"/>
      <c r="CK3418" s="1"/>
      <c r="CM3418" s="15"/>
    </row>
    <row r="3419" spans="1:91" s="11" customFormat="1" x14ac:dyDescent="0.3">
      <c r="A3419" s="1" t="s">
        <v>60</v>
      </c>
      <c r="B3419" s="7">
        <v>40763</v>
      </c>
      <c r="C3419" s="1">
        <v>6</v>
      </c>
      <c r="D3419" s="1">
        <v>190</v>
      </c>
      <c r="E3419" s="1">
        <v>1</v>
      </c>
      <c r="F3419" s="1">
        <v>100</v>
      </c>
      <c r="G3419" s="1"/>
      <c r="H3419" s="1"/>
      <c r="I3419" s="1"/>
      <c r="J3419" s="1"/>
      <c r="K3419" s="1"/>
      <c r="L3419" s="1">
        <v>1</v>
      </c>
      <c r="M3419" s="1"/>
      <c r="N3419" s="1"/>
      <c r="O3419" s="1"/>
      <c r="P3419" s="1"/>
      <c r="Q3419" s="1"/>
      <c r="R3419" s="3">
        <v>0</v>
      </c>
      <c r="S3419" s="3">
        <v>1</v>
      </c>
      <c r="T3419" s="1"/>
      <c r="U3419" s="1"/>
      <c r="V3419" s="1"/>
      <c r="W3419" s="1"/>
      <c r="X3419" s="1"/>
      <c r="Y3419" s="1"/>
      <c r="Z3419" s="1"/>
      <c r="AA3419" s="1"/>
      <c r="AB3419" s="1"/>
      <c r="AC3419" s="1"/>
      <c r="AD3419" s="1"/>
      <c r="AE3419" s="1"/>
      <c r="AF3419" s="1"/>
      <c r="AG3419" s="1"/>
      <c r="AH3419" s="1"/>
      <c r="AI3419" s="1"/>
      <c r="AJ3419" s="1"/>
      <c r="AK3419" s="1"/>
      <c r="AL3419" s="1"/>
      <c r="AM3419" s="1"/>
      <c r="AN3419" s="1"/>
      <c r="AO3419" s="1"/>
      <c r="AP3419" s="1"/>
      <c r="AQ3419" s="1"/>
      <c r="AR3419" s="1"/>
      <c r="AS3419" s="1"/>
      <c r="AT3419" s="1"/>
      <c r="AU3419" s="1"/>
      <c r="AV3419" s="1"/>
      <c r="AW3419" s="1"/>
      <c r="AX3419" s="1"/>
      <c r="AY3419" s="1"/>
      <c r="AZ3419" s="1"/>
      <c r="BA3419" s="1"/>
      <c r="BB3419" s="1"/>
      <c r="BC3419" s="1"/>
      <c r="BD3419" s="1"/>
      <c r="BE3419" s="1"/>
      <c r="BF3419" s="1"/>
      <c r="BG3419" s="1"/>
      <c r="BH3419" s="1"/>
      <c r="BI3419" s="1"/>
      <c r="BJ3419" s="1"/>
      <c r="BK3419" s="1"/>
      <c r="BL3419" s="1"/>
      <c r="BM3419" s="1"/>
      <c r="BN3419" s="1"/>
      <c r="BO3419" s="1"/>
      <c r="BP3419" s="1"/>
      <c r="BQ3419" s="1"/>
      <c r="BR3419" s="1"/>
      <c r="BS3419" s="1"/>
      <c r="BT3419" s="1"/>
      <c r="BU3419" s="1"/>
      <c r="BV3419" s="1"/>
      <c r="BW3419" s="1"/>
      <c r="BX3419" s="1"/>
      <c r="BY3419" s="1"/>
      <c r="BZ3419" s="1"/>
      <c r="CA3419" s="1"/>
      <c r="CB3419" s="1"/>
      <c r="CC3419" s="1"/>
      <c r="CD3419" s="1"/>
      <c r="CE3419" s="1"/>
      <c r="CF3419" s="1"/>
      <c r="CG3419" s="1"/>
      <c r="CH3419" s="1"/>
      <c r="CI3419" s="1"/>
      <c r="CJ3419" s="1"/>
      <c r="CK3419" s="1"/>
      <c r="CM3419" s="15"/>
    </row>
    <row r="3420" spans="1:91" s="11" customFormat="1" x14ac:dyDescent="0.3">
      <c r="A3420" s="1" t="s">
        <v>60</v>
      </c>
      <c r="B3420" s="7">
        <v>40763</v>
      </c>
      <c r="C3420" s="1">
        <v>8</v>
      </c>
      <c r="D3420" s="1">
        <v>233</v>
      </c>
      <c r="E3420" s="1">
        <v>1</v>
      </c>
      <c r="F3420" s="1">
        <v>1</v>
      </c>
      <c r="G3420" s="1"/>
      <c r="H3420" s="1"/>
      <c r="I3420" s="1">
        <v>1</v>
      </c>
      <c r="J3420" s="1"/>
      <c r="K3420" s="1"/>
      <c r="L3420" s="1">
        <v>1</v>
      </c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  <c r="AA3420" s="1"/>
      <c r="AB3420" s="1"/>
      <c r="AC3420" s="1"/>
      <c r="AD3420" s="1"/>
      <c r="AE3420" s="1"/>
      <c r="AF3420" s="1"/>
      <c r="AG3420" s="1"/>
      <c r="AH3420" s="1"/>
      <c r="AI3420" s="1"/>
      <c r="AJ3420" s="1"/>
      <c r="AK3420" s="1"/>
      <c r="AL3420" s="1"/>
      <c r="AM3420" s="1"/>
      <c r="AN3420" s="1"/>
      <c r="AO3420" s="1"/>
      <c r="AP3420" s="1"/>
      <c r="AQ3420" s="1"/>
      <c r="AR3420" s="1"/>
      <c r="AS3420" s="1"/>
      <c r="AT3420" s="1"/>
      <c r="AU3420" s="1"/>
      <c r="AV3420" s="1"/>
      <c r="AW3420" s="1"/>
      <c r="AX3420" s="1"/>
      <c r="AY3420" s="1"/>
      <c r="AZ3420" s="1"/>
      <c r="BA3420" s="1"/>
      <c r="BB3420" s="1"/>
      <c r="BC3420" s="1"/>
      <c r="BD3420" s="1"/>
      <c r="BE3420" s="1"/>
      <c r="BF3420" s="1"/>
      <c r="BG3420" s="1"/>
      <c r="BH3420" s="1"/>
      <c r="BI3420" s="1"/>
      <c r="BJ3420" s="1"/>
      <c r="BK3420" s="1"/>
      <c r="BL3420" s="1"/>
      <c r="BM3420" s="1"/>
      <c r="BN3420" s="1"/>
      <c r="BO3420" s="1"/>
      <c r="BP3420" s="1"/>
      <c r="BQ3420" s="1"/>
      <c r="BR3420" s="1"/>
      <c r="BS3420" s="1"/>
      <c r="BT3420" s="1"/>
      <c r="BU3420" s="1"/>
      <c r="BV3420" s="1"/>
      <c r="BW3420" s="1"/>
      <c r="BX3420" s="1"/>
      <c r="BY3420" s="1"/>
      <c r="BZ3420" s="1"/>
      <c r="CA3420" s="1"/>
      <c r="CB3420" s="1"/>
      <c r="CC3420" s="1"/>
      <c r="CD3420" s="1"/>
      <c r="CE3420" s="1"/>
      <c r="CF3420" s="1"/>
      <c r="CG3420" s="1"/>
      <c r="CH3420" s="1"/>
      <c r="CI3420" s="1"/>
      <c r="CJ3420" s="1"/>
      <c r="CK3420" s="1"/>
      <c r="CM3420" s="15"/>
    </row>
    <row r="3421" spans="1:91" s="11" customFormat="1" x14ac:dyDescent="0.3">
      <c r="A3421" s="1" t="s">
        <v>60</v>
      </c>
      <c r="B3421" s="7">
        <v>40763</v>
      </c>
      <c r="C3421" s="1">
        <v>8</v>
      </c>
      <c r="D3421" s="1">
        <v>233</v>
      </c>
      <c r="E3421" s="1">
        <v>1</v>
      </c>
      <c r="F3421" s="1">
        <v>2</v>
      </c>
      <c r="G3421" s="1"/>
      <c r="H3421" s="1">
        <v>1</v>
      </c>
      <c r="I3421" s="1">
        <v>1</v>
      </c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  <c r="AA3421" s="1"/>
      <c r="AB3421" s="1"/>
      <c r="AC3421" s="1"/>
      <c r="AD3421" s="1"/>
      <c r="AE3421" s="1"/>
      <c r="AF3421" s="1"/>
      <c r="AG3421" s="1"/>
      <c r="AH3421" s="1"/>
      <c r="AI3421" s="1"/>
      <c r="AJ3421" s="1"/>
      <c r="AK3421" s="1"/>
      <c r="AL3421" s="1"/>
      <c r="AM3421" s="1"/>
      <c r="AN3421" s="1"/>
      <c r="AO3421" s="1"/>
      <c r="AP3421" s="1"/>
      <c r="AQ3421" s="1"/>
      <c r="AR3421" s="1"/>
      <c r="AS3421" s="1"/>
      <c r="AT3421" s="1"/>
      <c r="AU3421" s="1"/>
      <c r="AV3421" s="1"/>
      <c r="AW3421" s="1"/>
      <c r="AX3421" s="1"/>
      <c r="AY3421" s="1"/>
      <c r="AZ3421" s="1"/>
      <c r="BA3421" s="1"/>
      <c r="BB3421" s="1"/>
      <c r="BC3421" s="1"/>
      <c r="BD3421" s="1"/>
      <c r="BE3421" s="1"/>
      <c r="BF3421" s="1"/>
      <c r="BG3421" s="1"/>
      <c r="BH3421" s="1"/>
      <c r="BI3421" s="1"/>
      <c r="BJ3421" s="1"/>
      <c r="BK3421" s="1"/>
      <c r="BL3421" s="1"/>
      <c r="BM3421" s="1"/>
      <c r="BN3421" s="1"/>
      <c r="BO3421" s="1"/>
      <c r="BP3421" s="1"/>
      <c r="BQ3421" s="1"/>
      <c r="BR3421" s="1"/>
      <c r="BS3421" s="1"/>
      <c r="BT3421" s="1"/>
      <c r="BU3421" s="1"/>
      <c r="BV3421" s="1"/>
      <c r="BW3421" s="1"/>
      <c r="BX3421" s="1"/>
      <c r="BY3421" s="1"/>
      <c r="BZ3421" s="1"/>
      <c r="CA3421" s="1"/>
      <c r="CB3421" s="1"/>
      <c r="CC3421" s="1"/>
      <c r="CD3421" s="1"/>
      <c r="CE3421" s="1"/>
      <c r="CF3421" s="1"/>
      <c r="CG3421" s="1"/>
      <c r="CH3421" s="1"/>
      <c r="CI3421" s="1"/>
      <c r="CJ3421" s="1"/>
      <c r="CK3421" s="1"/>
      <c r="CM3421" s="15"/>
    </row>
    <row r="3422" spans="1:91" s="11" customFormat="1" x14ac:dyDescent="0.3">
      <c r="A3422" s="1" t="s">
        <v>60</v>
      </c>
      <c r="B3422" s="7">
        <v>40763</v>
      </c>
      <c r="C3422" s="1">
        <v>8</v>
      </c>
      <c r="D3422" s="1">
        <v>233</v>
      </c>
      <c r="E3422" s="1">
        <v>1</v>
      </c>
      <c r="F3422" s="1">
        <v>3</v>
      </c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>
        <v>1</v>
      </c>
      <c r="S3422" s="1"/>
      <c r="T3422" s="1"/>
      <c r="U3422" s="1"/>
      <c r="V3422" s="1"/>
      <c r="W3422" s="1"/>
      <c r="X3422" s="1"/>
      <c r="Y3422" s="1"/>
      <c r="Z3422" s="1"/>
      <c r="AA3422" s="1"/>
      <c r="AB3422" s="1"/>
      <c r="AC3422" s="1"/>
      <c r="AD3422" s="1"/>
      <c r="AE3422" s="1"/>
      <c r="AF3422" s="1"/>
      <c r="AG3422" s="1"/>
      <c r="AH3422" s="1"/>
      <c r="AI3422" s="1"/>
      <c r="AJ3422" s="1"/>
      <c r="AK3422" s="1"/>
      <c r="AL3422" s="1"/>
      <c r="AM3422" s="1"/>
      <c r="AN3422" s="1"/>
      <c r="AO3422" s="1"/>
      <c r="AP3422" s="1"/>
      <c r="AQ3422" s="1"/>
      <c r="AR3422" s="1"/>
      <c r="AS3422" s="1"/>
      <c r="AT3422" s="1"/>
      <c r="AU3422" s="1"/>
      <c r="AV3422" s="1"/>
      <c r="AW3422" s="1"/>
      <c r="AX3422" s="1"/>
      <c r="AY3422" s="1"/>
      <c r="AZ3422" s="1"/>
      <c r="BA3422" s="1"/>
      <c r="BB3422" s="1"/>
      <c r="BC3422" s="1"/>
      <c r="BD3422" s="1"/>
      <c r="BE3422" s="1"/>
      <c r="BF3422" s="1"/>
      <c r="BG3422" s="1"/>
      <c r="BH3422" s="1"/>
      <c r="BI3422" s="1"/>
      <c r="BJ3422" s="1"/>
      <c r="BK3422" s="1"/>
      <c r="BL3422" s="1"/>
      <c r="BM3422" s="1"/>
      <c r="BN3422" s="1"/>
      <c r="BO3422" s="1"/>
      <c r="BP3422" s="1"/>
      <c r="BQ3422" s="1"/>
      <c r="BR3422" s="1"/>
      <c r="BS3422" s="1"/>
      <c r="BT3422" s="1"/>
      <c r="BU3422" s="1"/>
      <c r="BV3422" s="1"/>
      <c r="BW3422" s="1"/>
      <c r="BX3422" s="1"/>
      <c r="BY3422" s="1"/>
      <c r="BZ3422" s="1"/>
      <c r="CA3422" s="1"/>
      <c r="CB3422" s="1"/>
      <c r="CC3422" s="1"/>
      <c r="CD3422" s="1"/>
      <c r="CE3422" s="1"/>
      <c r="CF3422" s="1"/>
      <c r="CG3422" s="1"/>
      <c r="CH3422" s="1"/>
      <c r="CI3422" s="1"/>
      <c r="CJ3422" s="1"/>
      <c r="CK3422" s="1"/>
      <c r="CM3422" s="15"/>
    </row>
    <row r="3423" spans="1:91" s="11" customFormat="1" x14ac:dyDescent="0.3">
      <c r="A3423" s="1" t="s">
        <v>60</v>
      </c>
      <c r="B3423" s="7">
        <v>40763</v>
      </c>
      <c r="C3423" s="1">
        <v>8</v>
      </c>
      <c r="D3423" s="1">
        <v>233</v>
      </c>
      <c r="E3423" s="1">
        <v>1</v>
      </c>
      <c r="F3423" s="1">
        <v>4</v>
      </c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>
        <v>1</v>
      </c>
      <c r="S3423" s="1"/>
      <c r="T3423" s="1"/>
      <c r="U3423" s="1"/>
      <c r="V3423" s="1"/>
      <c r="W3423" s="1"/>
      <c r="X3423" s="1"/>
      <c r="Y3423" s="1"/>
      <c r="Z3423" s="1"/>
      <c r="AA3423" s="1"/>
      <c r="AB3423" s="1"/>
      <c r="AC3423" s="1"/>
      <c r="AD3423" s="1"/>
      <c r="AE3423" s="1"/>
      <c r="AF3423" s="1"/>
      <c r="AG3423" s="1"/>
      <c r="AH3423" s="1"/>
      <c r="AI3423" s="1"/>
      <c r="AJ3423" s="1"/>
      <c r="AK3423" s="1"/>
      <c r="AL3423" s="1"/>
      <c r="AM3423" s="1"/>
      <c r="AN3423" s="1"/>
      <c r="AO3423" s="1"/>
      <c r="AP3423" s="1"/>
      <c r="AQ3423" s="1"/>
      <c r="AR3423" s="1"/>
      <c r="AS3423" s="1"/>
      <c r="AT3423" s="1"/>
      <c r="AU3423" s="1"/>
      <c r="AV3423" s="1"/>
      <c r="AW3423" s="1"/>
      <c r="AX3423" s="1"/>
      <c r="AY3423" s="1"/>
      <c r="AZ3423" s="1"/>
      <c r="BA3423" s="1"/>
      <c r="BB3423" s="1"/>
      <c r="BC3423" s="1"/>
      <c r="BD3423" s="1"/>
      <c r="BE3423" s="1"/>
      <c r="BF3423" s="1"/>
      <c r="BG3423" s="1"/>
      <c r="BH3423" s="1"/>
      <c r="BI3423" s="1"/>
      <c r="BJ3423" s="1"/>
      <c r="BK3423" s="1"/>
      <c r="BL3423" s="1"/>
      <c r="BM3423" s="1"/>
      <c r="BN3423" s="1"/>
      <c r="BO3423" s="1"/>
      <c r="BP3423" s="1"/>
      <c r="BQ3423" s="1"/>
      <c r="BR3423" s="1"/>
      <c r="BS3423" s="1"/>
      <c r="BT3423" s="1"/>
      <c r="BU3423" s="1"/>
      <c r="BV3423" s="1"/>
      <c r="BW3423" s="1"/>
      <c r="BX3423" s="1"/>
      <c r="BY3423" s="1"/>
      <c r="BZ3423" s="1"/>
      <c r="CA3423" s="1"/>
      <c r="CB3423" s="1"/>
      <c r="CC3423" s="1"/>
      <c r="CD3423" s="1"/>
      <c r="CE3423" s="1"/>
      <c r="CF3423" s="1"/>
      <c r="CG3423" s="1"/>
      <c r="CH3423" s="1"/>
      <c r="CI3423" s="1"/>
      <c r="CJ3423" s="1"/>
      <c r="CK3423" s="1"/>
      <c r="CM3423" s="15"/>
    </row>
    <row r="3424" spans="1:91" s="11" customFormat="1" x14ac:dyDescent="0.3">
      <c r="A3424" s="1" t="s">
        <v>60</v>
      </c>
      <c r="B3424" s="7">
        <v>40763</v>
      </c>
      <c r="C3424" s="1">
        <v>8</v>
      </c>
      <c r="D3424" s="1">
        <v>233</v>
      </c>
      <c r="E3424" s="1">
        <v>1</v>
      </c>
      <c r="F3424" s="1">
        <v>5</v>
      </c>
      <c r="G3424" s="1"/>
      <c r="H3424" s="1"/>
      <c r="I3424" s="1"/>
      <c r="J3424" s="1"/>
      <c r="K3424" s="1"/>
      <c r="L3424" s="1">
        <v>1</v>
      </c>
      <c r="M3424" s="1"/>
      <c r="N3424" s="1"/>
      <c r="O3424" s="1"/>
      <c r="P3424" s="1"/>
      <c r="Q3424" s="1"/>
      <c r="R3424" s="1">
        <v>1</v>
      </c>
      <c r="S3424" s="1"/>
      <c r="T3424" s="1"/>
      <c r="U3424" s="1"/>
      <c r="V3424" s="1"/>
      <c r="W3424" s="1"/>
      <c r="X3424" s="1"/>
      <c r="Y3424" s="1"/>
      <c r="Z3424" s="1"/>
      <c r="AA3424" s="1"/>
      <c r="AB3424" s="1"/>
      <c r="AC3424" s="1"/>
      <c r="AD3424" s="1"/>
      <c r="AE3424" s="1"/>
      <c r="AF3424" s="1"/>
      <c r="AG3424" s="1"/>
      <c r="AH3424" s="1"/>
      <c r="AI3424" s="1"/>
      <c r="AJ3424" s="1"/>
      <c r="AK3424" s="1"/>
      <c r="AL3424" s="1"/>
      <c r="AM3424" s="1"/>
      <c r="AN3424" s="1"/>
      <c r="AO3424" s="1"/>
      <c r="AP3424" s="1"/>
      <c r="AQ3424" s="1"/>
      <c r="AR3424" s="1"/>
      <c r="AS3424" s="1"/>
      <c r="AT3424" s="1"/>
      <c r="AU3424" s="1"/>
      <c r="AV3424" s="1"/>
      <c r="AW3424" s="1"/>
      <c r="AX3424" s="1"/>
      <c r="AY3424" s="1"/>
      <c r="AZ3424" s="1"/>
      <c r="BA3424" s="1"/>
      <c r="BB3424" s="1"/>
      <c r="BC3424" s="1"/>
      <c r="BD3424" s="1"/>
      <c r="BE3424" s="1"/>
      <c r="BF3424" s="1"/>
      <c r="BG3424" s="1"/>
      <c r="BH3424" s="1"/>
      <c r="BI3424" s="1"/>
      <c r="BJ3424" s="1"/>
      <c r="BK3424" s="1"/>
      <c r="BL3424" s="1"/>
      <c r="BM3424" s="1"/>
      <c r="BN3424" s="1"/>
      <c r="BO3424" s="1"/>
      <c r="BP3424" s="1"/>
      <c r="BQ3424" s="1"/>
      <c r="BR3424" s="1"/>
      <c r="BS3424" s="1"/>
      <c r="BT3424" s="1"/>
      <c r="BU3424" s="1"/>
      <c r="BV3424" s="1"/>
      <c r="BW3424" s="1"/>
      <c r="BX3424" s="1"/>
      <c r="BY3424" s="1"/>
      <c r="BZ3424" s="1"/>
      <c r="CA3424" s="1"/>
      <c r="CB3424" s="1"/>
      <c r="CC3424" s="1"/>
      <c r="CD3424" s="1"/>
      <c r="CE3424" s="1"/>
      <c r="CF3424" s="1"/>
      <c r="CG3424" s="1"/>
      <c r="CH3424" s="1"/>
      <c r="CI3424" s="1"/>
      <c r="CJ3424" s="1"/>
      <c r="CK3424" s="1"/>
      <c r="CM3424" s="15"/>
    </row>
    <row r="3425" spans="1:41" x14ac:dyDescent="0.3">
      <c r="A3425" s="1" t="s">
        <v>60</v>
      </c>
      <c r="B3425" s="7">
        <v>40763</v>
      </c>
      <c r="C3425" s="1">
        <v>8</v>
      </c>
      <c r="D3425" s="1">
        <v>233</v>
      </c>
      <c r="E3425" s="1">
        <v>1</v>
      </c>
      <c r="F3425" s="1">
        <v>6</v>
      </c>
      <c r="H3425" s="1">
        <v>1</v>
      </c>
      <c r="L3425" s="1">
        <v>1</v>
      </c>
    </row>
    <row r="3426" spans="1:41" x14ac:dyDescent="0.3">
      <c r="A3426" s="1" t="s">
        <v>60</v>
      </c>
      <c r="B3426" s="7">
        <v>40763</v>
      </c>
      <c r="C3426" s="1">
        <v>8</v>
      </c>
      <c r="D3426" s="1">
        <v>233</v>
      </c>
      <c r="E3426" s="1">
        <v>1</v>
      </c>
      <c r="F3426" s="1">
        <v>7</v>
      </c>
      <c r="L3426" s="8">
        <v>1</v>
      </c>
      <c r="M3426" s="8"/>
    </row>
    <row r="3427" spans="1:41" x14ac:dyDescent="0.3">
      <c r="A3427" s="1" t="s">
        <v>60</v>
      </c>
      <c r="B3427" s="7">
        <v>40763</v>
      </c>
      <c r="C3427" s="1">
        <v>8</v>
      </c>
      <c r="D3427" s="1">
        <v>233</v>
      </c>
      <c r="E3427" s="1">
        <v>1</v>
      </c>
      <c r="F3427" s="1">
        <v>8</v>
      </c>
      <c r="I3427" s="1">
        <v>1</v>
      </c>
      <c r="L3427" s="1">
        <v>1</v>
      </c>
    </row>
    <row r="3428" spans="1:41" x14ac:dyDescent="0.3">
      <c r="A3428" s="1" t="s">
        <v>60</v>
      </c>
      <c r="B3428" s="7">
        <v>40763</v>
      </c>
      <c r="C3428" s="1">
        <v>8</v>
      </c>
      <c r="D3428" s="1">
        <v>233</v>
      </c>
      <c r="E3428" s="1">
        <v>1</v>
      </c>
      <c r="F3428" s="1">
        <v>9</v>
      </c>
      <c r="H3428" s="1">
        <v>1</v>
      </c>
      <c r="J3428" s="1">
        <v>1</v>
      </c>
    </row>
    <row r="3429" spans="1:41" x14ac:dyDescent="0.3">
      <c r="A3429" s="1" t="s">
        <v>60</v>
      </c>
      <c r="B3429" s="7">
        <v>40763</v>
      </c>
      <c r="C3429" s="1">
        <v>8</v>
      </c>
      <c r="D3429" s="1">
        <v>233</v>
      </c>
      <c r="E3429" s="1">
        <v>1</v>
      </c>
      <c r="F3429" s="1">
        <v>10</v>
      </c>
      <c r="J3429" s="1">
        <v>1</v>
      </c>
      <c r="AO3429" s="1">
        <v>1</v>
      </c>
    </row>
    <row r="3430" spans="1:41" x14ac:dyDescent="0.3">
      <c r="A3430" s="1" t="s">
        <v>60</v>
      </c>
      <c r="B3430" s="7">
        <v>40763</v>
      </c>
      <c r="C3430" s="1">
        <v>8</v>
      </c>
      <c r="D3430" s="1">
        <v>233</v>
      </c>
      <c r="E3430" s="1">
        <v>1</v>
      </c>
      <c r="F3430" s="1">
        <v>11</v>
      </c>
      <c r="J3430" s="1">
        <v>1</v>
      </c>
    </row>
    <row r="3431" spans="1:41" x14ac:dyDescent="0.3">
      <c r="A3431" s="1" t="s">
        <v>60</v>
      </c>
      <c r="B3431" s="7">
        <v>40763</v>
      </c>
      <c r="C3431" s="1">
        <v>8</v>
      </c>
      <c r="D3431" s="1">
        <v>233</v>
      </c>
      <c r="E3431" s="1">
        <v>1</v>
      </c>
      <c r="F3431" s="1">
        <v>12</v>
      </c>
      <c r="H3431" s="1">
        <v>1</v>
      </c>
      <c r="L3431" s="8">
        <v>1</v>
      </c>
      <c r="M3431" s="8"/>
    </row>
    <row r="3432" spans="1:41" x14ac:dyDescent="0.3">
      <c r="A3432" s="1" t="s">
        <v>60</v>
      </c>
      <c r="B3432" s="7">
        <v>40763</v>
      </c>
      <c r="C3432" s="1">
        <v>8</v>
      </c>
      <c r="D3432" s="1">
        <v>233</v>
      </c>
      <c r="E3432" s="1">
        <v>1</v>
      </c>
      <c r="F3432" s="1">
        <v>13</v>
      </c>
      <c r="I3432" s="1">
        <v>1</v>
      </c>
      <c r="AO3432" s="1">
        <v>1</v>
      </c>
    </row>
    <row r="3433" spans="1:41" x14ac:dyDescent="0.3">
      <c r="A3433" s="1" t="s">
        <v>60</v>
      </c>
      <c r="B3433" s="7">
        <v>40763</v>
      </c>
      <c r="C3433" s="1">
        <v>8</v>
      </c>
      <c r="D3433" s="1">
        <v>233</v>
      </c>
      <c r="E3433" s="1">
        <v>1</v>
      </c>
      <c r="F3433" s="1">
        <v>14</v>
      </c>
      <c r="H3433" s="1">
        <v>1</v>
      </c>
    </row>
    <row r="3434" spans="1:41" x14ac:dyDescent="0.3">
      <c r="A3434" s="1" t="s">
        <v>60</v>
      </c>
      <c r="B3434" s="7">
        <v>40763</v>
      </c>
      <c r="C3434" s="1">
        <v>8</v>
      </c>
      <c r="D3434" s="1">
        <v>233</v>
      </c>
      <c r="E3434" s="1">
        <v>1</v>
      </c>
      <c r="F3434" s="1">
        <v>15</v>
      </c>
      <c r="J3434" s="1">
        <v>1</v>
      </c>
      <c r="AD3434" s="1">
        <v>1</v>
      </c>
    </row>
    <row r="3435" spans="1:41" x14ac:dyDescent="0.3">
      <c r="A3435" s="1" t="s">
        <v>60</v>
      </c>
      <c r="B3435" s="7">
        <v>40763</v>
      </c>
      <c r="C3435" s="1">
        <v>8</v>
      </c>
      <c r="D3435" s="1">
        <v>233</v>
      </c>
      <c r="E3435" s="1">
        <v>1</v>
      </c>
      <c r="F3435" s="1">
        <v>16</v>
      </c>
      <c r="J3435" s="1">
        <v>1</v>
      </c>
    </row>
    <row r="3436" spans="1:41" x14ac:dyDescent="0.3">
      <c r="A3436" s="1" t="s">
        <v>60</v>
      </c>
      <c r="B3436" s="7">
        <v>40763</v>
      </c>
      <c r="C3436" s="1">
        <v>8</v>
      </c>
      <c r="D3436" s="1">
        <v>233</v>
      </c>
      <c r="E3436" s="1">
        <v>1</v>
      </c>
      <c r="F3436" s="1">
        <v>17</v>
      </c>
      <c r="J3436" s="1">
        <v>1</v>
      </c>
      <c r="L3436" s="1">
        <v>1</v>
      </c>
    </row>
    <row r="3437" spans="1:41" x14ac:dyDescent="0.3">
      <c r="A3437" s="1" t="s">
        <v>60</v>
      </c>
      <c r="B3437" s="7">
        <v>40763</v>
      </c>
      <c r="C3437" s="1">
        <v>8</v>
      </c>
      <c r="D3437" s="1">
        <v>233</v>
      </c>
      <c r="E3437" s="1">
        <v>1</v>
      </c>
      <c r="F3437" s="1">
        <v>18</v>
      </c>
      <c r="J3437" s="1">
        <v>1</v>
      </c>
      <c r="R3437" s="3">
        <v>0</v>
      </c>
      <c r="S3437" s="3">
        <v>1</v>
      </c>
    </row>
    <row r="3438" spans="1:41" x14ac:dyDescent="0.3">
      <c r="A3438" s="1" t="s">
        <v>60</v>
      </c>
      <c r="B3438" s="7">
        <v>40763</v>
      </c>
      <c r="C3438" s="1">
        <v>8</v>
      </c>
      <c r="D3438" s="1">
        <v>233</v>
      </c>
      <c r="E3438" s="1">
        <v>1</v>
      </c>
      <c r="F3438" s="1">
        <v>19</v>
      </c>
      <c r="J3438" s="1">
        <v>1</v>
      </c>
      <c r="L3438" s="1">
        <v>1</v>
      </c>
    </row>
    <row r="3439" spans="1:41" x14ac:dyDescent="0.3">
      <c r="A3439" s="1" t="s">
        <v>60</v>
      </c>
      <c r="B3439" s="7">
        <v>40763</v>
      </c>
      <c r="C3439" s="1">
        <v>8</v>
      </c>
      <c r="D3439" s="1">
        <v>233</v>
      </c>
      <c r="E3439" s="1">
        <v>1</v>
      </c>
      <c r="F3439" s="1">
        <v>20</v>
      </c>
      <c r="J3439" s="1">
        <v>1</v>
      </c>
      <c r="AD3439" s="1">
        <v>1</v>
      </c>
    </row>
    <row r="3440" spans="1:41" x14ac:dyDescent="0.3">
      <c r="A3440" s="1" t="s">
        <v>60</v>
      </c>
      <c r="B3440" s="7">
        <v>40763</v>
      </c>
      <c r="C3440" s="1">
        <v>8</v>
      </c>
      <c r="D3440" s="1">
        <v>233</v>
      </c>
      <c r="E3440" s="1">
        <v>1</v>
      </c>
      <c r="F3440" s="1">
        <v>21</v>
      </c>
      <c r="J3440" s="1">
        <v>1</v>
      </c>
      <c r="R3440" s="1">
        <v>1</v>
      </c>
    </row>
    <row r="3441" spans="1:41" x14ac:dyDescent="0.3">
      <c r="A3441" s="1" t="s">
        <v>60</v>
      </c>
      <c r="B3441" s="7">
        <v>40763</v>
      </c>
      <c r="C3441" s="1">
        <v>8</v>
      </c>
      <c r="D3441" s="1">
        <v>233</v>
      </c>
      <c r="E3441" s="1">
        <v>1</v>
      </c>
      <c r="F3441" s="1">
        <v>22</v>
      </c>
      <c r="J3441" s="1">
        <v>1</v>
      </c>
      <c r="L3441" s="1">
        <v>1</v>
      </c>
    </row>
    <row r="3442" spans="1:41" x14ac:dyDescent="0.3">
      <c r="A3442" s="1" t="s">
        <v>60</v>
      </c>
      <c r="B3442" s="7">
        <v>40763</v>
      </c>
      <c r="C3442" s="1">
        <v>8</v>
      </c>
      <c r="D3442" s="1">
        <v>233</v>
      </c>
      <c r="E3442" s="1">
        <v>1</v>
      </c>
      <c r="F3442" s="1">
        <v>23</v>
      </c>
      <c r="J3442" s="1">
        <v>1</v>
      </c>
    </row>
    <row r="3443" spans="1:41" x14ac:dyDescent="0.3">
      <c r="A3443" s="1" t="s">
        <v>60</v>
      </c>
      <c r="B3443" s="7">
        <v>40763</v>
      </c>
      <c r="C3443" s="1">
        <v>8</v>
      </c>
      <c r="D3443" s="1">
        <v>233</v>
      </c>
      <c r="E3443" s="1">
        <v>1</v>
      </c>
      <c r="F3443" s="1">
        <v>24</v>
      </c>
      <c r="J3443" s="3">
        <v>0</v>
      </c>
      <c r="K3443" s="3">
        <v>1</v>
      </c>
      <c r="AO3443" s="1">
        <v>1</v>
      </c>
    </row>
    <row r="3444" spans="1:41" x14ac:dyDescent="0.3">
      <c r="A3444" s="1" t="s">
        <v>60</v>
      </c>
      <c r="B3444" s="7">
        <v>40763</v>
      </c>
      <c r="C3444" s="1">
        <v>8</v>
      </c>
      <c r="D3444" s="1">
        <v>233</v>
      </c>
      <c r="E3444" s="1">
        <v>1</v>
      </c>
      <c r="F3444" s="1">
        <v>25</v>
      </c>
      <c r="H3444" s="1">
        <v>1</v>
      </c>
      <c r="AO3444" s="1">
        <v>1</v>
      </c>
    </row>
    <row r="3445" spans="1:41" x14ac:dyDescent="0.3">
      <c r="A3445" s="1" t="s">
        <v>60</v>
      </c>
      <c r="B3445" s="7">
        <v>40763</v>
      </c>
      <c r="C3445" s="1">
        <v>8</v>
      </c>
      <c r="D3445" s="1">
        <v>233</v>
      </c>
      <c r="E3445" s="1">
        <v>1</v>
      </c>
      <c r="F3445" s="1">
        <v>26</v>
      </c>
      <c r="L3445" s="1">
        <v>1</v>
      </c>
    </row>
    <row r="3446" spans="1:41" x14ac:dyDescent="0.3">
      <c r="A3446" s="1" t="s">
        <v>60</v>
      </c>
      <c r="B3446" s="7">
        <v>40763</v>
      </c>
      <c r="C3446" s="1">
        <v>8</v>
      </c>
      <c r="D3446" s="1">
        <v>233</v>
      </c>
      <c r="E3446" s="1">
        <v>1</v>
      </c>
      <c r="F3446" s="1">
        <v>27</v>
      </c>
      <c r="H3446" s="1">
        <v>1</v>
      </c>
      <c r="L3446" s="1">
        <v>1</v>
      </c>
    </row>
    <row r="3447" spans="1:41" x14ac:dyDescent="0.3">
      <c r="A3447" s="1" t="s">
        <v>60</v>
      </c>
      <c r="B3447" s="7">
        <v>40763</v>
      </c>
      <c r="C3447" s="1">
        <v>8</v>
      </c>
      <c r="D3447" s="1">
        <v>233</v>
      </c>
      <c r="E3447" s="1">
        <v>1</v>
      </c>
      <c r="F3447" s="1">
        <v>28</v>
      </c>
      <c r="H3447" s="1">
        <v>1</v>
      </c>
      <c r="R3447" s="1">
        <v>1</v>
      </c>
    </row>
    <row r="3448" spans="1:41" x14ac:dyDescent="0.3">
      <c r="A3448" s="1" t="s">
        <v>60</v>
      </c>
      <c r="B3448" s="7">
        <v>40763</v>
      </c>
      <c r="C3448" s="1">
        <v>8</v>
      </c>
      <c r="D3448" s="1">
        <v>233</v>
      </c>
      <c r="E3448" s="1">
        <v>1</v>
      </c>
      <c r="F3448" s="1">
        <v>29</v>
      </c>
      <c r="H3448" s="1">
        <v>1</v>
      </c>
      <c r="J3448" s="1">
        <v>1</v>
      </c>
      <c r="R3448" s="1">
        <v>1</v>
      </c>
    </row>
    <row r="3449" spans="1:41" x14ac:dyDescent="0.3">
      <c r="A3449" s="1" t="s">
        <v>60</v>
      </c>
      <c r="B3449" s="7">
        <v>40763</v>
      </c>
      <c r="C3449" s="1">
        <v>8</v>
      </c>
      <c r="D3449" s="1">
        <v>233</v>
      </c>
      <c r="E3449" s="1">
        <v>1</v>
      </c>
      <c r="F3449" s="1">
        <v>30</v>
      </c>
      <c r="I3449" s="1">
        <v>1</v>
      </c>
      <c r="AD3449" s="3">
        <v>0</v>
      </c>
      <c r="AE3449" s="3">
        <v>1</v>
      </c>
    </row>
    <row r="3450" spans="1:41" x14ac:dyDescent="0.3">
      <c r="A3450" s="1" t="s">
        <v>60</v>
      </c>
      <c r="B3450" s="7">
        <v>40763</v>
      </c>
      <c r="C3450" s="1">
        <v>8</v>
      </c>
      <c r="D3450" s="1">
        <v>233</v>
      </c>
      <c r="E3450" s="1">
        <v>1</v>
      </c>
      <c r="F3450" s="1">
        <v>31</v>
      </c>
      <c r="J3450" s="1">
        <v>1</v>
      </c>
      <c r="L3450" s="1">
        <v>1</v>
      </c>
    </row>
    <row r="3451" spans="1:41" x14ac:dyDescent="0.3">
      <c r="A3451" s="1" t="s">
        <v>60</v>
      </c>
      <c r="B3451" s="7">
        <v>40763</v>
      </c>
      <c r="C3451" s="1">
        <v>8</v>
      </c>
      <c r="D3451" s="1">
        <v>233</v>
      </c>
      <c r="E3451" s="1">
        <v>1</v>
      </c>
      <c r="F3451" s="1">
        <v>32</v>
      </c>
      <c r="H3451" s="1">
        <v>1</v>
      </c>
      <c r="R3451" s="3">
        <v>0</v>
      </c>
      <c r="S3451" s="3">
        <v>1</v>
      </c>
    </row>
    <row r="3452" spans="1:41" x14ac:dyDescent="0.3">
      <c r="A3452" s="1" t="s">
        <v>60</v>
      </c>
      <c r="B3452" s="7">
        <v>40763</v>
      </c>
      <c r="C3452" s="1">
        <v>8</v>
      </c>
      <c r="D3452" s="1">
        <v>233</v>
      </c>
      <c r="E3452" s="1">
        <v>1</v>
      </c>
      <c r="F3452" s="1">
        <v>33</v>
      </c>
      <c r="J3452" s="1">
        <v>1</v>
      </c>
    </row>
    <row r="3453" spans="1:41" x14ac:dyDescent="0.3">
      <c r="A3453" s="1" t="s">
        <v>60</v>
      </c>
      <c r="B3453" s="7">
        <v>40763</v>
      </c>
      <c r="C3453" s="1">
        <v>8</v>
      </c>
      <c r="D3453" s="1">
        <v>233</v>
      </c>
      <c r="E3453" s="1">
        <v>1</v>
      </c>
      <c r="F3453" s="1">
        <v>34</v>
      </c>
      <c r="H3453" s="1">
        <v>1</v>
      </c>
    </row>
    <row r="3454" spans="1:41" x14ac:dyDescent="0.3">
      <c r="A3454" s="1" t="s">
        <v>60</v>
      </c>
      <c r="B3454" s="7">
        <v>40763</v>
      </c>
      <c r="C3454" s="1">
        <v>8</v>
      </c>
      <c r="D3454" s="1">
        <v>233</v>
      </c>
      <c r="E3454" s="1">
        <v>1</v>
      </c>
      <c r="F3454" s="1">
        <v>35</v>
      </c>
      <c r="H3454" s="1">
        <v>1</v>
      </c>
      <c r="J3454" s="1">
        <v>1</v>
      </c>
    </row>
    <row r="3455" spans="1:41" x14ac:dyDescent="0.3">
      <c r="A3455" s="1" t="s">
        <v>60</v>
      </c>
      <c r="B3455" s="7">
        <v>40763</v>
      </c>
      <c r="C3455" s="1">
        <v>8</v>
      </c>
      <c r="D3455" s="1">
        <v>233</v>
      </c>
      <c r="E3455" s="1">
        <v>1</v>
      </c>
      <c r="F3455" s="1">
        <v>36</v>
      </c>
      <c r="H3455" s="1">
        <v>1</v>
      </c>
      <c r="AO3455" s="1">
        <v>1</v>
      </c>
    </row>
    <row r="3456" spans="1:41" x14ac:dyDescent="0.3">
      <c r="A3456" s="1" t="s">
        <v>60</v>
      </c>
      <c r="B3456" s="7">
        <v>40763</v>
      </c>
      <c r="C3456" s="1">
        <v>8</v>
      </c>
      <c r="D3456" s="1">
        <v>233</v>
      </c>
      <c r="E3456" s="1">
        <v>1</v>
      </c>
      <c r="F3456" s="1">
        <v>37</v>
      </c>
      <c r="H3456" s="1">
        <v>1</v>
      </c>
    </row>
    <row r="3457" spans="1:59" x14ac:dyDescent="0.3">
      <c r="A3457" s="1" t="s">
        <v>60</v>
      </c>
      <c r="B3457" s="7">
        <v>40763</v>
      </c>
      <c r="C3457" s="1">
        <v>8</v>
      </c>
      <c r="D3457" s="1">
        <v>233</v>
      </c>
      <c r="E3457" s="1">
        <v>1</v>
      </c>
      <c r="F3457" s="1">
        <v>38</v>
      </c>
      <c r="H3457" s="1">
        <v>1</v>
      </c>
      <c r="R3457" s="1">
        <v>1</v>
      </c>
    </row>
    <row r="3458" spans="1:59" x14ac:dyDescent="0.3">
      <c r="A3458" s="1" t="s">
        <v>60</v>
      </c>
      <c r="B3458" s="7">
        <v>40763</v>
      </c>
      <c r="C3458" s="1">
        <v>8</v>
      </c>
      <c r="D3458" s="1">
        <v>233</v>
      </c>
      <c r="E3458" s="1">
        <v>1</v>
      </c>
      <c r="F3458" s="1">
        <v>39</v>
      </c>
      <c r="J3458" s="1">
        <v>1</v>
      </c>
      <c r="R3458" s="3">
        <v>0</v>
      </c>
      <c r="S3458" s="3">
        <v>1</v>
      </c>
    </row>
    <row r="3459" spans="1:59" x14ac:dyDescent="0.3">
      <c r="A3459" s="1" t="s">
        <v>60</v>
      </c>
      <c r="B3459" s="7">
        <v>40763</v>
      </c>
      <c r="C3459" s="1">
        <v>8</v>
      </c>
      <c r="D3459" s="1">
        <v>233</v>
      </c>
      <c r="E3459" s="1">
        <v>1</v>
      </c>
      <c r="F3459" s="1">
        <v>40</v>
      </c>
      <c r="R3459" s="3">
        <v>0</v>
      </c>
      <c r="S3459" s="3">
        <v>1</v>
      </c>
    </row>
    <row r="3460" spans="1:59" x14ac:dyDescent="0.3">
      <c r="A3460" s="1" t="s">
        <v>60</v>
      </c>
      <c r="B3460" s="7">
        <v>40763</v>
      </c>
      <c r="C3460" s="1">
        <v>8</v>
      </c>
      <c r="D3460" s="1">
        <v>233</v>
      </c>
      <c r="E3460" s="1">
        <v>1</v>
      </c>
      <c r="F3460" s="1">
        <v>41</v>
      </c>
      <c r="J3460" s="1">
        <v>1</v>
      </c>
      <c r="AD3460" s="3">
        <v>0</v>
      </c>
      <c r="AE3460" s="3">
        <v>1</v>
      </c>
    </row>
    <row r="3461" spans="1:59" x14ac:dyDescent="0.3">
      <c r="A3461" s="1" t="s">
        <v>60</v>
      </c>
      <c r="B3461" s="7">
        <v>40763</v>
      </c>
      <c r="C3461" s="1">
        <v>8</v>
      </c>
      <c r="D3461" s="1">
        <v>233</v>
      </c>
      <c r="E3461" s="1">
        <v>1</v>
      </c>
      <c r="F3461" s="1">
        <v>42</v>
      </c>
      <c r="J3461" s="3">
        <v>0</v>
      </c>
      <c r="K3461" s="3">
        <v>1</v>
      </c>
    </row>
    <row r="3462" spans="1:59" x14ac:dyDescent="0.3">
      <c r="A3462" s="1" t="s">
        <v>60</v>
      </c>
      <c r="B3462" s="7">
        <v>40763</v>
      </c>
      <c r="C3462" s="1">
        <v>8</v>
      </c>
      <c r="D3462" s="1">
        <v>233</v>
      </c>
      <c r="E3462" s="1">
        <v>1</v>
      </c>
      <c r="F3462" s="1">
        <v>43</v>
      </c>
      <c r="R3462" s="3">
        <v>0</v>
      </c>
      <c r="S3462" s="3">
        <v>1</v>
      </c>
    </row>
    <row r="3463" spans="1:59" x14ac:dyDescent="0.3">
      <c r="A3463" s="1" t="s">
        <v>60</v>
      </c>
      <c r="B3463" s="7">
        <v>40763</v>
      </c>
      <c r="C3463" s="1">
        <v>8</v>
      </c>
      <c r="D3463" s="1">
        <v>233</v>
      </c>
      <c r="E3463" s="1">
        <v>1</v>
      </c>
      <c r="F3463" s="1">
        <v>44</v>
      </c>
      <c r="J3463" s="1">
        <v>1</v>
      </c>
      <c r="L3463" s="1">
        <v>1</v>
      </c>
    </row>
    <row r="3464" spans="1:59" x14ac:dyDescent="0.3">
      <c r="A3464" s="1" t="s">
        <v>60</v>
      </c>
      <c r="B3464" s="7">
        <v>40763</v>
      </c>
      <c r="C3464" s="1">
        <v>8</v>
      </c>
      <c r="D3464" s="1">
        <v>233</v>
      </c>
      <c r="E3464" s="1">
        <v>1</v>
      </c>
      <c r="F3464" s="1">
        <v>45</v>
      </c>
      <c r="L3464" s="1">
        <v>1</v>
      </c>
      <c r="BG3464" s="1">
        <v>1</v>
      </c>
    </row>
    <row r="3465" spans="1:59" x14ac:dyDescent="0.3">
      <c r="A3465" s="1" t="s">
        <v>60</v>
      </c>
      <c r="B3465" s="7">
        <v>40763</v>
      </c>
      <c r="C3465" s="1">
        <v>8</v>
      </c>
      <c r="D3465" s="1">
        <v>233</v>
      </c>
      <c r="E3465" s="1">
        <v>1</v>
      </c>
      <c r="F3465" s="1">
        <v>46</v>
      </c>
      <c r="L3465" s="1">
        <v>1</v>
      </c>
    </row>
    <row r="3466" spans="1:59" x14ac:dyDescent="0.3">
      <c r="A3466" s="1" t="s">
        <v>60</v>
      </c>
      <c r="B3466" s="7">
        <v>40763</v>
      </c>
      <c r="C3466" s="1">
        <v>8</v>
      </c>
      <c r="D3466" s="1">
        <v>233</v>
      </c>
      <c r="E3466" s="1">
        <v>1</v>
      </c>
      <c r="F3466" s="1">
        <v>47</v>
      </c>
      <c r="L3466" s="1">
        <v>1</v>
      </c>
    </row>
    <row r="3467" spans="1:59" x14ac:dyDescent="0.3">
      <c r="A3467" s="1" t="s">
        <v>60</v>
      </c>
      <c r="B3467" s="7">
        <v>40763</v>
      </c>
      <c r="C3467" s="1">
        <v>8</v>
      </c>
      <c r="D3467" s="1">
        <v>233</v>
      </c>
      <c r="E3467" s="1">
        <v>1</v>
      </c>
      <c r="F3467" s="1">
        <v>48</v>
      </c>
      <c r="J3467" s="1">
        <v>1</v>
      </c>
      <c r="R3467" s="1">
        <v>1</v>
      </c>
    </row>
    <row r="3468" spans="1:59" x14ac:dyDescent="0.3">
      <c r="A3468" s="1" t="s">
        <v>60</v>
      </c>
      <c r="B3468" s="7">
        <v>40763</v>
      </c>
      <c r="C3468" s="1">
        <v>8</v>
      </c>
      <c r="D3468" s="1">
        <v>233</v>
      </c>
      <c r="E3468" s="1">
        <v>1</v>
      </c>
      <c r="F3468" s="1">
        <v>49</v>
      </c>
      <c r="J3468" s="1">
        <v>1</v>
      </c>
    </row>
    <row r="3469" spans="1:59" x14ac:dyDescent="0.3">
      <c r="A3469" s="1" t="s">
        <v>60</v>
      </c>
      <c r="B3469" s="7">
        <v>40763</v>
      </c>
      <c r="C3469" s="1">
        <v>8</v>
      </c>
      <c r="D3469" s="1">
        <v>233</v>
      </c>
      <c r="E3469" s="1">
        <v>1</v>
      </c>
      <c r="F3469" s="1">
        <v>50</v>
      </c>
      <c r="J3469" s="1">
        <v>1</v>
      </c>
    </row>
    <row r="3470" spans="1:59" x14ac:dyDescent="0.3">
      <c r="A3470" s="1" t="s">
        <v>60</v>
      </c>
      <c r="B3470" s="7">
        <v>40763</v>
      </c>
      <c r="C3470" s="1">
        <v>8</v>
      </c>
      <c r="D3470" s="1">
        <v>233</v>
      </c>
      <c r="E3470" s="1">
        <v>1</v>
      </c>
      <c r="F3470" s="1">
        <v>51</v>
      </c>
      <c r="J3470" s="1">
        <v>1</v>
      </c>
    </row>
    <row r="3471" spans="1:59" x14ac:dyDescent="0.3">
      <c r="A3471" s="1" t="s">
        <v>60</v>
      </c>
      <c r="B3471" s="7">
        <v>40763</v>
      </c>
      <c r="C3471" s="1">
        <v>8</v>
      </c>
      <c r="D3471" s="1">
        <v>233</v>
      </c>
      <c r="E3471" s="1">
        <v>1</v>
      </c>
      <c r="F3471" s="1">
        <v>52</v>
      </c>
      <c r="J3471" s="1">
        <v>1</v>
      </c>
    </row>
    <row r="3472" spans="1:59" x14ac:dyDescent="0.3">
      <c r="A3472" s="1" t="s">
        <v>60</v>
      </c>
      <c r="B3472" s="7">
        <v>40763</v>
      </c>
      <c r="C3472" s="1">
        <v>8</v>
      </c>
      <c r="D3472" s="1">
        <v>233</v>
      </c>
      <c r="E3472" s="1">
        <v>1</v>
      </c>
      <c r="F3472" s="1">
        <v>53</v>
      </c>
      <c r="L3472" s="1">
        <v>1</v>
      </c>
      <c r="R3472" s="1">
        <v>1</v>
      </c>
    </row>
    <row r="3473" spans="1:60" x14ac:dyDescent="0.3">
      <c r="A3473" s="1" t="s">
        <v>60</v>
      </c>
      <c r="B3473" s="7">
        <v>40763</v>
      </c>
      <c r="C3473" s="1">
        <v>8</v>
      </c>
      <c r="D3473" s="1">
        <v>233</v>
      </c>
      <c r="E3473" s="1">
        <v>1</v>
      </c>
      <c r="F3473" s="1">
        <v>54</v>
      </c>
      <c r="J3473" s="1">
        <v>1</v>
      </c>
      <c r="R3473" s="3">
        <v>0</v>
      </c>
      <c r="S3473" s="3">
        <v>1</v>
      </c>
    </row>
    <row r="3474" spans="1:60" x14ac:dyDescent="0.3">
      <c r="A3474" s="1" t="s">
        <v>60</v>
      </c>
      <c r="B3474" s="7">
        <v>40763</v>
      </c>
      <c r="C3474" s="1">
        <v>8</v>
      </c>
      <c r="D3474" s="1">
        <v>233</v>
      </c>
      <c r="E3474" s="1">
        <v>1</v>
      </c>
      <c r="F3474" s="1">
        <v>55</v>
      </c>
      <c r="L3474" s="1">
        <v>1</v>
      </c>
      <c r="R3474" s="1">
        <v>1</v>
      </c>
    </row>
    <row r="3475" spans="1:60" x14ac:dyDescent="0.3">
      <c r="A3475" s="1" t="s">
        <v>60</v>
      </c>
      <c r="B3475" s="7">
        <v>40763</v>
      </c>
      <c r="C3475" s="1">
        <v>8</v>
      </c>
      <c r="D3475" s="1">
        <v>233</v>
      </c>
      <c r="E3475" s="1">
        <v>1</v>
      </c>
      <c r="F3475" s="1">
        <v>56</v>
      </c>
      <c r="J3475" s="1">
        <v>1</v>
      </c>
    </row>
    <row r="3476" spans="1:60" x14ac:dyDescent="0.3">
      <c r="A3476" s="1" t="s">
        <v>60</v>
      </c>
      <c r="B3476" s="7">
        <v>40763</v>
      </c>
      <c r="C3476" s="1">
        <v>8</v>
      </c>
      <c r="D3476" s="1">
        <v>233</v>
      </c>
      <c r="E3476" s="1">
        <v>1</v>
      </c>
      <c r="F3476" s="1">
        <v>57</v>
      </c>
      <c r="J3476" s="1">
        <v>1</v>
      </c>
      <c r="L3476" s="8">
        <v>1</v>
      </c>
      <c r="M3476" s="8"/>
    </row>
    <row r="3477" spans="1:60" x14ac:dyDescent="0.3">
      <c r="A3477" s="1" t="s">
        <v>60</v>
      </c>
      <c r="B3477" s="7">
        <v>40763</v>
      </c>
      <c r="C3477" s="1">
        <v>8</v>
      </c>
      <c r="D3477" s="1">
        <v>233</v>
      </c>
      <c r="E3477" s="1">
        <v>1</v>
      </c>
      <c r="F3477" s="1">
        <v>58</v>
      </c>
      <c r="J3477" s="1">
        <v>1</v>
      </c>
    </row>
    <row r="3478" spans="1:60" x14ac:dyDescent="0.3">
      <c r="A3478" s="1" t="s">
        <v>60</v>
      </c>
      <c r="B3478" s="7">
        <v>40763</v>
      </c>
      <c r="C3478" s="1">
        <v>8</v>
      </c>
      <c r="D3478" s="1">
        <v>233</v>
      </c>
      <c r="E3478" s="1">
        <v>1</v>
      </c>
      <c r="F3478" s="1">
        <v>59</v>
      </c>
      <c r="J3478" s="1">
        <v>1</v>
      </c>
    </row>
    <row r="3479" spans="1:60" x14ac:dyDescent="0.3">
      <c r="A3479" s="1" t="s">
        <v>60</v>
      </c>
      <c r="B3479" s="7">
        <v>40763</v>
      </c>
      <c r="C3479" s="1">
        <v>8</v>
      </c>
      <c r="D3479" s="1">
        <v>233</v>
      </c>
      <c r="E3479" s="1">
        <v>1</v>
      </c>
      <c r="F3479" s="1">
        <v>60</v>
      </c>
      <c r="R3479" s="1">
        <v>1</v>
      </c>
    </row>
    <row r="3480" spans="1:60" x14ac:dyDescent="0.3">
      <c r="A3480" s="1" t="s">
        <v>60</v>
      </c>
      <c r="B3480" s="7">
        <v>40763</v>
      </c>
      <c r="C3480" s="1">
        <v>8</v>
      </c>
      <c r="D3480" s="1">
        <v>233</v>
      </c>
      <c r="E3480" s="1">
        <v>1</v>
      </c>
      <c r="F3480" s="1">
        <v>61</v>
      </c>
      <c r="J3480" s="1">
        <v>1</v>
      </c>
    </row>
    <row r="3481" spans="1:60" x14ac:dyDescent="0.3">
      <c r="A3481" s="1" t="s">
        <v>60</v>
      </c>
      <c r="B3481" s="7">
        <v>40763</v>
      </c>
      <c r="C3481" s="1">
        <v>8</v>
      </c>
      <c r="D3481" s="1">
        <v>233</v>
      </c>
      <c r="E3481" s="1">
        <v>1</v>
      </c>
      <c r="F3481" s="1">
        <v>62</v>
      </c>
      <c r="J3481" s="3">
        <v>0</v>
      </c>
      <c r="K3481" s="3">
        <v>1</v>
      </c>
      <c r="BG3481" s="3">
        <v>0</v>
      </c>
      <c r="BH3481" s="3">
        <v>1</v>
      </c>
    </row>
    <row r="3482" spans="1:60" x14ac:dyDescent="0.3">
      <c r="A3482" s="1" t="s">
        <v>60</v>
      </c>
      <c r="B3482" s="7">
        <v>40763</v>
      </c>
      <c r="C3482" s="1">
        <v>8</v>
      </c>
      <c r="D3482" s="1">
        <v>233</v>
      </c>
      <c r="E3482" s="1">
        <v>1</v>
      </c>
      <c r="F3482" s="1">
        <v>63</v>
      </c>
      <c r="H3482" s="1">
        <v>1</v>
      </c>
      <c r="L3482" s="1">
        <v>1</v>
      </c>
    </row>
    <row r="3483" spans="1:60" x14ac:dyDescent="0.3">
      <c r="A3483" s="1" t="s">
        <v>60</v>
      </c>
      <c r="B3483" s="7">
        <v>40763</v>
      </c>
      <c r="C3483" s="1">
        <v>8</v>
      </c>
      <c r="D3483" s="1">
        <v>233</v>
      </c>
      <c r="E3483" s="1">
        <v>1</v>
      </c>
      <c r="F3483" s="1">
        <v>64</v>
      </c>
      <c r="L3483" s="1">
        <v>1</v>
      </c>
    </row>
    <row r="3484" spans="1:60" x14ac:dyDescent="0.3">
      <c r="A3484" s="1" t="s">
        <v>60</v>
      </c>
      <c r="B3484" s="7">
        <v>40763</v>
      </c>
      <c r="C3484" s="1">
        <v>8</v>
      </c>
      <c r="D3484" s="1">
        <v>233</v>
      </c>
      <c r="E3484" s="1">
        <v>1</v>
      </c>
      <c r="F3484" s="1">
        <v>65</v>
      </c>
      <c r="J3484" s="1">
        <v>1</v>
      </c>
    </row>
    <row r="3485" spans="1:60" x14ac:dyDescent="0.3">
      <c r="A3485" s="1" t="s">
        <v>60</v>
      </c>
      <c r="B3485" s="7">
        <v>40763</v>
      </c>
      <c r="C3485" s="1">
        <v>8</v>
      </c>
      <c r="D3485" s="1">
        <v>233</v>
      </c>
      <c r="E3485" s="1">
        <v>1</v>
      </c>
      <c r="F3485" s="1">
        <v>66</v>
      </c>
      <c r="L3485" s="8">
        <v>1</v>
      </c>
      <c r="M3485" s="8"/>
    </row>
    <row r="3486" spans="1:60" x14ac:dyDescent="0.3">
      <c r="A3486" s="1" t="s">
        <v>60</v>
      </c>
      <c r="B3486" s="7">
        <v>40763</v>
      </c>
      <c r="C3486" s="1">
        <v>8</v>
      </c>
      <c r="D3486" s="1">
        <v>233</v>
      </c>
      <c r="E3486" s="1">
        <v>1</v>
      </c>
      <c r="F3486" s="1">
        <v>67</v>
      </c>
      <c r="L3486" s="1">
        <v>1</v>
      </c>
    </row>
    <row r="3487" spans="1:60" x14ac:dyDescent="0.3">
      <c r="A3487" s="1" t="s">
        <v>60</v>
      </c>
      <c r="B3487" s="7">
        <v>40763</v>
      </c>
      <c r="C3487" s="1">
        <v>8</v>
      </c>
      <c r="D3487" s="1">
        <v>233</v>
      </c>
      <c r="E3487" s="1">
        <v>1</v>
      </c>
      <c r="F3487" s="1">
        <v>68</v>
      </c>
      <c r="J3487" s="1">
        <v>1</v>
      </c>
    </row>
    <row r="3488" spans="1:60" x14ac:dyDescent="0.3">
      <c r="A3488" s="1" t="s">
        <v>60</v>
      </c>
      <c r="B3488" s="7">
        <v>40763</v>
      </c>
      <c r="C3488" s="1">
        <v>8</v>
      </c>
      <c r="D3488" s="1">
        <v>233</v>
      </c>
      <c r="E3488" s="1">
        <v>1</v>
      </c>
      <c r="F3488" s="1">
        <v>69</v>
      </c>
      <c r="J3488" s="1">
        <v>1</v>
      </c>
    </row>
    <row r="3489" spans="1:57" x14ac:dyDescent="0.3">
      <c r="A3489" s="1" t="s">
        <v>60</v>
      </c>
      <c r="B3489" s="7">
        <v>40763</v>
      </c>
      <c r="C3489" s="1">
        <v>8</v>
      </c>
      <c r="D3489" s="1">
        <v>233</v>
      </c>
      <c r="E3489" s="1">
        <v>1</v>
      </c>
      <c r="F3489" s="1">
        <v>70</v>
      </c>
      <c r="L3489" s="1">
        <v>1</v>
      </c>
    </row>
    <row r="3490" spans="1:57" x14ac:dyDescent="0.3">
      <c r="A3490" s="1" t="s">
        <v>60</v>
      </c>
      <c r="B3490" s="7">
        <v>40763</v>
      </c>
      <c r="C3490" s="1">
        <v>8</v>
      </c>
      <c r="D3490" s="1">
        <v>233</v>
      </c>
      <c r="E3490" s="1">
        <v>1</v>
      </c>
      <c r="F3490" s="1">
        <v>71</v>
      </c>
      <c r="J3490" s="1">
        <v>1</v>
      </c>
    </row>
    <row r="3491" spans="1:57" x14ac:dyDescent="0.3">
      <c r="A3491" s="1" t="s">
        <v>60</v>
      </c>
      <c r="B3491" s="7">
        <v>40763</v>
      </c>
      <c r="C3491" s="1">
        <v>8</v>
      </c>
      <c r="D3491" s="1">
        <v>233</v>
      </c>
      <c r="E3491" s="1">
        <v>1</v>
      </c>
      <c r="F3491" s="1">
        <v>72</v>
      </c>
      <c r="R3491" s="3">
        <v>0</v>
      </c>
      <c r="S3491" s="3">
        <v>1</v>
      </c>
    </row>
    <row r="3492" spans="1:57" x14ac:dyDescent="0.3">
      <c r="A3492" s="1" t="s">
        <v>60</v>
      </c>
      <c r="B3492" s="7">
        <v>40763</v>
      </c>
      <c r="C3492" s="1">
        <v>8</v>
      </c>
      <c r="D3492" s="1">
        <v>233</v>
      </c>
      <c r="E3492" s="1">
        <v>1</v>
      </c>
      <c r="F3492" s="1">
        <v>73</v>
      </c>
      <c r="H3492" s="1">
        <v>1</v>
      </c>
      <c r="J3492" s="1">
        <v>1</v>
      </c>
    </row>
    <row r="3493" spans="1:57" x14ac:dyDescent="0.3">
      <c r="A3493" s="1" t="s">
        <v>60</v>
      </c>
      <c r="B3493" s="7">
        <v>40763</v>
      </c>
      <c r="C3493" s="1">
        <v>8</v>
      </c>
      <c r="D3493" s="1">
        <v>233</v>
      </c>
      <c r="E3493" s="1">
        <v>1</v>
      </c>
      <c r="F3493" s="1">
        <v>74</v>
      </c>
    </row>
    <row r="3494" spans="1:57" x14ac:dyDescent="0.3">
      <c r="A3494" s="1" t="s">
        <v>60</v>
      </c>
      <c r="B3494" s="7">
        <v>40763</v>
      </c>
      <c r="C3494" s="1">
        <v>8</v>
      </c>
      <c r="D3494" s="1">
        <v>233</v>
      </c>
      <c r="E3494" s="1">
        <v>1</v>
      </c>
      <c r="F3494" s="1">
        <v>75</v>
      </c>
      <c r="I3494" s="1">
        <v>1</v>
      </c>
      <c r="BE3494" s="1">
        <v>1</v>
      </c>
    </row>
    <row r="3495" spans="1:57" x14ac:dyDescent="0.3">
      <c r="A3495" s="1" t="s">
        <v>60</v>
      </c>
      <c r="B3495" s="7">
        <v>40763</v>
      </c>
      <c r="C3495" s="1">
        <v>8</v>
      </c>
      <c r="D3495" s="1">
        <v>233</v>
      </c>
      <c r="E3495" s="1">
        <v>1</v>
      </c>
      <c r="F3495" s="1">
        <v>76</v>
      </c>
      <c r="H3495" s="1">
        <v>1</v>
      </c>
    </row>
    <row r="3496" spans="1:57" x14ac:dyDescent="0.3">
      <c r="A3496" s="1" t="s">
        <v>60</v>
      </c>
      <c r="B3496" s="7">
        <v>40763</v>
      </c>
      <c r="C3496" s="1">
        <v>8</v>
      </c>
      <c r="D3496" s="1">
        <v>233</v>
      </c>
      <c r="E3496" s="1">
        <v>1</v>
      </c>
      <c r="F3496" s="1">
        <v>77</v>
      </c>
      <c r="J3496" s="1">
        <v>1</v>
      </c>
    </row>
    <row r="3497" spans="1:57" x14ac:dyDescent="0.3">
      <c r="A3497" s="1" t="s">
        <v>60</v>
      </c>
      <c r="B3497" s="7">
        <v>40763</v>
      </c>
      <c r="C3497" s="1">
        <v>8</v>
      </c>
      <c r="D3497" s="1">
        <v>233</v>
      </c>
      <c r="E3497" s="1">
        <v>1</v>
      </c>
      <c r="F3497" s="1">
        <v>78</v>
      </c>
      <c r="J3497" s="1">
        <v>1</v>
      </c>
      <c r="R3497" s="1">
        <v>1</v>
      </c>
    </row>
    <row r="3498" spans="1:57" x14ac:dyDescent="0.3">
      <c r="A3498" s="1" t="s">
        <v>60</v>
      </c>
      <c r="B3498" s="7">
        <v>40763</v>
      </c>
      <c r="C3498" s="1">
        <v>8</v>
      </c>
      <c r="D3498" s="1">
        <v>233</v>
      </c>
      <c r="E3498" s="1">
        <v>1</v>
      </c>
      <c r="F3498" s="1">
        <v>79</v>
      </c>
      <c r="J3498" s="1">
        <v>1</v>
      </c>
    </row>
    <row r="3499" spans="1:57" x14ac:dyDescent="0.3">
      <c r="A3499" s="1" t="s">
        <v>60</v>
      </c>
      <c r="B3499" s="7">
        <v>40763</v>
      </c>
      <c r="C3499" s="1">
        <v>8</v>
      </c>
      <c r="D3499" s="1">
        <v>233</v>
      </c>
      <c r="E3499" s="1">
        <v>1</v>
      </c>
      <c r="F3499" s="1">
        <v>80</v>
      </c>
      <c r="R3499" s="3">
        <v>0</v>
      </c>
      <c r="S3499" s="3">
        <v>1</v>
      </c>
    </row>
    <row r="3500" spans="1:57" x14ac:dyDescent="0.3">
      <c r="A3500" s="1" t="s">
        <v>60</v>
      </c>
      <c r="B3500" s="7">
        <v>40763</v>
      </c>
      <c r="C3500" s="1">
        <v>8</v>
      </c>
      <c r="D3500" s="1">
        <v>233</v>
      </c>
      <c r="E3500" s="1">
        <v>1</v>
      </c>
      <c r="F3500" s="1">
        <v>81</v>
      </c>
      <c r="J3500" s="3">
        <v>0</v>
      </c>
      <c r="K3500" s="3">
        <v>1</v>
      </c>
      <c r="L3500" s="1">
        <v>1</v>
      </c>
    </row>
    <row r="3501" spans="1:57" x14ac:dyDescent="0.3">
      <c r="A3501" s="1" t="s">
        <v>60</v>
      </c>
      <c r="B3501" s="7">
        <v>40763</v>
      </c>
      <c r="C3501" s="1">
        <v>8</v>
      </c>
      <c r="D3501" s="1">
        <v>233</v>
      </c>
      <c r="E3501" s="1">
        <v>1</v>
      </c>
      <c r="F3501" s="1">
        <v>82</v>
      </c>
      <c r="J3501" s="1">
        <v>1</v>
      </c>
      <c r="AO3501" s="1">
        <v>1</v>
      </c>
    </row>
    <row r="3502" spans="1:57" x14ac:dyDescent="0.3">
      <c r="A3502" s="1" t="s">
        <v>60</v>
      </c>
      <c r="B3502" s="7">
        <v>40763</v>
      </c>
      <c r="C3502" s="1">
        <v>8</v>
      </c>
      <c r="D3502" s="1">
        <v>233</v>
      </c>
      <c r="E3502" s="1">
        <v>1</v>
      </c>
      <c r="F3502" s="1">
        <v>83</v>
      </c>
      <c r="J3502" s="1">
        <v>1</v>
      </c>
    </row>
    <row r="3503" spans="1:57" x14ac:dyDescent="0.3">
      <c r="A3503" s="1" t="s">
        <v>60</v>
      </c>
      <c r="B3503" s="7">
        <v>40763</v>
      </c>
      <c r="C3503" s="1">
        <v>8</v>
      </c>
      <c r="D3503" s="1">
        <v>233</v>
      </c>
      <c r="E3503" s="1">
        <v>1</v>
      </c>
      <c r="F3503" s="1">
        <v>84</v>
      </c>
      <c r="I3503" s="1">
        <v>1</v>
      </c>
    </row>
    <row r="3504" spans="1:57" x14ac:dyDescent="0.3">
      <c r="A3504" s="1" t="s">
        <v>60</v>
      </c>
      <c r="B3504" s="7">
        <v>40763</v>
      </c>
      <c r="C3504" s="1">
        <v>8</v>
      </c>
      <c r="D3504" s="1">
        <v>233</v>
      </c>
      <c r="E3504" s="1">
        <v>1</v>
      </c>
      <c r="F3504" s="1">
        <v>85</v>
      </c>
      <c r="J3504" s="1">
        <v>1</v>
      </c>
      <c r="L3504" s="1">
        <v>1</v>
      </c>
      <c r="R3504" s="1">
        <v>1</v>
      </c>
    </row>
    <row r="3505" spans="1:90" x14ac:dyDescent="0.3">
      <c r="A3505" s="1" t="s">
        <v>60</v>
      </c>
      <c r="B3505" s="7">
        <v>40763</v>
      </c>
      <c r="C3505" s="1">
        <v>8</v>
      </c>
      <c r="D3505" s="1">
        <v>233</v>
      </c>
      <c r="E3505" s="1">
        <v>1</v>
      </c>
      <c r="F3505" s="1">
        <v>86</v>
      </c>
      <c r="J3505" s="1">
        <v>1</v>
      </c>
    </row>
    <row r="3506" spans="1:90" x14ac:dyDescent="0.3">
      <c r="A3506" s="1" t="s">
        <v>60</v>
      </c>
      <c r="B3506" s="7">
        <v>40763</v>
      </c>
      <c r="C3506" s="1">
        <v>8</v>
      </c>
      <c r="D3506" s="1">
        <v>233</v>
      </c>
      <c r="E3506" s="1">
        <v>1</v>
      </c>
      <c r="F3506" s="1">
        <v>87</v>
      </c>
      <c r="J3506" s="8">
        <v>1</v>
      </c>
      <c r="K3506" s="8"/>
      <c r="R3506" s="1">
        <v>1</v>
      </c>
    </row>
    <row r="3507" spans="1:90" x14ac:dyDescent="0.3">
      <c r="A3507" s="1" t="s">
        <v>60</v>
      </c>
      <c r="B3507" s="7">
        <v>40763</v>
      </c>
      <c r="C3507" s="1">
        <v>8</v>
      </c>
      <c r="D3507" s="1">
        <v>233</v>
      </c>
      <c r="E3507" s="1">
        <v>1</v>
      </c>
      <c r="F3507" s="1">
        <v>88</v>
      </c>
      <c r="H3507" s="1">
        <v>1</v>
      </c>
      <c r="L3507" s="1">
        <v>1</v>
      </c>
    </row>
    <row r="3508" spans="1:90" x14ac:dyDescent="0.3">
      <c r="A3508" s="1" t="s">
        <v>60</v>
      </c>
      <c r="B3508" s="7">
        <v>40763</v>
      </c>
      <c r="C3508" s="1">
        <v>8</v>
      </c>
      <c r="D3508" s="1">
        <v>233</v>
      </c>
      <c r="E3508" s="1">
        <v>1</v>
      </c>
      <c r="F3508" s="1">
        <v>89</v>
      </c>
      <c r="AD3508" s="1">
        <v>1</v>
      </c>
    </row>
    <row r="3509" spans="1:90" x14ac:dyDescent="0.3">
      <c r="A3509" s="1" t="s">
        <v>60</v>
      </c>
      <c r="B3509" s="7">
        <v>40763</v>
      </c>
      <c r="C3509" s="1">
        <v>8</v>
      </c>
      <c r="D3509" s="1">
        <v>233</v>
      </c>
      <c r="E3509" s="1">
        <v>1</v>
      </c>
      <c r="F3509" s="1">
        <v>90</v>
      </c>
      <c r="J3509" s="1">
        <v>1</v>
      </c>
    </row>
    <row r="3510" spans="1:90" x14ac:dyDescent="0.3">
      <c r="A3510" s="1" t="s">
        <v>60</v>
      </c>
      <c r="B3510" s="7">
        <v>40763</v>
      </c>
      <c r="C3510" s="1">
        <v>8</v>
      </c>
      <c r="D3510" s="1">
        <v>233</v>
      </c>
      <c r="E3510" s="1">
        <v>1</v>
      </c>
      <c r="F3510" s="1">
        <v>91</v>
      </c>
      <c r="J3510" s="1">
        <v>1</v>
      </c>
      <c r="L3510" s="1">
        <v>1</v>
      </c>
    </row>
    <row r="3511" spans="1:90" x14ac:dyDescent="0.3">
      <c r="A3511" s="1" t="s">
        <v>60</v>
      </c>
      <c r="B3511" s="7">
        <v>40763</v>
      </c>
      <c r="C3511" s="1">
        <v>8</v>
      </c>
      <c r="D3511" s="1">
        <v>233</v>
      </c>
      <c r="E3511" s="1">
        <v>1</v>
      </c>
      <c r="F3511" s="1">
        <v>92</v>
      </c>
      <c r="J3511" s="1">
        <v>1</v>
      </c>
      <c r="L3511" s="8">
        <v>1</v>
      </c>
      <c r="M3511" s="8"/>
    </row>
    <row r="3512" spans="1:90" x14ac:dyDescent="0.3">
      <c r="A3512" s="1" t="s">
        <v>60</v>
      </c>
      <c r="B3512" s="7">
        <v>40763</v>
      </c>
      <c r="C3512" s="1">
        <v>8</v>
      </c>
      <c r="D3512" s="1">
        <v>233</v>
      </c>
      <c r="E3512" s="1">
        <v>1</v>
      </c>
      <c r="F3512" s="1">
        <v>93</v>
      </c>
      <c r="H3512" s="1">
        <v>1</v>
      </c>
      <c r="J3512" s="1">
        <v>1</v>
      </c>
    </row>
    <row r="3513" spans="1:90" x14ac:dyDescent="0.3">
      <c r="A3513" s="1" t="s">
        <v>60</v>
      </c>
      <c r="B3513" s="7">
        <v>40763</v>
      </c>
      <c r="C3513" s="1">
        <v>8</v>
      </c>
      <c r="D3513" s="1">
        <v>233</v>
      </c>
      <c r="E3513" s="1">
        <v>1</v>
      </c>
      <c r="F3513" s="1">
        <v>94</v>
      </c>
      <c r="I3513" s="1">
        <v>1</v>
      </c>
      <c r="L3513" s="1">
        <v>1</v>
      </c>
    </row>
    <row r="3514" spans="1:90" x14ac:dyDescent="0.3">
      <c r="A3514" s="1" t="s">
        <v>60</v>
      </c>
      <c r="B3514" s="7">
        <v>40763</v>
      </c>
      <c r="C3514" s="1">
        <v>8</v>
      </c>
      <c r="D3514" s="1">
        <v>233</v>
      </c>
      <c r="E3514" s="1">
        <v>1</v>
      </c>
      <c r="F3514" s="1">
        <v>95</v>
      </c>
      <c r="J3514" s="1">
        <v>1</v>
      </c>
      <c r="L3514" s="1">
        <v>1</v>
      </c>
    </row>
    <row r="3515" spans="1:90" x14ac:dyDescent="0.3">
      <c r="A3515" s="1" t="s">
        <v>60</v>
      </c>
      <c r="B3515" s="7">
        <v>40763</v>
      </c>
      <c r="C3515" s="1">
        <v>8</v>
      </c>
      <c r="D3515" s="1">
        <v>233</v>
      </c>
      <c r="E3515" s="1">
        <v>1</v>
      </c>
      <c r="F3515" s="1">
        <v>96</v>
      </c>
      <c r="H3515" s="1">
        <v>1</v>
      </c>
      <c r="J3515" s="1">
        <v>1</v>
      </c>
    </row>
    <row r="3516" spans="1:90" x14ac:dyDescent="0.3">
      <c r="A3516" s="1" t="s">
        <v>60</v>
      </c>
      <c r="B3516" s="7">
        <v>40763</v>
      </c>
      <c r="C3516" s="1">
        <v>8</v>
      </c>
      <c r="D3516" s="1">
        <v>233</v>
      </c>
      <c r="E3516" s="1">
        <v>1</v>
      </c>
      <c r="F3516" s="1">
        <v>97</v>
      </c>
      <c r="L3516" s="1">
        <v>1</v>
      </c>
    </row>
    <row r="3517" spans="1:90" x14ac:dyDescent="0.3">
      <c r="A3517" s="1" t="s">
        <v>60</v>
      </c>
      <c r="B3517" s="7">
        <v>40763</v>
      </c>
      <c r="C3517" s="1">
        <v>8</v>
      </c>
      <c r="D3517" s="1">
        <v>233</v>
      </c>
      <c r="E3517" s="1">
        <v>1</v>
      </c>
      <c r="F3517" s="1">
        <v>98</v>
      </c>
      <c r="L3517" s="1">
        <v>1</v>
      </c>
    </row>
    <row r="3518" spans="1:90" x14ac:dyDescent="0.3">
      <c r="A3518" s="1" t="s">
        <v>60</v>
      </c>
      <c r="B3518" s="7">
        <v>40763</v>
      </c>
      <c r="C3518" s="1">
        <v>8</v>
      </c>
      <c r="D3518" s="1">
        <v>233</v>
      </c>
      <c r="E3518" s="1">
        <v>1</v>
      </c>
      <c r="F3518" s="1">
        <v>99</v>
      </c>
      <c r="L3518" s="1">
        <v>1</v>
      </c>
    </row>
    <row r="3519" spans="1:90" x14ac:dyDescent="0.3">
      <c r="A3519" s="1" t="s">
        <v>60</v>
      </c>
      <c r="B3519" s="7">
        <v>40763</v>
      </c>
      <c r="C3519" s="1">
        <v>8</v>
      </c>
      <c r="D3519" s="1">
        <v>233</v>
      </c>
      <c r="E3519" s="1">
        <v>1</v>
      </c>
      <c r="F3519" s="1">
        <v>100</v>
      </c>
      <c r="J3519" s="1">
        <v>1</v>
      </c>
    </row>
    <row r="3520" spans="1:90" s="12" customFormat="1" x14ac:dyDescent="0.3">
      <c r="A3520" s="14" t="s">
        <v>60</v>
      </c>
      <c r="B3520" s="13"/>
      <c r="G3520" s="12">
        <f>SUM(G3320:G3519)</f>
        <v>0</v>
      </c>
      <c r="H3520" s="12">
        <f t="shared" ref="H3520" si="1276">SUM(H3320:H3519)</f>
        <v>38</v>
      </c>
      <c r="I3520" s="12">
        <f t="shared" ref="I3520" si="1277">SUM(I3320:I3519)</f>
        <v>32</v>
      </c>
      <c r="J3520" s="12">
        <f t="shared" ref="J3520" si="1278">SUM(J3320:J3519)</f>
        <v>101</v>
      </c>
      <c r="K3520" s="12">
        <f t="shared" ref="K3520" si="1279">SUM(K3320:K3519)</f>
        <v>14</v>
      </c>
      <c r="L3520" s="12">
        <f t="shared" ref="L3520" si="1280">SUM(L3320:L3519)</f>
        <v>45</v>
      </c>
      <c r="M3520" s="12">
        <f t="shared" ref="M3520" si="1281">SUM(M3320:M3519)</f>
        <v>0</v>
      </c>
      <c r="N3520" s="12">
        <f t="shared" ref="N3520" si="1282">SUM(N3320:N3519)</f>
        <v>0</v>
      </c>
      <c r="O3520" s="12">
        <f t="shared" ref="O3520" si="1283">SUM(O3320:O3519)</f>
        <v>0</v>
      </c>
      <c r="P3520" s="12">
        <f t="shared" ref="P3520" si="1284">SUM(P3320:P3519)</f>
        <v>0</v>
      </c>
      <c r="Q3520" s="12">
        <f t="shared" ref="Q3520" si="1285">SUM(Q3320:Q3519)</f>
        <v>1</v>
      </c>
      <c r="R3520" s="12">
        <f t="shared" ref="R3520" si="1286">SUM(R3320:R3519)</f>
        <v>31</v>
      </c>
      <c r="S3520" s="12">
        <f t="shared" ref="S3520" si="1287">SUM(S3320:S3519)</f>
        <v>14</v>
      </c>
      <c r="T3520" s="12">
        <f t="shared" ref="T3520" si="1288">SUM(T3320:T3519)</f>
        <v>0</v>
      </c>
      <c r="U3520" s="12">
        <f t="shared" ref="U3520" si="1289">SUM(U3320:U3519)</f>
        <v>0</v>
      </c>
      <c r="V3520" s="12">
        <f t="shared" ref="V3520" si="1290">SUM(V3320:V3519)</f>
        <v>0</v>
      </c>
      <c r="W3520" s="12">
        <f t="shared" ref="W3520" si="1291">SUM(W3320:W3519)</f>
        <v>0</v>
      </c>
      <c r="X3520" s="12">
        <f t="shared" ref="X3520" si="1292">SUM(X3320:X3519)</f>
        <v>0</v>
      </c>
      <c r="Y3520" s="12">
        <f t="shared" ref="Y3520" si="1293">SUM(Y3320:Y3519)</f>
        <v>0</v>
      </c>
      <c r="Z3520" s="12">
        <f t="shared" ref="Z3520" si="1294">SUM(Z3320:Z3519)</f>
        <v>0</v>
      </c>
      <c r="AA3520" s="12">
        <f t="shared" ref="AA3520" si="1295">SUM(AA3320:AA3519)</f>
        <v>1</v>
      </c>
      <c r="AB3520" s="12">
        <f t="shared" ref="AB3520" si="1296">SUM(AB3320:AB3519)</f>
        <v>3</v>
      </c>
      <c r="AC3520" s="12">
        <f t="shared" ref="AC3520" si="1297">SUM(AC3320:AC3519)</f>
        <v>0</v>
      </c>
      <c r="AD3520" s="12">
        <f t="shared" ref="AD3520" si="1298">SUM(AD3320:AD3519)</f>
        <v>4</v>
      </c>
      <c r="AE3520" s="12">
        <f t="shared" ref="AE3520" si="1299">SUM(AE3320:AE3519)</f>
        <v>3</v>
      </c>
      <c r="AF3520" s="12">
        <f t="shared" ref="AF3520" si="1300">SUM(AF3320:AF3519)</f>
        <v>1</v>
      </c>
      <c r="AG3520" s="12">
        <f t="shared" ref="AG3520" si="1301">SUM(AG3320:AG3519)</f>
        <v>0</v>
      </c>
      <c r="AH3520" s="12">
        <f t="shared" ref="AH3520" si="1302">SUM(AH3320:AH3519)</f>
        <v>0</v>
      </c>
      <c r="AI3520" s="12">
        <f t="shared" ref="AI3520" si="1303">SUM(AI3320:AI3519)</f>
        <v>2</v>
      </c>
      <c r="AJ3520" s="12">
        <f t="shared" ref="AJ3520" si="1304">SUM(AJ3320:AJ3519)</f>
        <v>1</v>
      </c>
      <c r="AK3520" s="12">
        <f t="shared" ref="AK3520" si="1305">SUM(AK3320:AK3519)</f>
        <v>1</v>
      </c>
      <c r="AL3520" s="12">
        <f t="shared" ref="AL3520" si="1306">SUM(AL3320:AL3519)</f>
        <v>0</v>
      </c>
      <c r="AM3520" s="12">
        <f t="shared" ref="AM3520" si="1307">SUM(AM3320:AM3519)</f>
        <v>0</v>
      </c>
      <c r="AN3520" s="12">
        <f t="shared" ref="AN3520" si="1308">SUM(AN3320:AN3519)</f>
        <v>0</v>
      </c>
      <c r="AO3520" s="12">
        <f t="shared" ref="AO3520" si="1309">SUM(AO3320:AO3519)</f>
        <v>6</v>
      </c>
      <c r="AP3520" s="12">
        <f t="shared" ref="AP3520" si="1310">SUM(AP3320:AP3519)</f>
        <v>0</v>
      </c>
      <c r="AQ3520" s="12">
        <f t="shared" ref="AQ3520" si="1311">SUM(AQ3320:AQ3519)</f>
        <v>0</v>
      </c>
      <c r="AR3520" s="12">
        <f t="shared" ref="AR3520" si="1312">SUM(AR3320:AR3519)</f>
        <v>0</v>
      </c>
      <c r="AS3520" s="12">
        <f t="shared" ref="AS3520" si="1313">SUM(AS3320:AS3519)</f>
        <v>0</v>
      </c>
      <c r="AT3520" s="12">
        <f t="shared" ref="AT3520" si="1314">SUM(AT3320:AT3519)</f>
        <v>0</v>
      </c>
      <c r="AU3520" s="12">
        <f t="shared" ref="AU3520" si="1315">SUM(AU3320:AU3519)</f>
        <v>0</v>
      </c>
      <c r="AV3520" s="12">
        <f t="shared" ref="AV3520" si="1316">SUM(AV3320:AV3519)</f>
        <v>0</v>
      </c>
      <c r="AW3520" s="12">
        <f t="shared" ref="AW3520" si="1317">SUM(AW3320:AW3519)</f>
        <v>0</v>
      </c>
      <c r="AX3520" s="12">
        <f t="shared" ref="AX3520" si="1318">SUM(AX3320:AX3519)</f>
        <v>0</v>
      </c>
      <c r="AY3520" s="12">
        <f t="shared" ref="AY3520" si="1319">SUM(AY3320:AY3519)</f>
        <v>0</v>
      </c>
      <c r="AZ3520" s="12">
        <f t="shared" ref="AZ3520" si="1320">SUM(AZ3320:AZ3519)</f>
        <v>0</v>
      </c>
      <c r="BA3520" s="12">
        <f t="shared" ref="BA3520" si="1321">SUM(BA3320:BA3519)</f>
        <v>0</v>
      </c>
      <c r="BB3520" s="12">
        <f t="shared" ref="BB3520" si="1322">SUM(BB3320:BB3519)</f>
        <v>0</v>
      </c>
      <c r="BC3520" s="12">
        <f t="shared" ref="BC3520" si="1323">SUM(BC3320:BC3519)</f>
        <v>0</v>
      </c>
      <c r="BD3520" s="12">
        <f t="shared" ref="BD3520" si="1324">SUM(BD3320:BD3519)</f>
        <v>3</v>
      </c>
      <c r="BE3520" s="12">
        <f t="shared" ref="BE3520" si="1325">SUM(BE3320:BE3519)</f>
        <v>1</v>
      </c>
      <c r="BF3520" s="12">
        <f t="shared" ref="BF3520" si="1326">SUM(BF3320:BF3519)</f>
        <v>0</v>
      </c>
      <c r="BG3520" s="12">
        <f t="shared" ref="BG3520" si="1327">SUM(BG3320:BG3519)</f>
        <v>2</v>
      </c>
      <c r="BH3520" s="12">
        <f t="shared" ref="BH3520" si="1328">SUM(BH3320:BH3519)</f>
        <v>1</v>
      </c>
      <c r="BI3520" s="12">
        <f t="shared" ref="BI3520" si="1329">SUM(BI3320:BI3519)</f>
        <v>0</v>
      </c>
      <c r="BJ3520" s="12">
        <f t="shared" ref="BJ3520" si="1330">SUM(BJ3320:BJ3519)</f>
        <v>0</v>
      </c>
      <c r="BK3520" s="12">
        <f t="shared" ref="BK3520" si="1331">SUM(BK3320:BK3519)</f>
        <v>0</v>
      </c>
      <c r="BL3520" s="12">
        <f t="shared" ref="BL3520" si="1332">SUM(BL3320:BL3519)</f>
        <v>0</v>
      </c>
      <c r="BM3520" s="12">
        <f t="shared" ref="BM3520" si="1333">SUM(BM3320:BM3519)</f>
        <v>1</v>
      </c>
      <c r="BN3520" s="12">
        <f t="shared" ref="BN3520" si="1334">SUM(BN3320:BN3519)</f>
        <v>0</v>
      </c>
      <c r="BO3520" s="12">
        <f t="shared" ref="BO3520" si="1335">SUM(BO3320:BO3519)</f>
        <v>0</v>
      </c>
      <c r="BP3520" s="12">
        <f t="shared" ref="BP3520" si="1336">SUM(BP3320:BP3519)</f>
        <v>0</v>
      </c>
      <c r="BQ3520" s="12">
        <f t="shared" ref="BQ3520" si="1337">SUM(BQ3320:BQ3519)</f>
        <v>0</v>
      </c>
      <c r="BR3520" s="12">
        <f t="shared" ref="BR3520" si="1338">SUM(BR3320:BR3519)</f>
        <v>0</v>
      </c>
      <c r="BS3520" s="12">
        <f t="shared" ref="BS3520" si="1339">SUM(BS3320:BS3519)</f>
        <v>2</v>
      </c>
      <c r="BT3520" s="12">
        <f t="shared" ref="BT3520" si="1340">SUM(BT3320:BT3519)</f>
        <v>1</v>
      </c>
      <c r="BU3520" s="12">
        <f t="shared" ref="BU3520" si="1341">SUM(BU3320:BU3519)</f>
        <v>0</v>
      </c>
      <c r="BV3520" s="12">
        <f t="shared" ref="BV3520" si="1342">SUM(BV3320:BV3519)</f>
        <v>0</v>
      </c>
      <c r="BW3520" s="12">
        <f t="shared" ref="BW3520" si="1343">SUM(BW3320:BW3519)</f>
        <v>0</v>
      </c>
      <c r="BX3520" s="12">
        <f t="shared" ref="BX3520" si="1344">SUM(BX3320:BX3519)</f>
        <v>0</v>
      </c>
      <c r="BY3520" s="12">
        <f t="shared" ref="BY3520" si="1345">SUM(BY3320:BY3519)</f>
        <v>0</v>
      </c>
      <c r="BZ3520" s="12">
        <f t="shared" ref="BZ3520" si="1346">SUM(BZ3320:BZ3519)</f>
        <v>0</v>
      </c>
      <c r="CA3520" s="12">
        <f t="shared" ref="CA3520" si="1347">SUM(CA3320:CA3519)</f>
        <v>0</v>
      </c>
      <c r="CB3520" s="12">
        <f t="shared" ref="CB3520" si="1348">SUM(CB3320:CB3519)</f>
        <v>0</v>
      </c>
      <c r="CC3520" s="12">
        <f t="shared" ref="CC3520" si="1349">SUM(CC3320:CC3519)</f>
        <v>0</v>
      </c>
      <c r="CD3520" s="12">
        <f t="shared" ref="CD3520" si="1350">SUM(CD3320:CD3519)</f>
        <v>0</v>
      </c>
      <c r="CE3520" s="12">
        <f t="shared" ref="CE3520" si="1351">SUM(CE3320:CE3519)</f>
        <v>0</v>
      </c>
      <c r="CF3520" s="12">
        <f t="shared" ref="CF3520" si="1352">SUM(CF3320:CF3519)</f>
        <v>0</v>
      </c>
      <c r="CG3520" s="12">
        <f t="shared" ref="CG3520" si="1353">SUM(CG3320:CG3519)</f>
        <v>0</v>
      </c>
      <c r="CH3520" s="12">
        <f t="shared" ref="CH3520" si="1354">SUM(CH3320:CH3519)</f>
        <v>0</v>
      </c>
      <c r="CI3520" s="12">
        <f t="shared" ref="CI3520" si="1355">SUM(CI3320:CI3519)</f>
        <v>0</v>
      </c>
      <c r="CJ3520" s="12">
        <f t="shared" ref="CJ3520" si="1356">SUM(CJ3320:CJ3519)</f>
        <v>0</v>
      </c>
      <c r="CK3520" s="12">
        <f t="shared" ref="CK3520" si="1357">SUM(CK3320:CK3519)</f>
        <v>0</v>
      </c>
      <c r="CL3520" s="12">
        <f t="shared" ref="CL3520" si="1358">SUM(CL3320:CL3519)</f>
        <v>0</v>
      </c>
    </row>
    <row r="3521" spans="1:57" x14ac:dyDescent="0.3">
      <c r="A3521" s="1" t="s">
        <v>61</v>
      </c>
      <c r="B3521" s="7">
        <v>40763</v>
      </c>
      <c r="C3521" s="1">
        <v>8</v>
      </c>
      <c r="D3521" s="1">
        <v>198</v>
      </c>
      <c r="E3521" s="1">
        <v>1.5</v>
      </c>
      <c r="F3521" s="1">
        <v>1</v>
      </c>
      <c r="L3521" s="8">
        <v>1</v>
      </c>
      <c r="M3521" s="8"/>
      <c r="Y3521" s="1">
        <v>1</v>
      </c>
    </row>
    <row r="3522" spans="1:57" x14ac:dyDescent="0.3">
      <c r="A3522" s="1" t="s">
        <v>61</v>
      </c>
      <c r="B3522" s="7">
        <v>40763</v>
      </c>
      <c r="C3522" s="1">
        <v>8</v>
      </c>
      <c r="D3522" s="1">
        <v>198</v>
      </c>
      <c r="E3522" s="1">
        <v>1.5</v>
      </c>
      <c r="F3522" s="1">
        <v>2</v>
      </c>
      <c r="N3522" s="8">
        <v>1</v>
      </c>
      <c r="O3522" s="8"/>
    </row>
    <row r="3523" spans="1:57" x14ac:dyDescent="0.3">
      <c r="A3523" s="1" t="s">
        <v>61</v>
      </c>
      <c r="B3523" s="7">
        <v>40763</v>
      </c>
      <c r="C3523" s="1">
        <v>8</v>
      </c>
      <c r="D3523" s="1">
        <v>198</v>
      </c>
      <c r="E3523" s="1">
        <v>1.5</v>
      </c>
      <c r="F3523" s="1">
        <v>3</v>
      </c>
      <c r="H3523" s="1">
        <v>1</v>
      </c>
      <c r="BE3523" s="1">
        <v>1</v>
      </c>
    </row>
    <row r="3524" spans="1:57" x14ac:dyDescent="0.3">
      <c r="A3524" s="1" t="s">
        <v>61</v>
      </c>
      <c r="B3524" s="7">
        <v>40763</v>
      </c>
      <c r="C3524" s="1">
        <v>8</v>
      </c>
      <c r="D3524" s="1">
        <v>198</v>
      </c>
      <c r="E3524" s="1">
        <v>1.5</v>
      </c>
      <c r="F3524" s="1">
        <v>4</v>
      </c>
      <c r="L3524" s="1">
        <v>1</v>
      </c>
      <c r="R3524" s="3">
        <v>0</v>
      </c>
      <c r="S3524" s="3">
        <v>1</v>
      </c>
    </row>
    <row r="3525" spans="1:57" x14ac:dyDescent="0.3">
      <c r="A3525" s="1" t="s">
        <v>61</v>
      </c>
      <c r="B3525" s="7">
        <v>40763</v>
      </c>
      <c r="C3525" s="1">
        <v>8</v>
      </c>
      <c r="D3525" s="1">
        <v>198</v>
      </c>
      <c r="E3525" s="1">
        <v>1.5</v>
      </c>
      <c r="F3525" s="1">
        <v>5</v>
      </c>
      <c r="N3525" s="1">
        <v>1</v>
      </c>
      <c r="R3525" s="1">
        <v>1</v>
      </c>
    </row>
    <row r="3526" spans="1:57" x14ac:dyDescent="0.3">
      <c r="A3526" s="1" t="s">
        <v>61</v>
      </c>
      <c r="B3526" s="7">
        <v>40763</v>
      </c>
      <c r="C3526" s="1">
        <v>8</v>
      </c>
      <c r="D3526" s="1">
        <v>198</v>
      </c>
      <c r="E3526" s="1">
        <v>1.5</v>
      </c>
      <c r="F3526" s="1">
        <v>6</v>
      </c>
      <c r="H3526" s="1">
        <v>1</v>
      </c>
      <c r="L3526" s="1">
        <v>1</v>
      </c>
      <c r="N3526" s="1">
        <v>1</v>
      </c>
    </row>
    <row r="3527" spans="1:57" x14ac:dyDescent="0.3">
      <c r="A3527" s="1" t="s">
        <v>61</v>
      </c>
      <c r="B3527" s="7">
        <v>40763</v>
      </c>
      <c r="C3527" s="1">
        <v>8</v>
      </c>
      <c r="D3527" s="1">
        <v>198</v>
      </c>
      <c r="E3527" s="1">
        <v>1.5</v>
      </c>
      <c r="F3527" s="1">
        <v>7</v>
      </c>
      <c r="H3527" s="1">
        <v>1</v>
      </c>
      <c r="AS3527" s="1">
        <v>1</v>
      </c>
    </row>
    <row r="3528" spans="1:57" x14ac:dyDescent="0.3">
      <c r="A3528" s="1" t="s">
        <v>61</v>
      </c>
      <c r="B3528" s="7">
        <v>40763</v>
      </c>
      <c r="C3528" s="1">
        <v>8</v>
      </c>
      <c r="D3528" s="1">
        <v>198</v>
      </c>
      <c r="E3528" s="1">
        <v>1.5</v>
      </c>
      <c r="F3528" s="1">
        <v>8</v>
      </c>
      <c r="H3528" s="1">
        <v>1</v>
      </c>
      <c r="R3528" s="1">
        <v>1</v>
      </c>
      <c r="Y3528" s="1">
        <v>1</v>
      </c>
    </row>
    <row r="3529" spans="1:57" x14ac:dyDescent="0.3">
      <c r="A3529" s="1" t="s">
        <v>61</v>
      </c>
      <c r="B3529" s="7">
        <v>40763</v>
      </c>
      <c r="C3529" s="1">
        <v>8</v>
      </c>
      <c r="D3529" s="1">
        <v>198</v>
      </c>
      <c r="E3529" s="1">
        <v>1.5</v>
      </c>
      <c r="F3529" s="1">
        <v>9</v>
      </c>
      <c r="H3529" s="1">
        <v>1</v>
      </c>
      <c r="L3529" s="8">
        <v>1</v>
      </c>
      <c r="M3529" s="8"/>
      <c r="AF3529" s="1">
        <v>1</v>
      </c>
    </row>
    <row r="3530" spans="1:57" x14ac:dyDescent="0.3">
      <c r="A3530" s="1" t="s">
        <v>61</v>
      </c>
      <c r="B3530" s="7">
        <v>40763</v>
      </c>
      <c r="C3530" s="1">
        <v>8</v>
      </c>
      <c r="D3530" s="1">
        <v>198</v>
      </c>
      <c r="E3530" s="1">
        <v>1.5</v>
      </c>
      <c r="F3530" s="1">
        <v>10</v>
      </c>
      <c r="H3530" s="1">
        <v>1</v>
      </c>
      <c r="L3530" s="1">
        <v>1</v>
      </c>
      <c r="BC3530" s="1">
        <v>1</v>
      </c>
    </row>
    <row r="3531" spans="1:57" x14ac:dyDescent="0.3">
      <c r="A3531" s="1" t="s">
        <v>61</v>
      </c>
      <c r="B3531" s="7">
        <v>40763</v>
      </c>
      <c r="C3531" s="1">
        <v>8</v>
      </c>
      <c r="D3531" s="1">
        <v>198</v>
      </c>
      <c r="E3531" s="1">
        <v>1.5</v>
      </c>
      <c r="F3531" s="1">
        <v>11</v>
      </c>
      <c r="H3531" s="1">
        <v>1</v>
      </c>
      <c r="AF3531" s="1">
        <v>1</v>
      </c>
      <c r="BE3531" s="1">
        <v>1</v>
      </c>
    </row>
    <row r="3532" spans="1:57" x14ac:dyDescent="0.3">
      <c r="A3532" s="1" t="s">
        <v>61</v>
      </c>
      <c r="B3532" s="7">
        <v>40763</v>
      </c>
      <c r="C3532" s="1">
        <v>8</v>
      </c>
      <c r="D3532" s="1">
        <v>198</v>
      </c>
      <c r="E3532" s="1">
        <v>1.5</v>
      </c>
      <c r="F3532" s="1">
        <v>12</v>
      </c>
      <c r="H3532" s="1">
        <v>1</v>
      </c>
      <c r="L3532" s="8">
        <v>1</v>
      </c>
      <c r="M3532" s="8"/>
    </row>
    <row r="3533" spans="1:57" x14ac:dyDescent="0.3">
      <c r="A3533" s="1" t="s">
        <v>61</v>
      </c>
      <c r="B3533" s="7">
        <v>40763</v>
      </c>
      <c r="C3533" s="1">
        <v>8</v>
      </c>
      <c r="D3533" s="1">
        <v>198</v>
      </c>
      <c r="E3533" s="1">
        <v>1.5</v>
      </c>
      <c r="F3533" s="1">
        <v>13</v>
      </c>
      <c r="L3533" s="1">
        <v>1</v>
      </c>
      <c r="R3533" s="1">
        <v>1</v>
      </c>
      <c r="Y3533" s="1">
        <v>1</v>
      </c>
    </row>
    <row r="3534" spans="1:57" x14ac:dyDescent="0.3">
      <c r="A3534" s="1" t="s">
        <v>61</v>
      </c>
      <c r="B3534" s="7">
        <v>40763</v>
      </c>
      <c r="C3534" s="1">
        <v>8</v>
      </c>
      <c r="D3534" s="1">
        <v>198</v>
      </c>
      <c r="E3534" s="1">
        <v>1.5</v>
      </c>
      <c r="F3534" s="1">
        <v>14</v>
      </c>
      <c r="H3534" s="1">
        <v>1</v>
      </c>
      <c r="L3534" s="8">
        <v>1</v>
      </c>
      <c r="M3534" s="8"/>
    </row>
    <row r="3535" spans="1:57" x14ac:dyDescent="0.3">
      <c r="A3535" s="1" t="s">
        <v>61</v>
      </c>
      <c r="B3535" s="7">
        <v>40763</v>
      </c>
      <c r="C3535" s="1">
        <v>8</v>
      </c>
      <c r="D3535" s="1">
        <v>198</v>
      </c>
      <c r="E3535" s="1">
        <v>1.5</v>
      </c>
      <c r="F3535" s="1">
        <v>15</v>
      </c>
      <c r="H3535" s="1">
        <v>1</v>
      </c>
      <c r="L3535" s="8">
        <v>1</v>
      </c>
      <c r="M3535" s="8"/>
      <c r="R3535" s="1">
        <v>1</v>
      </c>
    </row>
    <row r="3536" spans="1:57" x14ac:dyDescent="0.3">
      <c r="A3536" s="1" t="s">
        <v>61</v>
      </c>
      <c r="B3536" s="7">
        <v>40763</v>
      </c>
      <c r="C3536" s="1">
        <v>8</v>
      </c>
      <c r="D3536" s="1">
        <v>198</v>
      </c>
      <c r="E3536" s="1">
        <v>1.5</v>
      </c>
      <c r="F3536" s="1">
        <v>16</v>
      </c>
      <c r="H3536" s="1">
        <v>1</v>
      </c>
      <c r="R3536" s="8">
        <v>1</v>
      </c>
      <c r="S3536" s="8"/>
      <c r="AF3536" s="1">
        <v>1</v>
      </c>
    </row>
    <row r="3537" spans="1:61" x14ac:dyDescent="0.3">
      <c r="A3537" s="1" t="s">
        <v>61</v>
      </c>
      <c r="B3537" s="7">
        <v>40763</v>
      </c>
      <c r="C3537" s="1">
        <v>8</v>
      </c>
      <c r="D3537" s="1">
        <v>198</v>
      </c>
      <c r="E3537" s="1">
        <v>1.5</v>
      </c>
      <c r="F3537" s="1">
        <v>17</v>
      </c>
      <c r="H3537" s="1">
        <v>1</v>
      </c>
      <c r="L3537" s="8">
        <v>1</v>
      </c>
      <c r="M3537" s="8"/>
    </row>
    <row r="3538" spans="1:61" x14ac:dyDescent="0.3">
      <c r="A3538" s="1" t="s">
        <v>61</v>
      </c>
      <c r="B3538" s="7">
        <v>40763</v>
      </c>
      <c r="C3538" s="1">
        <v>8</v>
      </c>
      <c r="D3538" s="1">
        <v>198</v>
      </c>
      <c r="E3538" s="1">
        <v>1.5</v>
      </c>
      <c r="F3538" s="1">
        <v>18</v>
      </c>
      <c r="L3538" s="1">
        <v>1</v>
      </c>
      <c r="R3538" s="1">
        <v>1</v>
      </c>
      <c r="BI3538" s="1">
        <v>1</v>
      </c>
    </row>
    <row r="3539" spans="1:61" x14ac:dyDescent="0.3">
      <c r="A3539" s="1" t="s">
        <v>61</v>
      </c>
      <c r="B3539" s="7">
        <v>40763</v>
      </c>
      <c r="C3539" s="1">
        <v>8</v>
      </c>
      <c r="D3539" s="1">
        <v>198</v>
      </c>
      <c r="E3539" s="1">
        <v>1.5</v>
      </c>
      <c r="F3539" s="1">
        <v>19</v>
      </c>
      <c r="H3539" s="1">
        <v>1</v>
      </c>
      <c r="R3539" s="3">
        <v>0</v>
      </c>
      <c r="S3539" s="3">
        <v>1</v>
      </c>
      <c r="BI3539" s="1">
        <v>1</v>
      </c>
    </row>
    <row r="3540" spans="1:61" x14ac:dyDescent="0.3">
      <c r="A3540" s="1" t="s">
        <v>61</v>
      </c>
      <c r="B3540" s="7">
        <v>40763</v>
      </c>
      <c r="C3540" s="1">
        <v>8</v>
      </c>
      <c r="D3540" s="1">
        <v>198</v>
      </c>
      <c r="E3540" s="1">
        <v>1.5</v>
      </c>
      <c r="F3540" s="1">
        <v>20</v>
      </c>
      <c r="H3540" s="1">
        <v>1</v>
      </c>
      <c r="L3540" s="1">
        <v>1</v>
      </c>
      <c r="AF3540" s="1">
        <v>1</v>
      </c>
      <c r="BI3540" s="1">
        <v>1</v>
      </c>
    </row>
    <row r="3541" spans="1:61" x14ac:dyDescent="0.3">
      <c r="A3541" s="1" t="s">
        <v>61</v>
      </c>
      <c r="B3541" s="7">
        <v>40763</v>
      </c>
      <c r="C3541" s="1">
        <v>8</v>
      </c>
      <c r="D3541" s="1">
        <v>198</v>
      </c>
      <c r="E3541" s="1">
        <v>1.5</v>
      </c>
      <c r="F3541" s="1">
        <v>21</v>
      </c>
      <c r="H3541" s="1">
        <v>1</v>
      </c>
      <c r="I3541" s="1">
        <v>1</v>
      </c>
      <c r="L3541" s="8">
        <v>1</v>
      </c>
      <c r="M3541" s="8"/>
    </row>
    <row r="3542" spans="1:61" x14ac:dyDescent="0.3">
      <c r="A3542" s="1" t="s">
        <v>61</v>
      </c>
      <c r="B3542" s="7">
        <v>40763</v>
      </c>
      <c r="C3542" s="1">
        <v>8</v>
      </c>
      <c r="D3542" s="1">
        <v>198</v>
      </c>
      <c r="E3542" s="1">
        <v>1.5</v>
      </c>
      <c r="F3542" s="1">
        <v>22</v>
      </c>
      <c r="H3542" s="1">
        <v>1</v>
      </c>
      <c r="L3542" s="8">
        <v>1</v>
      </c>
      <c r="M3542" s="8"/>
    </row>
    <row r="3543" spans="1:61" x14ac:dyDescent="0.3">
      <c r="A3543" s="1" t="s">
        <v>61</v>
      </c>
      <c r="B3543" s="7">
        <v>40763</v>
      </c>
      <c r="C3543" s="1">
        <v>8</v>
      </c>
      <c r="D3543" s="1">
        <v>198</v>
      </c>
      <c r="E3543" s="1">
        <v>1.5</v>
      </c>
      <c r="F3543" s="1">
        <v>23</v>
      </c>
      <c r="H3543" s="1">
        <v>1</v>
      </c>
      <c r="L3543" s="8">
        <v>1</v>
      </c>
      <c r="M3543" s="8"/>
      <c r="BE3543" s="1">
        <v>1</v>
      </c>
    </row>
    <row r="3544" spans="1:61" x14ac:dyDescent="0.3">
      <c r="A3544" s="1" t="s">
        <v>61</v>
      </c>
      <c r="B3544" s="7">
        <v>40763</v>
      </c>
      <c r="C3544" s="1">
        <v>8</v>
      </c>
      <c r="D3544" s="1">
        <v>198</v>
      </c>
      <c r="E3544" s="1">
        <v>1.5</v>
      </c>
      <c r="F3544" s="1">
        <v>24</v>
      </c>
      <c r="H3544" s="1">
        <v>1</v>
      </c>
      <c r="L3544" s="8">
        <v>1</v>
      </c>
      <c r="M3544" s="8"/>
      <c r="R3544" s="8">
        <v>1</v>
      </c>
      <c r="S3544" s="8"/>
      <c r="BE3544" s="1">
        <v>1</v>
      </c>
    </row>
    <row r="3545" spans="1:61" x14ac:dyDescent="0.3">
      <c r="A3545" s="1" t="s">
        <v>61</v>
      </c>
      <c r="B3545" s="7">
        <v>40763</v>
      </c>
      <c r="C3545" s="1">
        <v>8</v>
      </c>
      <c r="D3545" s="1">
        <v>198</v>
      </c>
      <c r="E3545" s="1">
        <v>1.5</v>
      </c>
      <c r="F3545" s="1">
        <v>25</v>
      </c>
      <c r="H3545" s="1">
        <v>1</v>
      </c>
      <c r="BE3545" s="8">
        <v>1</v>
      </c>
      <c r="BF3545" s="8"/>
    </row>
    <row r="3546" spans="1:61" x14ac:dyDescent="0.3">
      <c r="A3546" s="1" t="s">
        <v>61</v>
      </c>
      <c r="B3546" s="7">
        <v>40763</v>
      </c>
      <c r="C3546" s="1">
        <v>8</v>
      </c>
      <c r="D3546" s="1">
        <v>198</v>
      </c>
      <c r="E3546" s="1">
        <v>1.5</v>
      </c>
      <c r="F3546" s="1">
        <v>26</v>
      </c>
      <c r="H3546" s="1">
        <v>1</v>
      </c>
      <c r="R3546" s="3">
        <v>0</v>
      </c>
      <c r="S3546" s="3">
        <v>1</v>
      </c>
      <c r="BI3546" s="1">
        <v>1</v>
      </c>
    </row>
    <row r="3547" spans="1:61" x14ac:dyDescent="0.3">
      <c r="A3547" s="1" t="s">
        <v>61</v>
      </c>
      <c r="B3547" s="7">
        <v>40763</v>
      </c>
      <c r="C3547" s="1">
        <v>8</v>
      </c>
      <c r="D3547" s="1">
        <v>198</v>
      </c>
      <c r="E3547" s="1">
        <v>1.5</v>
      </c>
      <c r="F3547" s="1">
        <v>27</v>
      </c>
      <c r="R3547" s="1">
        <v>1</v>
      </c>
    </row>
    <row r="3548" spans="1:61" x14ac:dyDescent="0.3">
      <c r="A3548" s="1" t="s">
        <v>61</v>
      </c>
      <c r="B3548" s="7">
        <v>40763</v>
      </c>
      <c r="C3548" s="1">
        <v>8</v>
      </c>
      <c r="D3548" s="1">
        <v>198</v>
      </c>
      <c r="E3548" s="1">
        <v>1.5</v>
      </c>
      <c r="F3548" s="1">
        <v>28</v>
      </c>
      <c r="H3548" s="1">
        <v>1</v>
      </c>
      <c r="L3548" s="8">
        <v>1</v>
      </c>
      <c r="M3548" s="8"/>
      <c r="R3548" s="1">
        <v>1</v>
      </c>
    </row>
    <row r="3549" spans="1:61" x14ac:dyDescent="0.3">
      <c r="A3549" s="1" t="s">
        <v>61</v>
      </c>
      <c r="B3549" s="7">
        <v>40763</v>
      </c>
      <c r="C3549" s="1">
        <v>8</v>
      </c>
      <c r="D3549" s="1">
        <v>198</v>
      </c>
      <c r="E3549" s="1">
        <v>1.5</v>
      </c>
      <c r="F3549" s="1">
        <v>29</v>
      </c>
      <c r="H3549" s="1">
        <v>1</v>
      </c>
      <c r="V3549" s="1">
        <v>1</v>
      </c>
      <c r="BI3549" s="1">
        <v>1</v>
      </c>
    </row>
    <row r="3550" spans="1:61" x14ac:dyDescent="0.3">
      <c r="A3550" s="1" t="s">
        <v>61</v>
      </c>
      <c r="B3550" s="7">
        <v>40763</v>
      </c>
      <c r="C3550" s="1">
        <v>8</v>
      </c>
      <c r="D3550" s="1">
        <v>198</v>
      </c>
      <c r="E3550" s="1">
        <v>1.5</v>
      </c>
      <c r="F3550" s="1">
        <v>30</v>
      </c>
      <c r="H3550" s="1">
        <v>1</v>
      </c>
      <c r="R3550" s="1">
        <v>1</v>
      </c>
    </row>
    <row r="3551" spans="1:61" x14ac:dyDescent="0.3">
      <c r="A3551" s="1" t="s">
        <v>61</v>
      </c>
      <c r="B3551" s="7">
        <v>40763</v>
      </c>
      <c r="C3551" s="1">
        <v>8</v>
      </c>
      <c r="D3551" s="1">
        <v>198</v>
      </c>
      <c r="E3551" s="1">
        <v>1.5</v>
      </c>
      <c r="F3551" s="1">
        <v>31</v>
      </c>
      <c r="H3551" s="1">
        <v>1</v>
      </c>
      <c r="L3551" s="8">
        <v>1</v>
      </c>
      <c r="M3551" s="8"/>
    </row>
    <row r="3552" spans="1:61" x14ac:dyDescent="0.3">
      <c r="A3552" s="1" t="s">
        <v>61</v>
      </c>
      <c r="B3552" s="7">
        <v>40763</v>
      </c>
      <c r="C3552" s="1">
        <v>8</v>
      </c>
      <c r="D3552" s="1">
        <v>198</v>
      </c>
      <c r="E3552" s="1">
        <v>1.5</v>
      </c>
      <c r="F3552" s="1">
        <v>32</v>
      </c>
      <c r="H3552" s="1">
        <v>1</v>
      </c>
      <c r="L3552" s="3">
        <v>0</v>
      </c>
      <c r="M3552" s="3">
        <v>1</v>
      </c>
      <c r="Y3552" s="3">
        <v>0</v>
      </c>
      <c r="Z3552" s="3">
        <v>1</v>
      </c>
    </row>
    <row r="3553" spans="1:61" x14ac:dyDescent="0.3">
      <c r="A3553" s="1" t="s">
        <v>61</v>
      </c>
      <c r="B3553" s="7">
        <v>40763</v>
      </c>
      <c r="C3553" s="1">
        <v>8</v>
      </c>
      <c r="D3553" s="1">
        <v>198</v>
      </c>
      <c r="E3553" s="1">
        <v>1.5</v>
      </c>
      <c r="F3553" s="1">
        <v>33</v>
      </c>
      <c r="H3553" s="1">
        <v>1</v>
      </c>
      <c r="L3553" s="1">
        <v>1</v>
      </c>
      <c r="AF3553" s="1">
        <v>1</v>
      </c>
      <c r="BE3553" s="1">
        <v>1</v>
      </c>
    </row>
    <row r="3554" spans="1:61" x14ac:dyDescent="0.3">
      <c r="A3554" s="1" t="s">
        <v>61</v>
      </c>
      <c r="B3554" s="7">
        <v>40763</v>
      </c>
      <c r="C3554" s="1">
        <v>8</v>
      </c>
      <c r="D3554" s="1">
        <v>198</v>
      </c>
      <c r="E3554" s="1">
        <v>1.5</v>
      </c>
      <c r="F3554" s="1">
        <v>34</v>
      </c>
      <c r="H3554" s="1">
        <v>1</v>
      </c>
      <c r="R3554" s="1">
        <v>1</v>
      </c>
      <c r="AF3554" s="1">
        <v>1</v>
      </c>
    </row>
    <row r="3555" spans="1:61" x14ac:dyDescent="0.3">
      <c r="A3555" s="1" t="s">
        <v>61</v>
      </c>
      <c r="B3555" s="7">
        <v>40763</v>
      </c>
      <c r="C3555" s="1">
        <v>8</v>
      </c>
      <c r="D3555" s="1">
        <v>198</v>
      </c>
      <c r="E3555" s="1">
        <v>1.5</v>
      </c>
      <c r="F3555" s="1">
        <v>35</v>
      </c>
      <c r="H3555" s="1">
        <v>1</v>
      </c>
      <c r="AF3555" s="1">
        <v>1</v>
      </c>
      <c r="BI3555" s="1">
        <v>1</v>
      </c>
    </row>
    <row r="3556" spans="1:61" x14ac:dyDescent="0.3">
      <c r="A3556" s="1" t="s">
        <v>61</v>
      </c>
      <c r="B3556" s="7">
        <v>40763</v>
      </c>
      <c r="C3556" s="1">
        <v>8</v>
      </c>
      <c r="D3556" s="1">
        <v>198</v>
      </c>
      <c r="E3556" s="1">
        <v>1.5</v>
      </c>
      <c r="F3556" s="1">
        <v>36</v>
      </c>
      <c r="H3556" s="1">
        <v>1</v>
      </c>
      <c r="AB3556" s="1">
        <v>1</v>
      </c>
      <c r="BC3556" s="1">
        <v>1</v>
      </c>
    </row>
    <row r="3557" spans="1:61" x14ac:dyDescent="0.3">
      <c r="A3557" s="1" t="s">
        <v>61</v>
      </c>
      <c r="B3557" s="7">
        <v>40763</v>
      </c>
      <c r="C3557" s="1">
        <v>8</v>
      </c>
      <c r="D3557" s="1">
        <v>198</v>
      </c>
      <c r="E3557" s="1">
        <v>1.5</v>
      </c>
      <c r="F3557" s="1">
        <v>37</v>
      </c>
      <c r="H3557" s="1">
        <v>1</v>
      </c>
      <c r="L3557" s="1">
        <v>1</v>
      </c>
    </row>
    <row r="3558" spans="1:61" x14ac:dyDescent="0.3">
      <c r="A3558" s="1" t="s">
        <v>61</v>
      </c>
      <c r="B3558" s="7">
        <v>40763</v>
      </c>
      <c r="C3558" s="1">
        <v>8</v>
      </c>
      <c r="D3558" s="1">
        <v>198</v>
      </c>
      <c r="E3558" s="1">
        <v>1.5</v>
      </c>
      <c r="F3558" s="1">
        <v>38</v>
      </c>
      <c r="H3558" s="1">
        <v>1</v>
      </c>
      <c r="V3558" s="1">
        <v>1</v>
      </c>
    </row>
    <row r="3559" spans="1:61" x14ac:dyDescent="0.3">
      <c r="A3559" s="1" t="s">
        <v>61</v>
      </c>
      <c r="B3559" s="7">
        <v>40763</v>
      </c>
      <c r="C3559" s="1">
        <v>8</v>
      </c>
      <c r="D3559" s="1">
        <v>198</v>
      </c>
      <c r="E3559" s="1">
        <v>1.5</v>
      </c>
      <c r="F3559" s="1">
        <v>39</v>
      </c>
      <c r="H3559" s="1">
        <v>1</v>
      </c>
      <c r="L3559" s="1">
        <v>1</v>
      </c>
      <c r="V3559" s="1">
        <v>1</v>
      </c>
    </row>
    <row r="3560" spans="1:61" x14ac:dyDescent="0.3">
      <c r="A3560" s="1" t="s">
        <v>61</v>
      </c>
      <c r="B3560" s="7">
        <v>40763</v>
      </c>
      <c r="C3560" s="1">
        <v>8</v>
      </c>
      <c r="D3560" s="1">
        <v>198</v>
      </c>
      <c r="E3560" s="1">
        <v>1.5</v>
      </c>
      <c r="F3560" s="1">
        <v>40</v>
      </c>
      <c r="H3560" s="1">
        <v>1</v>
      </c>
      <c r="L3560" s="1">
        <v>1</v>
      </c>
    </row>
    <row r="3561" spans="1:61" x14ac:dyDescent="0.3">
      <c r="A3561" s="1" t="s">
        <v>61</v>
      </c>
      <c r="B3561" s="7">
        <v>40763</v>
      </c>
      <c r="C3561" s="1">
        <v>8</v>
      </c>
      <c r="D3561" s="1">
        <v>198</v>
      </c>
      <c r="E3561" s="1">
        <v>1.5</v>
      </c>
      <c r="F3561" s="1">
        <v>41</v>
      </c>
      <c r="H3561" s="1">
        <v>1</v>
      </c>
      <c r="R3561" s="1">
        <v>1</v>
      </c>
    </row>
    <row r="3562" spans="1:61" x14ac:dyDescent="0.3">
      <c r="A3562" s="1" t="s">
        <v>61</v>
      </c>
      <c r="B3562" s="7">
        <v>40763</v>
      </c>
      <c r="C3562" s="1">
        <v>8</v>
      </c>
      <c r="D3562" s="1">
        <v>198</v>
      </c>
      <c r="E3562" s="1">
        <v>1.5</v>
      </c>
      <c r="F3562" s="1">
        <v>42</v>
      </c>
      <c r="R3562" s="3">
        <v>0</v>
      </c>
      <c r="S3562" s="3">
        <v>1</v>
      </c>
      <c r="Y3562" s="1">
        <v>1</v>
      </c>
    </row>
    <row r="3563" spans="1:61" x14ac:dyDescent="0.3">
      <c r="A3563" s="1" t="s">
        <v>61</v>
      </c>
      <c r="B3563" s="7">
        <v>40763</v>
      </c>
      <c r="C3563" s="1">
        <v>8</v>
      </c>
      <c r="D3563" s="1">
        <v>198</v>
      </c>
      <c r="E3563" s="1">
        <v>1.5</v>
      </c>
      <c r="F3563" s="1">
        <v>43</v>
      </c>
      <c r="H3563" s="1">
        <v>1</v>
      </c>
      <c r="R3563" s="3">
        <v>0</v>
      </c>
      <c r="S3563" s="3">
        <v>1</v>
      </c>
    </row>
    <row r="3564" spans="1:61" x14ac:dyDescent="0.3">
      <c r="A3564" s="1" t="s">
        <v>61</v>
      </c>
      <c r="B3564" s="7">
        <v>40763</v>
      </c>
      <c r="C3564" s="1">
        <v>8</v>
      </c>
      <c r="D3564" s="1">
        <v>198</v>
      </c>
      <c r="E3564" s="1">
        <v>1.5</v>
      </c>
      <c r="F3564" s="1">
        <v>44</v>
      </c>
      <c r="H3564" s="1">
        <v>1</v>
      </c>
      <c r="P3564" s="1">
        <v>1</v>
      </c>
      <c r="R3564" s="3">
        <v>0</v>
      </c>
      <c r="S3564" s="3">
        <v>1</v>
      </c>
    </row>
    <row r="3565" spans="1:61" x14ac:dyDescent="0.3">
      <c r="A3565" s="1" t="s">
        <v>61</v>
      </c>
      <c r="B3565" s="7">
        <v>40763</v>
      </c>
      <c r="C3565" s="1">
        <v>8</v>
      </c>
      <c r="D3565" s="1">
        <v>198</v>
      </c>
      <c r="E3565" s="1">
        <v>1.5</v>
      </c>
      <c r="F3565" s="1">
        <v>45</v>
      </c>
      <c r="H3565" s="1">
        <v>1</v>
      </c>
      <c r="L3565" s="8">
        <v>1</v>
      </c>
      <c r="M3565" s="8"/>
      <c r="R3565" s="1">
        <v>1</v>
      </c>
      <c r="BI3565" s="1">
        <v>1</v>
      </c>
    </row>
    <row r="3566" spans="1:61" x14ac:dyDescent="0.3">
      <c r="A3566" s="1" t="s">
        <v>61</v>
      </c>
      <c r="B3566" s="7">
        <v>40763</v>
      </c>
      <c r="C3566" s="1">
        <v>8</v>
      </c>
      <c r="D3566" s="1">
        <v>198</v>
      </c>
      <c r="E3566" s="1">
        <v>1.5</v>
      </c>
      <c r="F3566" s="1">
        <v>46</v>
      </c>
      <c r="L3566" s="1">
        <v>1</v>
      </c>
      <c r="BI3566" s="1">
        <v>1</v>
      </c>
    </row>
    <row r="3567" spans="1:61" x14ac:dyDescent="0.3">
      <c r="A3567" s="1" t="s">
        <v>61</v>
      </c>
      <c r="B3567" s="7">
        <v>40763</v>
      </c>
      <c r="C3567" s="1">
        <v>8</v>
      </c>
      <c r="D3567" s="1">
        <v>198</v>
      </c>
      <c r="E3567" s="1">
        <v>1.5</v>
      </c>
      <c r="F3567" s="1">
        <v>47</v>
      </c>
      <c r="L3567" s="8">
        <v>1</v>
      </c>
      <c r="M3567" s="8"/>
      <c r="R3567" s="1">
        <v>1</v>
      </c>
    </row>
    <row r="3568" spans="1:61" x14ac:dyDescent="0.3">
      <c r="A3568" s="1" t="s">
        <v>61</v>
      </c>
      <c r="B3568" s="7">
        <v>40763</v>
      </c>
      <c r="C3568" s="1">
        <v>8</v>
      </c>
      <c r="D3568" s="1">
        <v>198</v>
      </c>
      <c r="E3568" s="1">
        <v>1.5</v>
      </c>
      <c r="F3568" s="1">
        <v>48</v>
      </c>
      <c r="L3568" s="8">
        <v>1</v>
      </c>
      <c r="M3568" s="8"/>
      <c r="R3568" s="3">
        <v>0</v>
      </c>
      <c r="S3568" s="3">
        <v>1</v>
      </c>
      <c r="BC3568" s="8">
        <v>1</v>
      </c>
    </row>
    <row r="3569" spans="1:73" x14ac:dyDescent="0.3">
      <c r="A3569" s="1" t="s">
        <v>61</v>
      </c>
      <c r="B3569" s="7">
        <v>40763</v>
      </c>
      <c r="C3569" s="1">
        <v>8</v>
      </c>
      <c r="D3569" s="1">
        <v>198</v>
      </c>
      <c r="E3569" s="1">
        <v>1.5</v>
      </c>
      <c r="F3569" s="1">
        <v>49</v>
      </c>
      <c r="H3569" s="1">
        <v>1</v>
      </c>
      <c r="V3569" s="1">
        <v>1</v>
      </c>
      <c r="BI3569" s="1">
        <v>1</v>
      </c>
    </row>
    <row r="3570" spans="1:73" x14ac:dyDescent="0.3">
      <c r="A3570" s="1" t="s">
        <v>61</v>
      </c>
      <c r="B3570" s="7">
        <v>40763</v>
      </c>
      <c r="C3570" s="1">
        <v>8</v>
      </c>
      <c r="D3570" s="1">
        <v>198</v>
      </c>
      <c r="E3570" s="1">
        <v>1.5</v>
      </c>
      <c r="F3570" s="1">
        <v>50</v>
      </c>
      <c r="H3570" s="1">
        <v>1</v>
      </c>
    </row>
    <row r="3571" spans="1:73" x14ac:dyDescent="0.3">
      <c r="A3571" s="1" t="s">
        <v>61</v>
      </c>
      <c r="B3571" s="7">
        <v>40763</v>
      </c>
      <c r="C3571" s="1">
        <v>8</v>
      </c>
      <c r="D3571" s="1">
        <v>198</v>
      </c>
      <c r="E3571" s="1">
        <v>1.5</v>
      </c>
      <c r="F3571" s="1">
        <v>51</v>
      </c>
      <c r="H3571" s="1">
        <v>1</v>
      </c>
      <c r="L3571" s="1">
        <v>1</v>
      </c>
    </row>
    <row r="3572" spans="1:73" x14ac:dyDescent="0.3">
      <c r="A3572" s="1" t="s">
        <v>61</v>
      </c>
      <c r="B3572" s="7">
        <v>40763</v>
      </c>
      <c r="C3572" s="1">
        <v>8</v>
      </c>
      <c r="D3572" s="1">
        <v>198</v>
      </c>
      <c r="E3572" s="1">
        <v>1.5</v>
      </c>
      <c r="F3572" s="1">
        <v>52</v>
      </c>
      <c r="H3572" s="1">
        <v>1</v>
      </c>
      <c r="L3572" s="8">
        <v>1</v>
      </c>
      <c r="M3572" s="8"/>
      <c r="BE3572" s="1">
        <v>1</v>
      </c>
    </row>
    <row r="3573" spans="1:73" x14ac:dyDescent="0.3">
      <c r="A3573" s="1" t="s">
        <v>61</v>
      </c>
      <c r="B3573" s="7">
        <v>40763</v>
      </c>
      <c r="C3573" s="1">
        <v>8</v>
      </c>
      <c r="D3573" s="1">
        <v>198</v>
      </c>
      <c r="E3573" s="1">
        <v>1.5</v>
      </c>
      <c r="F3573" s="1">
        <v>53</v>
      </c>
      <c r="H3573" s="1">
        <v>1</v>
      </c>
      <c r="L3573" s="8">
        <v>1</v>
      </c>
      <c r="M3573" s="8"/>
      <c r="AF3573" s="1">
        <v>1</v>
      </c>
    </row>
    <row r="3574" spans="1:73" x14ac:dyDescent="0.3">
      <c r="A3574" s="1" t="s">
        <v>61</v>
      </c>
      <c r="B3574" s="7">
        <v>40763</v>
      </c>
      <c r="C3574" s="1">
        <v>8</v>
      </c>
      <c r="D3574" s="1">
        <v>198</v>
      </c>
      <c r="E3574" s="1">
        <v>1.5</v>
      </c>
      <c r="F3574" s="1">
        <v>54</v>
      </c>
      <c r="H3574" s="1">
        <v>1</v>
      </c>
      <c r="L3574" s="1">
        <v>1</v>
      </c>
      <c r="AF3574" s="1">
        <v>1</v>
      </c>
    </row>
    <row r="3575" spans="1:73" x14ac:dyDescent="0.3">
      <c r="A3575" s="1" t="s">
        <v>61</v>
      </c>
      <c r="B3575" s="7">
        <v>40763</v>
      </c>
      <c r="C3575" s="1">
        <v>8</v>
      </c>
      <c r="D3575" s="1">
        <v>198</v>
      </c>
      <c r="E3575" s="1">
        <v>1.5</v>
      </c>
      <c r="F3575" s="1">
        <v>55</v>
      </c>
      <c r="H3575" s="1">
        <v>1</v>
      </c>
      <c r="BU3575" s="1">
        <v>1</v>
      </c>
    </row>
    <row r="3576" spans="1:73" x14ac:dyDescent="0.3">
      <c r="A3576" s="1" t="s">
        <v>61</v>
      </c>
      <c r="B3576" s="7">
        <v>40763</v>
      </c>
      <c r="C3576" s="1">
        <v>8</v>
      </c>
      <c r="D3576" s="1">
        <v>198</v>
      </c>
      <c r="E3576" s="1">
        <v>1.5</v>
      </c>
      <c r="F3576" s="1">
        <v>56</v>
      </c>
      <c r="H3576" s="1">
        <v>1</v>
      </c>
      <c r="L3576" s="8">
        <v>1</v>
      </c>
      <c r="M3576" s="8"/>
    </row>
    <row r="3577" spans="1:73" x14ac:dyDescent="0.3">
      <c r="A3577" s="1" t="s">
        <v>61</v>
      </c>
      <c r="B3577" s="7">
        <v>40763</v>
      </c>
      <c r="C3577" s="1">
        <v>8</v>
      </c>
      <c r="D3577" s="1">
        <v>198</v>
      </c>
      <c r="E3577" s="1">
        <v>1.5</v>
      </c>
      <c r="F3577" s="1">
        <v>57</v>
      </c>
      <c r="H3577" s="1">
        <v>1</v>
      </c>
      <c r="L3577" s="1">
        <v>1</v>
      </c>
    </row>
    <row r="3578" spans="1:73" x14ac:dyDescent="0.3">
      <c r="A3578" s="1" t="s">
        <v>61</v>
      </c>
      <c r="B3578" s="7">
        <v>40763</v>
      </c>
      <c r="C3578" s="1">
        <v>8</v>
      </c>
      <c r="D3578" s="1">
        <v>198</v>
      </c>
      <c r="E3578" s="1">
        <v>1.5</v>
      </c>
      <c r="F3578" s="1">
        <v>58</v>
      </c>
      <c r="H3578" s="1">
        <v>1</v>
      </c>
      <c r="R3578" s="1">
        <v>1</v>
      </c>
      <c r="BI3578" s="1">
        <v>1</v>
      </c>
    </row>
    <row r="3579" spans="1:73" x14ac:dyDescent="0.3">
      <c r="A3579" s="1" t="s">
        <v>61</v>
      </c>
      <c r="B3579" s="7">
        <v>40763</v>
      </c>
      <c r="C3579" s="1">
        <v>8</v>
      </c>
      <c r="D3579" s="1">
        <v>198</v>
      </c>
      <c r="E3579" s="1">
        <v>1.5</v>
      </c>
      <c r="F3579" s="1">
        <v>59</v>
      </c>
      <c r="L3579" s="1">
        <v>1</v>
      </c>
    </row>
    <row r="3580" spans="1:73" x14ac:dyDescent="0.3">
      <c r="A3580" s="1" t="s">
        <v>61</v>
      </c>
      <c r="B3580" s="7">
        <v>40763</v>
      </c>
      <c r="C3580" s="1">
        <v>8</v>
      </c>
      <c r="D3580" s="1">
        <v>198</v>
      </c>
      <c r="E3580" s="1">
        <v>1.5</v>
      </c>
      <c r="F3580" s="1">
        <v>60</v>
      </c>
      <c r="H3580" s="1">
        <v>1</v>
      </c>
      <c r="L3580" s="8">
        <v>1</v>
      </c>
      <c r="M3580" s="8"/>
    </row>
    <row r="3581" spans="1:73" x14ac:dyDescent="0.3">
      <c r="A3581" s="1" t="s">
        <v>61</v>
      </c>
      <c r="B3581" s="7">
        <v>40763</v>
      </c>
      <c r="C3581" s="1">
        <v>8</v>
      </c>
      <c r="D3581" s="1">
        <v>198</v>
      </c>
      <c r="E3581" s="1">
        <v>1.5</v>
      </c>
      <c r="F3581" s="1">
        <v>61</v>
      </c>
      <c r="H3581" s="1">
        <v>1</v>
      </c>
      <c r="BI3581" s="1">
        <v>1</v>
      </c>
    </row>
    <row r="3582" spans="1:73" x14ac:dyDescent="0.3">
      <c r="A3582" s="1" t="s">
        <v>61</v>
      </c>
      <c r="B3582" s="7">
        <v>40763</v>
      </c>
      <c r="C3582" s="1">
        <v>8</v>
      </c>
      <c r="D3582" s="1">
        <v>198</v>
      </c>
      <c r="E3582" s="1">
        <v>1.5</v>
      </c>
      <c r="F3582" s="1">
        <v>62</v>
      </c>
      <c r="H3582" s="1">
        <v>1</v>
      </c>
      <c r="L3582" s="8">
        <v>1</v>
      </c>
      <c r="M3582" s="8"/>
    </row>
    <row r="3583" spans="1:73" x14ac:dyDescent="0.3">
      <c r="A3583" s="1" t="s">
        <v>61</v>
      </c>
      <c r="B3583" s="7">
        <v>40763</v>
      </c>
      <c r="C3583" s="1">
        <v>8</v>
      </c>
      <c r="D3583" s="1">
        <v>198</v>
      </c>
      <c r="E3583" s="1">
        <v>1.5</v>
      </c>
      <c r="F3583" s="1">
        <v>63</v>
      </c>
      <c r="H3583" s="1">
        <v>1</v>
      </c>
      <c r="I3583" s="1">
        <v>1</v>
      </c>
      <c r="BI3583" s="1">
        <v>1</v>
      </c>
    </row>
    <row r="3584" spans="1:73" x14ac:dyDescent="0.3">
      <c r="A3584" s="1" t="s">
        <v>61</v>
      </c>
      <c r="B3584" s="7">
        <v>40763</v>
      </c>
      <c r="C3584" s="1">
        <v>8</v>
      </c>
      <c r="D3584" s="1">
        <v>198</v>
      </c>
      <c r="E3584" s="1">
        <v>1.5</v>
      </c>
      <c r="F3584" s="1">
        <v>64</v>
      </c>
      <c r="BI3584" s="3">
        <v>0</v>
      </c>
      <c r="BJ3584" s="3">
        <v>1</v>
      </c>
    </row>
    <row r="3585" spans="1:73" x14ac:dyDescent="0.3">
      <c r="A3585" s="1" t="s">
        <v>61</v>
      </c>
      <c r="B3585" s="7">
        <v>40763</v>
      </c>
      <c r="C3585" s="1">
        <v>8</v>
      </c>
      <c r="D3585" s="1">
        <v>198</v>
      </c>
      <c r="E3585" s="1">
        <v>1.5</v>
      </c>
      <c r="F3585" s="1">
        <v>65</v>
      </c>
      <c r="H3585" s="1">
        <v>1</v>
      </c>
      <c r="L3585" s="1">
        <v>1</v>
      </c>
      <c r="AF3585" s="8">
        <v>1</v>
      </c>
    </row>
    <row r="3586" spans="1:73" x14ac:dyDescent="0.3">
      <c r="A3586" s="1" t="s">
        <v>61</v>
      </c>
      <c r="B3586" s="7">
        <v>40763</v>
      </c>
      <c r="C3586" s="1">
        <v>8</v>
      </c>
      <c r="D3586" s="1">
        <v>198</v>
      </c>
      <c r="E3586" s="1">
        <v>1.5</v>
      </c>
      <c r="F3586" s="1">
        <v>66</v>
      </c>
      <c r="H3586" s="1">
        <v>1</v>
      </c>
      <c r="Y3586" s="1">
        <v>1</v>
      </c>
      <c r="BE3586" s="1">
        <v>1</v>
      </c>
      <c r="BI3586" s="1">
        <v>1</v>
      </c>
    </row>
    <row r="3587" spans="1:73" x14ac:dyDescent="0.3">
      <c r="A3587" s="1" t="s">
        <v>61</v>
      </c>
      <c r="B3587" s="7">
        <v>40763</v>
      </c>
      <c r="C3587" s="1">
        <v>8</v>
      </c>
      <c r="D3587" s="1">
        <v>198</v>
      </c>
      <c r="E3587" s="1">
        <v>1.5</v>
      </c>
      <c r="F3587" s="1">
        <v>67</v>
      </c>
      <c r="H3587" s="1">
        <v>1</v>
      </c>
      <c r="L3587" s="1">
        <v>1</v>
      </c>
    </row>
    <row r="3588" spans="1:73" x14ac:dyDescent="0.3">
      <c r="A3588" s="1" t="s">
        <v>61</v>
      </c>
      <c r="B3588" s="7">
        <v>40763</v>
      </c>
      <c r="C3588" s="1">
        <v>8</v>
      </c>
      <c r="D3588" s="1">
        <v>198</v>
      </c>
      <c r="E3588" s="1">
        <v>1.5</v>
      </c>
      <c r="F3588" s="1">
        <v>68</v>
      </c>
      <c r="BU3588" s="1">
        <v>1</v>
      </c>
    </row>
    <row r="3589" spans="1:73" x14ac:dyDescent="0.3">
      <c r="A3589" s="1" t="s">
        <v>61</v>
      </c>
      <c r="B3589" s="7">
        <v>40763</v>
      </c>
      <c r="C3589" s="1">
        <v>8</v>
      </c>
      <c r="D3589" s="1">
        <v>198</v>
      </c>
      <c r="E3589" s="1">
        <v>1.5</v>
      </c>
      <c r="F3589" s="1">
        <v>69</v>
      </c>
      <c r="H3589" s="1">
        <v>1</v>
      </c>
      <c r="R3589" s="1">
        <v>1</v>
      </c>
      <c r="V3589" s="1">
        <v>1</v>
      </c>
    </row>
    <row r="3590" spans="1:73" x14ac:dyDescent="0.3">
      <c r="A3590" s="1" t="s">
        <v>61</v>
      </c>
      <c r="B3590" s="7">
        <v>40763</v>
      </c>
      <c r="C3590" s="1">
        <v>8</v>
      </c>
      <c r="D3590" s="1">
        <v>198</v>
      </c>
      <c r="E3590" s="1">
        <v>1.5</v>
      </c>
      <c r="F3590" s="1">
        <v>70</v>
      </c>
      <c r="H3590" s="1">
        <v>1</v>
      </c>
      <c r="L3590" s="8">
        <v>1</v>
      </c>
      <c r="M3590" s="8"/>
    </row>
    <row r="3591" spans="1:73" x14ac:dyDescent="0.3">
      <c r="A3591" s="1" t="s">
        <v>61</v>
      </c>
      <c r="B3591" s="7">
        <v>40763</v>
      </c>
      <c r="C3591" s="1">
        <v>8</v>
      </c>
      <c r="D3591" s="1">
        <v>198</v>
      </c>
      <c r="E3591" s="1">
        <v>1.5</v>
      </c>
      <c r="F3591" s="1">
        <v>71</v>
      </c>
      <c r="H3591" s="1">
        <v>1</v>
      </c>
      <c r="BE3591" s="1">
        <v>1</v>
      </c>
      <c r="BU3591" s="1">
        <v>1</v>
      </c>
    </row>
    <row r="3592" spans="1:73" x14ac:dyDescent="0.3">
      <c r="A3592" s="1" t="s">
        <v>61</v>
      </c>
      <c r="B3592" s="7">
        <v>40763</v>
      </c>
      <c r="C3592" s="1">
        <v>8</v>
      </c>
      <c r="D3592" s="1">
        <v>198</v>
      </c>
      <c r="E3592" s="1">
        <v>1.5</v>
      </c>
      <c r="F3592" s="1">
        <v>72</v>
      </c>
      <c r="H3592" s="1">
        <v>1</v>
      </c>
      <c r="L3592" s="1">
        <v>1</v>
      </c>
      <c r="R3592" s="1">
        <v>1</v>
      </c>
      <c r="AF3592" s="1">
        <v>1</v>
      </c>
    </row>
    <row r="3593" spans="1:73" x14ac:dyDescent="0.3">
      <c r="A3593" s="1" t="s">
        <v>61</v>
      </c>
      <c r="B3593" s="7">
        <v>40763</v>
      </c>
      <c r="C3593" s="1">
        <v>8</v>
      </c>
      <c r="D3593" s="1">
        <v>198</v>
      </c>
      <c r="E3593" s="1">
        <v>1.5</v>
      </c>
      <c r="F3593" s="1">
        <v>73</v>
      </c>
      <c r="H3593" s="1">
        <v>1</v>
      </c>
      <c r="L3593" s="8">
        <v>1</v>
      </c>
      <c r="M3593" s="8"/>
    </row>
    <row r="3594" spans="1:73" x14ac:dyDescent="0.3">
      <c r="A3594" s="1" t="s">
        <v>61</v>
      </c>
      <c r="B3594" s="7">
        <v>40763</v>
      </c>
      <c r="C3594" s="1">
        <v>8</v>
      </c>
      <c r="D3594" s="1">
        <v>198</v>
      </c>
      <c r="E3594" s="1">
        <v>1.5</v>
      </c>
      <c r="F3594" s="1">
        <v>74</v>
      </c>
      <c r="H3594" s="1">
        <v>1</v>
      </c>
      <c r="AF3594" s="1">
        <v>1</v>
      </c>
    </row>
    <row r="3595" spans="1:73" x14ac:dyDescent="0.3">
      <c r="A3595" s="1" t="s">
        <v>61</v>
      </c>
      <c r="B3595" s="7">
        <v>40763</v>
      </c>
      <c r="C3595" s="1">
        <v>8</v>
      </c>
      <c r="D3595" s="1">
        <v>198</v>
      </c>
      <c r="E3595" s="1">
        <v>1.5</v>
      </c>
      <c r="F3595" s="1">
        <v>75</v>
      </c>
      <c r="H3595" s="1">
        <v>1</v>
      </c>
      <c r="L3595" s="8">
        <v>1</v>
      </c>
      <c r="M3595" s="8"/>
      <c r="R3595" s="3">
        <v>0</v>
      </c>
      <c r="S3595" s="3">
        <v>1</v>
      </c>
    </row>
    <row r="3596" spans="1:73" x14ac:dyDescent="0.3">
      <c r="A3596" s="1" t="s">
        <v>61</v>
      </c>
      <c r="B3596" s="7">
        <v>40763</v>
      </c>
      <c r="C3596" s="1">
        <v>8</v>
      </c>
      <c r="D3596" s="1">
        <v>198</v>
      </c>
      <c r="E3596" s="1">
        <v>1.5</v>
      </c>
      <c r="F3596" s="1">
        <v>76</v>
      </c>
      <c r="H3596" s="1">
        <v>1</v>
      </c>
      <c r="R3596" s="1">
        <v>1</v>
      </c>
      <c r="AF3596" s="1">
        <v>1</v>
      </c>
    </row>
    <row r="3597" spans="1:73" x14ac:dyDescent="0.3">
      <c r="A3597" s="1" t="s">
        <v>61</v>
      </c>
      <c r="B3597" s="7">
        <v>40763</v>
      </c>
      <c r="C3597" s="1">
        <v>8</v>
      </c>
      <c r="D3597" s="1">
        <v>198</v>
      </c>
      <c r="E3597" s="1">
        <v>1.5</v>
      </c>
      <c r="F3597" s="1">
        <v>77</v>
      </c>
      <c r="H3597" s="1">
        <v>1</v>
      </c>
      <c r="L3597" s="8">
        <v>1</v>
      </c>
      <c r="M3597" s="8"/>
      <c r="AF3597" s="1">
        <v>1</v>
      </c>
    </row>
    <row r="3598" spans="1:73" x14ac:dyDescent="0.3">
      <c r="A3598" s="1" t="s">
        <v>61</v>
      </c>
      <c r="B3598" s="7">
        <v>40763</v>
      </c>
      <c r="C3598" s="1">
        <v>8</v>
      </c>
      <c r="D3598" s="1">
        <v>198</v>
      </c>
      <c r="E3598" s="1">
        <v>1.5</v>
      </c>
      <c r="F3598" s="1">
        <v>78</v>
      </c>
      <c r="I3598" s="1">
        <v>1</v>
      </c>
      <c r="L3598" s="1">
        <v>1</v>
      </c>
      <c r="R3598" s="1">
        <v>1</v>
      </c>
    </row>
    <row r="3599" spans="1:73" x14ac:dyDescent="0.3">
      <c r="A3599" s="1" t="s">
        <v>61</v>
      </c>
      <c r="B3599" s="7">
        <v>40763</v>
      </c>
      <c r="C3599" s="1">
        <v>8</v>
      </c>
      <c r="D3599" s="1">
        <v>198</v>
      </c>
      <c r="E3599" s="1">
        <v>1.5</v>
      </c>
      <c r="F3599" s="1">
        <v>79</v>
      </c>
      <c r="H3599" s="1">
        <v>1</v>
      </c>
      <c r="V3599" s="1">
        <v>1</v>
      </c>
      <c r="BC3599" s="1">
        <v>1</v>
      </c>
    </row>
    <row r="3600" spans="1:73" x14ac:dyDescent="0.3">
      <c r="A3600" s="1" t="s">
        <v>61</v>
      </c>
      <c r="B3600" s="7">
        <v>40763</v>
      </c>
      <c r="C3600" s="1">
        <v>8</v>
      </c>
      <c r="D3600" s="1">
        <v>198</v>
      </c>
      <c r="E3600" s="1">
        <v>1.5</v>
      </c>
      <c r="F3600" s="1">
        <v>80</v>
      </c>
      <c r="H3600" s="1">
        <v>1</v>
      </c>
      <c r="R3600" s="1">
        <v>1</v>
      </c>
    </row>
    <row r="3601" spans="1:62" x14ac:dyDescent="0.3">
      <c r="A3601" s="1" t="s">
        <v>61</v>
      </c>
      <c r="B3601" s="7">
        <v>40763</v>
      </c>
      <c r="C3601" s="1">
        <v>8</v>
      </c>
      <c r="D3601" s="1">
        <v>198</v>
      </c>
      <c r="E3601" s="1">
        <v>1.5</v>
      </c>
      <c r="F3601" s="1">
        <v>81</v>
      </c>
      <c r="H3601" s="1">
        <v>1</v>
      </c>
      <c r="L3601" s="1">
        <v>1</v>
      </c>
    </row>
    <row r="3602" spans="1:62" x14ac:dyDescent="0.3">
      <c r="A3602" s="1" t="s">
        <v>61</v>
      </c>
      <c r="B3602" s="7">
        <v>40763</v>
      </c>
      <c r="C3602" s="1">
        <v>8</v>
      </c>
      <c r="D3602" s="1">
        <v>198</v>
      </c>
      <c r="E3602" s="1">
        <v>1.5</v>
      </c>
      <c r="F3602" s="1">
        <v>82</v>
      </c>
      <c r="H3602" s="1">
        <v>1</v>
      </c>
      <c r="BI3602" s="8">
        <v>1</v>
      </c>
      <c r="BJ3602" s="8"/>
    </row>
    <row r="3603" spans="1:62" x14ac:dyDescent="0.3">
      <c r="A3603" s="1" t="s">
        <v>61</v>
      </c>
      <c r="B3603" s="7">
        <v>40763</v>
      </c>
      <c r="C3603" s="1">
        <v>8</v>
      </c>
      <c r="D3603" s="1">
        <v>198</v>
      </c>
      <c r="E3603" s="1">
        <v>1.5</v>
      </c>
      <c r="F3603" s="1">
        <v>83</v>
      </c>
      <c r="H3603" s="1">
        <v>1</v>
      </c>
      <c r="L3603" s="1">
        <v>1</v>
      </c>
      <c r="BI3603" s="1">
        <v>1</v>
      </c>
    </row>
    <row r="3604" spans="1:62" x14ac:dyDescent="0.3">
      <c r="A3604" s="1" t="s">
        <v>61</v>
      </c>
      <c r="B3604" s="7">
        <v>40763</v>
      </c>
      <c r="C3604" s="1">
        <v>8</v>
      </c>
      <c r="D3604" s="1">
        <v>198</v>
      </c>
      <c r="E3604" s="1">
        <v>1.5</v>
      </c>
      <c r="F3604" s="1">
        <v>84</v>
      </c>
      <c r="H3604" s="1">
        <v>1</v>
      </c>
      <c r="L3604" s="8">
        <v>1</v>
      </c>
      <c r="M3604" s="8"/>
      <c r="BI3604" s="1">
        <v>1</v>
      </c>
    </row>
    <row r="3605" spans="1:62" x14ac:dyDescent="0.3">
      <c r="A3605" s="1" t="s">
        <v>61</v>
      </c>
      <c r="B3605" s="7">
        <v>40763</v>
      </c>
      <c r="C3605" s="1">
        <v>8</v>
      </c>
      <c r="D3605" s="1">
        <v>198</v>
      </c>
      <c r="E3605" s="1">
        <v>1.5</v>
      </c>
      <c r="F3605" s="1">
        <v>85</v>
      </c>
      <c r="H3605" s="1">
        <v>1</v>
      </c>
      <c r="R3605" s="1">
        <v>1</v>
      </c>
      <c r="BI3605" s="3">
        <v>0</v>
      </c>
      <c r="BJ3605" s="3">
        <v>1</v>
      </c>
    </row>
    <row r="3606" spans="1:62" x14ac:dyDescent="0.3">
      <c r="A3606" s="1" t="s">
        <v>61</v>
      </c>
      <c r="B3606" s="7">
        <v>40763</v>
      </c>
      <c r="C3606" s="1">
        <v>8</v>
      </c>
      <c r="D3606" s="1">
        <v>198</v>
      </c>
      <c r="E3606" s="1">
        <v>1.5</v>
      </c>
      <c r="F3606" s="1">
        <v>86</v>
      </c>
      <c r="H3606" s="1">
        <v>1</v>
      </c>
      <c r="L3606" s="1">
        <v>1</v>
      </c>
    </row>
    <row r="3607" spans="1:62" x14ac:dyDescent="0.3">
      <c r="A3607" s="1" t="s">
        <v>61</v>
      </c>
      <c r="B3607" s="7">
        <v>40763</v>
      </c>
      <c r="C3607" s="1">
        <v>8</v>
      </c>
      <c r="D3607" s="1">
        <v>198</v>
      </c>
      <c r="E3607" s="1">
        <v>1.5</v>
      </c>
      <c r="F3607" s="1">
        <v>87</v>
      </c>
      <c r="H3607" s="1">
        <v>1</v>
      </c>
      <c r="L3607" s="1">
        <v>1</v>
      </c>
    </row>
    <row r="3608" spans="1:62" x14ac:dyDescent="0.3">
      <c r="A3608" s="1" t="s">
        <v>61</v>
      </c>
      <c r="B3608" s="7">
        <v>40763</v>
      </c>
      <c r="C3608" s="1">
        <v>8</v>
      </c>
      <c r="D3608" s="1">
        <v>198</v>
      </c>
      <c r="E3608" s="1">
        <v>1.5</v>
      </c>
      <c r="F3608" s="1">
        <v>88</v>
      </c>
      <c r="L3608" s="8">
        <v>1</v>
      </c>
      <c r="M3608" s="8"/>
      <c r="R3608" s="1">
        <v>1</v>
      </c>
    </row>
    <row r="3609" spans="1:62" x14ac:dyDescent="0.3">
      <c r="A3609" s="1" t="s">
        <v>61</v>
      </c>
      <c r="B3609" s="7">
        <v>40763</v>
      </c>
      <c r="C3609" s="1">
        <v>8</v>
      </c>
      <c r="D3609" s="1">
        <v>198</v>
      </c>
      <c r="E3609" s="1">
        <v>1.5</v>
      </c>
      <c r="F3609" s="1">
        <v>89</v>
      </c>
      <c r="H3609" s="1">
        <v>1</v>
      </c>
      <c r="I3609" s="1">
        <v>1</v>
      </c>
      <c r="L3609" s="3">
        <v>0</v>
      </c>
      <c r="M3609" s="3">
        <v>1</v>
      </c>
    </row>
    <row r="3610" spans="1:62" x14ac:dyDescent="0.3">
      <c r="A3610" s="1" t="s">
        <v>61</v>
      </c>
      <c r="B3610" s="7">
        <v>40763</v>
      </c>
      <c r="C3610" s="1">
        <v>8</v>
      </c>
      <c r="D3610" s="1">
        <v>198</v>
      </c>
      <c r="E3610" s="1">
        <v>1.5</v>
      </c>
      <c r="F3610" s="1">
        <v>90</v>
      </c>
      <c r="H3610" s="1">
        <v>1</v>
      </c>
      <c r="L3610" s="1">
        <v>1</v>
      </c>
      <c r="BC3610" s="1">
        <v>1</v>
      </c>
    </row>
    <row r="3611" spans="1:62" x14ac:dyDescent="0.3">
      <c r="A3611" s="1" t="s">
        <v>61</v>
      </c>
      <c r="B3611" s="7">
        <v>40763</v>
      </c>
      <c r="C3611" s="1">
        <v>8</v>
      </c>
      <c r="D3611" s="1">
        <v>198</v>
      </c>
      <c r="E3611" s="1">
        <v>1.5</v>
      </c>
      <c r="F3611" s="1">
        <v>91</v>
      </c>
      <c r="H3611" s="1">
        <v>1</v>
      </c>
      <c r="AF3611" s="1">
        <v>1</v>
      </c>
    </row>
    <row r="3612" spans="1:62" x14ac:dyDescent="0.3">
      <c r="A3612" s="1" t="s">
        <v>61</v>
      </c>
      <c r="B3612" s="7">
        <v>40763</v>
      </c>
      <c r="C3612" s="1">
        <v>8</v>
      </c>
      <c r="D3612" s="1">
        <v>198</v>
      </c>
      <c r="E3612" s="1">
        <v>1.5</v>
      </c>
      <c r="F3612" s="1">
        <v>92</v>
      </c>
      <c r="H3612" s="1">
        <v>1</v>
      </c>
    </row>
    <row r="3613" spans="1:62" x14ac:dyDescent="0.3">
      <c r="A3613" s="1" t="s">
        <v>61</v>
      </c>
      <c r="B3613" s="7">
        <v>40763</v>
      </c>
      <c r="C3613" s="1">
        <v>8</v>
      </c>
      <c r="D3613" s="1">
        <v>198</v>
      </c>
      <c r="E3613" s="1">
        <v>1.5</v>
      </c>
      <c r="F3613" s="1">
        <v>93</v>
      </c>
      <c r="H3613" s="1">
        <v>1</v>
      </c>
      <c r="AF3613" s="8">
        <v>1</v>
      </c>
    </row>
    <row r="3614" spans="1:62" x14ac:dyDescent="0.3">
      <c r="A3614" s="1" t="s">
        <v>61</v>
      </c>
      <c r="B3614" s="7">
        <v>40763</v>
      </c>
      <c r="C3614" s="1">
        <v>8</v>
      </c>
      <c r="D3614" s="1">
        <v>198</v>
      </c>
      <c r="E3614" s="1">
        <v>1.5</v>
      </c>
      <c r="F3614" s="1">
        <v>94</v>
      </c>
      <c r="H3614" s="1">
        <v>1</v>
      </c>
      <c r="L3614" s="1">
        <v>1</v>
      </c>
      <c r="AF3614" s="1">
        <v>1</v>
      </c>
    </row>
    <row r="3615" spans="1:62" x14ac:dyDescent="0.3">
      <c r="A3615" s="1" t="s">
        <v>61</v>
      </c>
      <c r="B3615" s="7">
        <v>40763</v>
      </c>
      <c r="C3615" s="1">
        <v>8</v>
      </c>
      <c r="D3615" s="1">
        <v>198</v>
      </c>
      <c r="E3615" s="1">
        <v>1.5</v>
      </c>
      <c r="F3615" s="1">
        <v>95</v>
      </c>
      <c r="H3615" s="1">
        <v>1</v>
      </c>
      <c r="AF3615" s="1">
        <v>1</v>
      </c>
      <c r="BI3615" s="1">
        <v>1</v>
      </c>
    </row>
    <row r="3616" spans="1:62" x14ac:dyDescent="0.3">
      <c r="A3616" s="1" t="s">
        <v>61</v>
      </c>
      <c r="B3616" s="7">
        <v>40763</v>
      </c>
      <c r="C3616" s="1">
        <v>8</v>
      </c>
      <c r="D3616" s="1">
        <v>198</v>
      </c>
      <c r="E3616" s="1">
        <v>1.5</v>
      </c>
      <c r="F3616" s="1">
        <v>96</v>
      </c>
      <c r="H3616" s="1">
        <v>1</v>
      </c>
      <c r="L3616" s="1">
        <v>1</v>
      </c>
      <c r="BC3616" s="1">
        <v>1</v>
      </c>
    </row>
    <row r="3617" spans="1:61" x14ac:dyDescent="0.3">
      <c r="A3617" s="1" t="s">
        <v>61</v>
      </c>
      <c r="B3617" s="7">
        <v>40763</v>
      </c>
      <c r="C3617" s="1">
        <v>8</v>
      </c>
      <c r="D3617" s="1">
        <v>198</v>
      </c>
      <c r="E3617" s="1">
        <v>1.5</v>
      </c>
      <c r="F3617" s="1">
        <v>97</v>
      </c>
      <c r="L3617" s="8">
        <v>1</v>
      </c>
      <c r="M3617" s="8"/>
      <c r="BC3617" s="1">
        <v>1</v>
      </c>
      <c r="BI3617" s="1">
        <v>1</v>
      </c>
    </row>
    <row r="3618" spans="1:61" x14ac:dyDescent="0.3">
      <c r="A3618" s="1" t="s">
        <v>61</v>
      </c>
      <c r="B3618" s="7">
        <v>40763</v>
      </c>
      <c r="C3618" s="1">
        <v>8</v>
      </c>
      <c r="D3618" s="1">
        <v>198</v>
      </c>
      <c r="E3618" s="1">
        <v>1.5</v>
      </c>
      <c r="F3618" s="1">
        <v>98</v>
      </c>
      <c r="N3618" s="8">
        <v>1</v>
      </c>
      <c r="O3618" s="8"/>
      <c r="AB3618" s="1">
        <v>1</v>
      </c>
      <c r="AF3618" s="1">
        <v>1</v>
      </c>
    </row>
    <row r="3619" spans="1:61" x14ac:dyDescent="0.3">
      <c r="A3619" s="1" t="s">
        <v>61</v>
      </c>
      <c r="B3619" s="7">
        <v>40763</v>
      </c>
      <c r="C3619" s="1">
        <v>8</v>
      </c>
      <c r="D3619" s="1">
        <v>198</v>
      </c>
      <c r="E3619" s="1">
        <v>1.5</v>
      </c>
      <c r="F3619" s="1">
        <v>99</v>
      </c>
      <c r="H3619" s="1">
        <v>1</v>
      </c>
      <c r="AF3619" s="1">
        <v>1</v>
      </c>
    </row>
    <row r="3620" spans="1:61" x14ac:dyDescent="0.3">
      <c r="A3620" s="1" t="s">
        <v>61</v>
      </c>
      <c r="B3620" s="7">
        <v>40763</v>
      </c>
      <c r="C3620" s="1">
        <v>8</v>
      </c>
      <c r="D3620" s="1">
        <v>198</v>
      </c>
      <c r="E3620" s="1">
        <v>1.5</v>
      </c>
      <c r="F3620" s="1">
        <v>100</v>
      </c>
      <c r="H3620" s="1">
        <v>1</v>
      </c>
      <c r="L3620" s="8">
        <v>1</v>
      </c>
      <c r="M3620" s="8"/>
    </row>
    <row r="3621" spans="1:61" x14ac:dyDescent="0.3">
      <c r="A3621" s="1" t="s">
        <v>61</v>
      </c>
      <c r="B3621" s="7">
        <v>40763</v>
      </c>
      <c r="C3621" s="1">
        <v>9</v>
      </c>
      <c r="D3621" s="1">
        <v>170</v>
      </c>
      <c r="E3621" s="1">
        <v>0.5</v>
      </c>
      <c r="F3621" s="1">
        <v>1</v>
      </c>
      <c r="J3621" s="3">
        <v>0</v>
      </c>
      <c r="K3621" s="3">
        <v>1</v>
      </c>
    </row>
    <row r="3622" spans="1:61" x14ac:dyDescent="0.3">
      <c r="A3622" s="1" t="s">
        <v>61</v>
      </c>
      <c r="B3622" s="7">
        <v>40763</v>
      </c>
      <c r="C3622" s="1">
        <v>9</v>
      </c>
      <c r="D3622" s="1">
        <v>170</v>
      </c>
      <c r="E3622" s="1">
        <v>0.5</v>
      </c>
      <c r="F3622" s="1">
        <v>2</v>
      </c>
      <c r="I3622" s="1">
        <v>1</v>
      </c>
      <c r="J3622" s="1">
        <v>1</v>
      </c>
    </row>
    <row r="3623" spans="1:61" x14ac:dyDescent="0.3">
      <c r="A3623" s="1" t="s">
        <v>61</v>
      </c>
      <c r="B3623" s="7">
        <v>40763</v>
      </c>
      <c r="C3623" s="1">
        <v>9</v>
      </c>
      <c r="D3623" s="1">
        <v>170</v>
      </c>
      <c r="E3623" s="1">
        <v>0.5</v>
      </c>
      <c r="F3623" s="1">
        <v>3</v>
      </c>
      <c r="H3623" s="1">
        <v>1</v>
      </c>
    </row>
    <row r="3624" spans="1:61" x14ac:dyDescent="0.3">
      <c r="A3624" s="1" t="s">
        <v>61</v>
      </c>
      <c r="B3624" s="7">
        <v>40763</v>
      </c>
      <c r="C3624" s="1">
        <v>9</v>
      </c>
      <c r="D3624" s="1">
        <v>170</v>
      </c>
      <c r="E3624" s="1">
        <v>0.5</v>
      </c>
      <c r="F3624" s="1">
        <v>4</v>
      </c>
      <c r="J3624" s="1">
        <v>1</v>
      </c>
    </row>
    <row r="3625" spans="1:61" x14ac:dyDescent="0.3">
      <c r="A3625" s="1" t="s">
        <v>61</v>
      </c>
      <c r="B3625" s="7">
        <v>40763</v>
      </c>
      <c r="C3625" s="1">
        <v>9</v>
      </c>
      <c r="D3625" s="1">
        <v>170</v>
      </c>
      <c r="E3625" s="1">
        <v>0.5</v>
      </c>
      <c r="F3625" s="1">
        <v>5</v>
      </c>
      <c r="J3625" s="1">
        <v>1</v>
      </c>
      <c r="L3625" s="1">
        <v>1</v>
      </c>
    </row>
    <row r="3626" spans="1:61" x14ac:dyDescent="0.3">
      <c r="A3626" s="1" t="s">
        <v>61</v>
      </c>
      <c r="B3626" s="7">
        <v>40763</v>
      </c>
      <c r="C3626" s="1">
        <v>9</v>
      </c>
      <c r="D3626" s="1">
        <v>170</v>
      </c>
      <c r="E3626" s="1">
        <v>0.5</v>
      </c>
      <c r="F3626" s="1">
        <v>6</v>
      </c>
      <c r="H3626" s="1">
        <v>1</v>
      </c>
    </row>
    <row r="3627" spans="1:61" x14ac:dyDescent="0.3">
      <c r="A3627" s="1" t="s">
        <v>61</v>
      </c>
      <c r="B3627" s="7">
        <v>40763</v>
      </c>
      <c r="C3627" s="1">
        <v>9</v>
      </c>
      <c r="D3627" s="1">
        <v>170</v>
      </c>
      <c r="E3627" s="1">
        <v>0.5</v>
      </c>
      <c r="F3627" s="1">
        <v>7</v>
      </c>
      <c r="L3627" s="8">
        <v>1</v>
      </c>
      <c r="M3627" s="8"/>
    </row>
    <row r="3628" spans="1:61" x14ac:dyDescent="0.3">
      <c r="A3628" s="1" t="s">
        <v>61</v>
      </c>
      <c r="B3628" s="7">
        <v>40763</v>
      </c>
      <c r="C3628" s="1">
        <v>9</v>
      </c>
      <c r="D3628" s="1">
        <v>170</v>
      </c>
      <c r="E3628" s="1">
        <v>0.5</v>
      </c>
      <c r="F3628" s="1">
        <v>8</v>
      </c>
      <c r="J3628" s="1">
        <v>1</v>
      </c>
    </row>
    <row r="3629" spans="1:61" x14ac:dyDescent="0.3">
      <c r="A3629" s="1" t="s">
        <v>61</v>
      </c>
      <c r="B3629" s="7">
        <v>40763</v>
      </c>
      <c r="C3629" s="1">
        <v>9</v>
      </c>
      <c r="D3629" s="1">
        <v>170</v>
      </c>
      <c r="E3629" s="1">
        <v>0.5</v>
      </c>
      <c r="F3629" s="1">
        <v>9</v>
      </c>
    </row>
    <row r="3630" spans="1:61" x14ac:dyDescent="0.3">
      <c r="A3630" s="1" t="s">
        <v>61</v>
      </c>
      <c r="B3630" s="7">
        <v>40763</v>
      </c>
      <c r="C3630" s="1">
        <v>9</v>
      </c>
      <c r="D3630" s="1">
        <v>170</v>
      </c>
      <c r="E3630" s="1">
        <v>0.5</v>
      </c>
      <c r="F3630" s="1">
        <v>10</v>
      </c>
    </row>
    <row r="3631" spans="1:61" x14ac:dyDescent="0.3">
      <c r="A3631" s="1" t="s">
        <v>61</v>
      </c>
      <c r="B3631" s="7">
        <v>40763</v>
      </c>
      <c r="C3631" s="1">
        <v>9</v>
      </c>
      <c r="D3631" s="1">
        <v>170</v>
      </c>
      <c r="E3631" s="1">
        <v>0.5</v>
      </c>
      <c r="F3631" s="1">
        <v>11</v>
      </c>
      <c r="I3631" s="1">
        <v>1</v>
      </c>
      <c r="J3631" s="1">
        <v>1</v>
      </c>
    </row>
    <row r="3632" spans="1:61" x14ac:dyDescent="0.3">
      <c r="A3632" s="1" t="s">
        <v>61</v>
      </c>
      <c r="B3632" s="7">
        <v>40763</v>
      </c>
      <c r="C3632" s="1">
        <v>9</v>
      </c>
      <c r="D3632" s="1">
        <v>170</v>
      </c>
      <c r="E3632" s="1">
        <v>0.5</v>
      </c>
      <c r="F3632" s="1">
        <v>12</v>
      </c>
      <c r="J3632" s="1">
        <v>1</v>
      </c>
      <c r="L3632" s="1">
        <v>1</v>
      </c>
    </row>
    <row r="3633" spans="1:41" x14ac:dyDescent="0.3">
      <c r="A3633" s="1" t="s">
        <v>61</v>
      </c>
      <c r="B3633" s="7">
        <v>40763</v>
      </c>
      <c r="C3633" s="1">
        <v>9</v>
      </c>
      <c r="D3633" s="1">
        <v>170</v>
      </c>
      <c r="E3633" s="1">
        <v>0.5</v>
      </c>
      <c r="F3633" s="1">
        <v>13</v>
      </c>
      <c r="H3633" s="1">
        <v>1</v>
      </c>
      <c r="J3633" s="1">
        <v>1</v>
      </c>
    </row>
    <row r="3634" spans="1:41" x14ac:dyDescent="0.3">
      <c r="A3634" s="1" t="s">
        <v>61</v>
      </c>
      <c r="B3634" s="7">
        <v>40763</v>
      </c>
      <c r="C3634" s="1">
        <v>9</v>
      </c>
      <c r="D3634" s="1">
        <v>170</v>
      </c>
      <c r="E3634" s="1">
        <v>0.5</v>
      </c>
      <c r="F3634" s="1">
        <v>14</v>
      </c>
      <c r="J3634" s="1">
        <v>1</v>
      </c>
    </row>
    <row r="3635" spans="1:41" x14ac:dyDescent="0.3">
      <c r="A3635" s="1" t="s">
        <v>61</v>
      </c>
      <c r="B3635" s="7">
        <v>40763</v>
      </c>
      <c r="C3635" s="1">
        <v>9</v>
      </c>
      <c r="D3635" s="1">
        <v>170</v>
      </c>
      <c r="E3635" s="1">
        <v>0.5</v>
      </c>
      <c r="F3635" s="1">
        <v>15</v>
      </c>
      <c r="H3635" s="1">
        <v>1</v>
      </c>
      <c r="J3635" s="1">
        <v>1</v>
      </c>
    </row>
    <row r="3636" spans="1:41" x14ac:dyDescent="0.3">
      <c r="A3636" s="1" t="s">
        <v>61</v>
      </c>
      <c r="B3636" s="7">
        <v>40763</v>
      </c>
      <c r="C3636" s="1">
        <v>9</v>
      </c>
      <c r="D3636" s="1">
        <v>170</v>
      </c>
      <c r="E3636" s="1">
        <v>0.5</v>
      </c>
      <c r="F3636" s="1">
        <v>16</v>
      </c>
      <c r="H3636" s="1">
        <v>1</v>
      </c>
    </row>
    <row r="3637" spans="1:41" x14ac:dyDescent="0.3">
      <c r="A3637" s="1" t="s">
        <v>61</v>
      </c>
      <c r="B3637" s="7">
        <v>40763</v>
      </c>
      <c r="C3637" s="1">
        <v>9</v>
      </c>
      <c r="D3637" s="1">
        <v>170</v>
      </c>
      <c r="E3637" s="1">
        <v>0.5</v>
      </c>
      <c r="F3637" s="1">
        <v>17</v>
      </c>
      <c r="J3637" s="1">
        <v>1</v>
      </c>
    </row>
    <row r="3638" spans="1:41" x14ac:dyDescent="0.3">
      <c r="A3638" s="1" t="s">
        <v>61</v>
      </c>
      <c r="B3638" s="7">
        <v>40763</v>
      </c>
      <c r="C3638" s="1">
        <v>9</v>
      </c>
      <c r="D3638" s="1">
        <v>170</v>
      </c>
      <c r="E3638" s="1">
        <v>0.5</v>
      </c>
      <c r="F3638" s="1">
        <v>18</v>
      </c>
      <c r="J3638" s="1">
        <v>1</v>
      </c>
    </row>
    <row r="3639" spans="1:41" x14ac:dyDescent="0.3">
      <c r="A3639" s="1" t="s">
        <v>61</v>
      </c>
      <c r="B3639" s="7">
        <v>40763</v>
      </c>
      <c r="C3639" s="1">
        <v>9</v>
      </c>
      <c r="D3639" s="1">
        <v>170</v>
      </c>
      <c r="E3639" s="1">
        <v>0.5</v>
      </c>
      <c r="F3639" s="1">
        <v>19</v>
      </c>
      <c r="L3639" s="1">
        <v>1</v>
      </c>
    </row>
    <row r="3640" spans="1:41" x14ac:dyDescent="0.3">
      <c r="A3640" s="1" t="s">
        <v>61</v>
      </c>
      <c r="B3640" s="7">
        <v>40763</v>
      </c>
      <c r="C3640" s="1">
        <v>9</v>
      </c>
      <c r="D3640" s="1">
        <v>170</v>
      </c>
      <c r="E3640" s="1">
        <v>0.5</v>
      </c>
      <c r="F3640" s="1">
        <v>20</v>
      </c>
    </row>
    <row r="3641" spans="1:41" x14ac:dyDescent="0.3">
      <c r="A3641" s="1" t="s">
        <v>61</v>
      </c>
      <c r="B3641" s="7">
        <v>40763</v>
      </c>
      <c r="C3641" s="1">
        <v>9</v>
      </c>
      <c r="D3641" s="1">
        <v>170</v>
      </c>
      <c r="E3641" s="1">
        <v>0.5</v>
      </c>
      <c r="F3641" s="1">
        <v>21</v>
      </c>
      <c r="J3641" s="1">
        <v>1</v>
      </c>
    </row>
    <row r="3642" spans="1:41" x14ac:dyDescent="0.3">
      <c r="A3642" s="1" t="s">
        <v>61</v>
      </c>
      <c r="B3642" s="7">
        <v>40763</v>
      </c>
      <c r="C3642" s="1">
        <v>9</v>
      </c>
      <c r="D3642" s="1">
        <v>170</v>
      </c>
      <c r="E3642" s="1">
        <v>0.5</v>
      </c>
      <c r="F3642" s="1">
        <v>22</v>
      </c>
      <c r="J3642" s="3">
        <v>0</v>
      </c>
      <c r="K3642" s="3">
        <v>1</v>
      </c>
      <c r="AO3642" s="1">
        <v>1</v>
      </c>
    </row>
    <row r="3643" spans="1:41" x14ac:dyDescent="0.3">
      <c r="A3643" s="1" t="s">
        <v>61</v>
      </c>
      <c r="B3643" s="7">
        <v>40763</v>
      </c>
      <c r="C3643" s="1">
        <v>9</v>
      </c>
      <c r="D3643" s="1">
        <v>170</v>
      </c>
      <c r="E3643" s="1">
        <v>0.5</v>
      </c>
      <c r="F3643" s="1">
        <v>23</v>
      </c>
      <c r="J3643" s="1">
        <v>1</v>
      </c>
    </row>
    <row r="3644" spans="1:41" x14ac:dyDescent="0.3">
      <c r="A3644" s="1" t="s">
        <v>61</v>
      </c>
      <c r="B3644" s="7">
        <v>40763</v>
      </c>
      <c r="C3644" s="1">
        <v>9</v>
      </c>
      <c r="D3644" s="1">
        <v>170</v>
      </c>
      <c r="E3644" s="1">
        <v>0.5</v>
      </c>
      <c r="F3644" s="1">
        <v>24</v>
      </c>
      <c r="J3644" s="3">
        <v>0</v>
      </c>
      <c r="K3644" s="3">
        <v>1</v>
      </c>
    </row>
    <row r="3645" spans="1:41" x14ac:dyDescent="0.3">
      <c r="A3645" s="1" t="s">
        <v>61</v>
      </c>
      <c r="B3645" s="7">
        <v>40763</v>
      </c>
      <c r="C3645" s="1">
        <v>9</v>
      </c>
      <c r="D3645" s="1">
        <v>170</v>
      </c>
      <c r="E3645" s="1">
        <v>0.5</v>
      </c>
      <c r="F3645" s="1">
        <v>25</v>
      </c>
      <c r="J3645" s="3">
        <v>0</v>
      </c>
      <c r="K3645" s="3">
        <v>1</v>
      </c>
    </row>
    <row r="3646" spans="1:41" x14ac:dyDescent="0.3">
      <c r="A3646" s="1" t="s">
        <v>61</v>
      </c>
      <c r="B3646" s="7">
        <v>40763</v>
      </c>
      <c r="C3646" s="1">
        <v>9</v>
      </c>
      <c r="D3646" s="1">
        <v>170</v>
      </c>
      <c r="E3646" s="1">
        <v>0.5</v>
      </c>
      <c r="F3646" s="1">
        <v>26</v>
      </c>
      <c r="H3646" s="1">
        <v>1</v>
      </c>
      <c r="I3646" s="1">
        <v>1</v>
      </c>
      <c r="J3646" s="1">
        <v>1</v>
      </c>
    </row>
    <row r="3647" spans="1:41" x14ac:dyDescent="0.3">
      <c r="A3647" s="1" t="s">
        <v>61</v>
      </c>
      <c r="B3647" s="7">
        <v>40763</v>
      </c>
      <c r="C3647" s="1">
        <v>9</v>
      </c>
      <c r="D3647" s="1">
        <v>170</v>
      </c>
      <c r="E3647" s="1">
        <v>0.5</v>
      </c>
      <c r="F3647" s="1">
        <v>27</v>
      </c>
      <c r="J3647" s="1">
        <v>1</v>
      </c>
    </row>
    <row r="3648" spans="1:41" x14ac:dyDescent="0.3">
      <c r="A3648" s="1" t="s">
        <v>61</v>
      </c>
      <c r="B3648" s="7">
        <v>40763</v>
      </c>
      <c r="C3648" s="1">
        <v>9</v>
      </c>
      <c r="D3648" s="1">
        <v>170</v>
      </c>
      <c r="E3648" s="1">
        <v>0.5</v>
      </c>
      <c r="F3648" s="1">
        <v>28</v>
      </c>
      <c r="J3648" s="1">
        <v>1</v>
      </c>
    </row>
    <row r="3649" spans="1:41" x14ac:dyDescent="0.3">
      <c r="A3649" s="1" t="s">
        <v>61</v>
      </c>
      <c r="B3649" s="7">
        <v>40763</v>
      </c>
      <c r="C3649" s="1">
        <v>9</v>
      </c>
      <c r="D3649" s="1">
        <v>170</v>
      </c>
      <c r="E3649" s="1">
        <v>0.5</v>
      </c>
      <c r="F3649" s="1">
        <v>29</v>
      </c>
      <c r="R3649" s="1">
        <v>1</v>
      </c>
    </row>
    <row r="3650" spans="1:41" x14ac:dyDescent="0.3">
      <c r="A3650" s="1" t="s">
        <v>61</v>
      </c>
      <c r="B3650" s="7">
        <v>40763</v>
      </c>
      <c r="C3650" s="1">
        <v>9</v>
      </c>
      <c r="D3650" s="1">
        <v>170</v>
      </c>
      <c r="E3650" s="1">
        <v>0.5</v>
      </c>
      <c r="F3650" s="1">
        <v>30</v>
      </c>
      <c r="J3650" s="3">
        <v>0</v>
      </c>
      <c r="K3650" s="3">
        <v>1</v>
      </c>
    </row>
    <row r="3651" spans="1:41" x14ac:dyDescent="0.3">
      <c r="A3651" s="1" t="s">
        <v>61</v>
      </c>
      <c r="B3651" s="7">
        <v>40763</v>
      </c>
      <c r="C3651" s="1">
        <v>9</v>
      </c>
      <c r="D3651" s="1">
        <v>170</v>
      </c>
      <c r="E3651" s="1">
        <v>0.5</v>
      </c>
      <c r="F3651" s="1">
        <v>31</v>
      </c>
      <c r="H3651" s="1">
        <v>1</v>
      </c>
    </row>
    <row r="3652" spans="1:41" x14ac:dyDescent="0.3">
      <c r="A3652" s="1" t="s">
        <v>61</v>
      </c>
      <c r="B3652" s="7">
        <v>40763</v>
      </c>
      <c r="C3652" s="1">
        <v>9</v>
      </c>
      <c r="D3652" s="1">
        <v>170</v>
      </c>
      <c r="E3652" s="1">
        <v>0.5</v>
      </c>
      <c r="F3652" s="1">
        <v>32</v>
      </c>
      <c r="AO3652" s="1">
        <v>1</v>
      </c>
    </row>
    <row r="3653" spans="1:41" x14ac:dyDescent="0.3">
      <c r="A3653" s="1" t="s">
        <v>61</v>
      </c>
      <c r="B3653" s="7">
        <v>40763</v>
      </c>
      <c r="C3653" s="1">
        <v>9</v>
      </c>
      <c r="D3653" s="1">
        <v>170</v>
      </c>
      <c r="E3653" s="1">
        <v>0.5</v>
      </c>
      <c r="F3653" s="1">
        <v>33</v>
      </c>
      <c r="J3653" s="1">
        <v>1</v>
      </c>
    </row>
    <row r="3654" spans="1:41" x14ac:dyDescent="0.3">
      <c r="A3654" s="1" t="s">
        <v>61</v>
      </c>
      <c r="B3654" s="7">
        <v>40763</v>
      </c>
      <c r="C3654" s="1">
        <v>9</v>
      </c>
      <c r="D3654" s="1">
        <v>170</v>
      </c>
      <c r="E3654" s="1">
        <v>0.5</v>
      </c>
      <c r="F3654" s="1">
        <v>34</v>
      </c>
      <c r="J3654" s="1">
        <v>1</v>
      </c>
    </row>
    <row r="3655" spans="1:41" x14ac:dyDescent="0.3">
      <c r="A3655" s="1" t="s">
        <v>61</v>
      </c>
      <c r="B3655" s="7">
        <v>40763</v>
      </c>
      <c r="C3655" s="1">
        <v>9</v>
      </c>
      <c r="D3655" s="1">
        <v>170</v>
      </c>
      <c r="E3655" s="1">
        <v>0.5</v>
      </c>
      <c r="F3655" s="1">
        <v>35</v>
      </c>
      <c r="J3655" s="1">
        <v>1</v>
      </c>
    </row>
    <row r="3656" spans="1:41" x14ac:dyDescent="0.3">
      <c r="A3656" s="1" t="s">
        <v>61</v>
      </c>
      <c r="B3656" s="7">
        <v>40763</v>
      </c>
      <c r="C3656" s="1">
        <v>9</v>
      </c>
      <c r="D3656" s="1">
        <v>170</v>
      </c>
      <c r="E3656" s="1">
        <v>0.5</v>
      </c>
      <c r="F3656" s="1">
        <v>36</v>
      </c>
      <c r="J3656" s="1">
        <v>1</v>
      </c>
    </row>
    <row r="3657" spans="1:41" x14ac:dyDescent="0.3">
      <c r="A3657" s="1" t="s">
        <v>61</v>
      </c>
      <c r="B3657" s="7">
        <v>40763</v>
      </c>
      <c r="C3657" s="1">
        <v>9</v>
      </c>
      <c r="D3657" s="1">
        <v>170</v>
      </c>
      <c r="E3657" s="1">
        <v>0.5</v>
      </c>
      <c r="F3657" s="1">
        <v>37</v>
      </c>
      <c r="J3657" s="1">
        <v>1</v>
      </c>
    </row>
    <row r="3658" spans="1:41" x14ac:dyDescent="0.3">
      <c r="A3658" s="1" t="s">
        <v>61</v>
      </c>
      <c r="B3658" s="7">
        <v>40763</v>
      </c>
      <c r="C3658" s="1">
        <v>9</v>
      </c>
      <c r="D3658" s="1">
        <v>170</v>
      </c>
      <c r="E3658" s="1">
        <v>0.5</v>
      </c>
      <c r="F3658" s="1">
        <v>38</v>
      </c>
      <c r="J3658" s="1">
        <v>1</v>
      </c>
    </row>
    <row r="3659" spans="1:41" x14ac:dyDescent="0.3">
      <c r="A3659" s="1" t="s">
        <v>61</v>
      </c>
      <c r="B3659" s="7">
        <v>40763</v>
      </c>
      <c r="C3659" s="1">
        <v>9</v>
      </c>
      <c r="D3659" s="1">
        <v>170</v>
      </c>
      <c r="E3659" s="1">
        <v>0.5</v>
      </c>
      <c r="F3659" s="1">
        <v>39</v>
      </c>
      <c r="J3659" s="1">
        <v>1</v>
      </c>
    </row>
    <row r="3660" spans="1:41" x14ac:dyDescent="0.3">
      <c r="A3660" s="1" t="s">
        <v>61</v>
      </c>
      <c r="B3660" s="7">
        <v>40763</v>
      </c>
      <c r="C3660" s="1">
        <v>9</v>
      </c>
      <c r="D3660" s="1">
        <v>170</v>
      </c>
      <c r="E3660" s="1">
        <v>0.5</v>
      </c>
      <c r="F3660" s="1">
        <v>40</v>
      </c>
      <c r="J3660" s="1">
        <v>1</v>
      </c>
      <c r="L3660" s="1">
        <v>1</v>
      </c>
    </row>
    <row r="3661" spans="1:41" x14ac:dyDescent="0.3">
      <c r="A3661" s="1" t="s">
        <v>61</v>
      </c>
      <c r="B3661" s="7">
        <v>40763</v>
      </c>
      <c r="C3661" s="1">
        <v>9</v>
      </c>
      <c r="D3661" s="1">
        <v>170</v>
      </c>
      <c r="E3661" s="1">
        <v>0.5</v>
      </c>
      <c r="F3661" s="1">
        <v>41</v>
      </c>
      <c r="J3661" s="1">
        <v>1</v>
      </c>
    </row>
    <row r="3662" spans="1:41" x14ac:dyDescent="0.3">
      <c r="A3662" s="1" t="s">
        <v>61</v>
      </c>
      <c r="B3662" s="7">
        <v>40763</v>
      </c>
      <c r="C3662" s="1">
        <v>9</v>
      </c>
      <c r="D3662" s="1">
        <v>170</v>
      </c>
      <c r="E3662" s="1">
        <v>0.5</v>
      </c>
      <c r="F3662" s="1">
        <v>42</v>
      </c>
      <c r="R3662" s="1">
        <v>1</v>
      </c>
      <c r="AO3662" s="1">
        <v>1</v>
      </c>
    </row>
    <row r="3663" spans="1:41" x14ac:dyDescent="0.3">
      <c r="A3663" s="1" t="s">
        <v>61</v>
      </c>
      <c r="B3663" s="7">
        <v>40763</v>
      </c>
      <c r="C3663" s="1">
        <v>9</v>
      </c>
      <c r="D3663" s="1">
        <v>170</v>
      </c>
      <c r="E3663" s="1">
        <v>0.5</v>
      </c>
      <c r="F3663" s="1">
        <v>43</v>
      </c>
      <c r="J3663" s="1">
        <v>1</v>
      </c>
    </row>
    <row r="3664" spans="1:41" x14ac:dyDescent="0.3">
      <c r="A3664" s="1" t="s">
        <v>61</v>
      </c>
      <c r="B3664" s="7">
        <v>40763</v>
      </c>
      <c r="C3664" s="1">
        <v>9</v>
      </c>
      <c r="D3664" s="1">
        <v>170</v>
      </c>
      <c r="E3664" s="1">
        <v>0.5</v>
      </c>
      <c r="F3664" s="1">
        <v>44</v>
      </c>
      <c r="I3664" s="1">
        <v>1</v>
      </c>
    </row>
    <row r="3665" spans="1:41" x14ac:dyDescent="0.3">
      <c r="A3665" s="1" t="s">
        <v>61</v>
      </c>
      <c r="B3665" s="7">
        <v>40763</v>
      </c>
      <c r="C3665" s="1">
        <v>9</v>
      </c>
      <c r="D3665" s="1">
        <v>170</v>
      </c>
      <c r="E3665" s="1">
        <v>0.5</v>
      </c>
      <c r="F3665" s="1">
        <v>45</v>
      </c>
      <c r="H3665" s="1">
        <v>1</v>
      </c>
    </row>
    <row r="3666" spans="1:41" x14ac:dyDescent="0.3">
      <c r="A3666" s="1" t="s">
        <v>61</v>
      </c>
      <c r="B3666" s="7">
        <v>40763</v>
      </c>
      <c r="C3666" s="1">
        <v>9</v>
      </c>
      <c r="D3666" s="1">
        <v>170</v>
      </c>
      <c r="E3666" s="1">
        <v>0.5</v>
      </c>
      <c r="F3666" s="1">
        <v>46</v>
      </c>
      <c r="J3666" s="1">
        <v>1</v>
      </c>
      <c r="AO3666" s="1">
        <v>1</v>
      </c>
    </row>
    <row r="3667" spans="1:41" x14ac:dyDescent="0.3">
      <c r="A3667" s="1" t="s">
        <v>61</v>
      </c>
      <c r="B3667" s="7">
        <v>40763</v>
      </c>
      <c r="C3667" s="1">
        <v>9</v>
      </c>
      <c r="D3667" s="1">
        <v>170</v>
      </c>
      <c r="E3667" s="1">
        <v>0.5</v>
      </c>
      <c r="F3667" s="1">
        <v>47</v>
      </c>
      <c r="J3667" s="1">
        <v>1</v>
      </c>
      <c r="L3667" s="8">
        <v>1</v>
      </c>
      <c r="M3667" s="8"/>
    </row>
    <row r="3668" spans="1:41" x14ac:dyDescent="0.3">
      <c r="A3668" s="1" t="s">
        <v>61</v>
      </c>
      <c r="B3668" s="7">
        <v>40763</v>
      </c>
      <c r="C3668" s="1">
        <v>9</v>
      </c>
      <c r="D3668" s="1">
        <v>170</v>
      </c>
      <c r="E3668" s="1">
        <v>0.5</v>
      </c>
      <c r="F3668" s="1">
        <v>48</v>
      </c>
      <c r="J3668" s="3">
        <v>0</v>
      </c>
      <c r="K3668" s="3">
        <v>1</v>
      </c>
    </row>
    <row r="3669" spans="1:41" x14ac:dyDescent="0.3">
      <c r="A3669" s="1" t="s">
        <v>61</v>
      </c>
      <c r="B3669" s="7">
        <v>40763</v>
      </c>
      <c r="C3669" s="1">
        <v>9</v>
      </c>
      <c r="D3669" s="1">
        <v>170</v>
      </c>
      <c r="E3669" s="1">
        <v>0.5</v>
      </c>
      <c r="F3669" s="1">
        <v>49</v>
      </c>
      <c r="J3669" s="1">
        <v>1</v>
      </c>
    </row>
    <row r="3670" spans="1:41" x14ac:dyDescent="0.3">
      <c r="A3670" s="1" t="s">
        <v>61</v>
      </c>
      <c r="B3670" s="7">
        <v>40763</v>
      </c>
      <c r="C3670" s="1">
        <v>9</v>
      </c>
      <c r="D3670" s="1">
        <v>170</v>
      </c>
      <c r="E3670" s="1">
        <v>0.5</v>
      </c>
      <c r="F3670" s="1">
        <v>50</v>
      </c>
      <c r="H3670" s="1">
        <v>1</v>
      </c>
    </row>
    <row r="3671" spans="1:41" x14ac:dyDescent="0.3">
      <c r="A3671" s="1" t="s">
        <v>61</v>
      </c>
      <c r="B3671" s="7">
        <v>40763</v>
      </c>
      <c r="C3671" s="1">
        <v>9</v>
      </c>
      <c r="D3671" s="1">
        <v>170</v>
      </c>
      <c r="E3671" s="1">
        <v>0.5</v>
      </c>
      <c r="F3671" s="1">
        <v>51</v>
      </c>
      <c r="J3671" s="1">
        <v>1</v>
      </c>
    </row>
    <row r="3672" spans="1:41" x14ac:dyDescent="0.3">
      <c r="A3672" s="1" t="s">
        <v>61</v>
      </c>
      <c r="B3672" s="7">
        <v>40763</v>
      </c>
      <c r="C3672" s="1">
        <v>9</v>
      </c>
      <c r="D3672" s="1">
        <v>170</v>
      </c>
      <c r="E3672" s="1">
        <v>0.5</v>
      </c>
      <c r="F3672" s="1">
        <v>52</v>
      </c>
      <c r="J3672" s="1">
        <v>1</v>
      </c>
    </row>
    <row r="3673" spans="1:41" x14ac:dyDescent="0.3">
      <c r="A3673" s="1" t="s">
        <v>61</v>
      </c>
      <c r="B3673" s="7">
        <v>40763</v>
      </c>
      <c r="C3673" s="1">
        <v>9</v>
      </c>
      <c r="D3673" s="1">
        <v>170</v>
      </c>
      <c r="E3673" s="1">
        <v>0.5</v>
      </c>
      <c r="F3673" s="1">
        <v>53</v>
      </c>
      <c r="J3673" s="1">
        <v>1</v>
      </c>
    </row>
    <row r="3674" spans="1:41" x14ac:dyDescent="0.3">
      <c r="A3674" s="1" t="s">
        <v>61</v>
      </c>
      <c r="B3674" s="7">
        <v>40763</v>
      </c>
      <c r="C3674" s="1">
        <v>9</v>
      </c>
      <c r="D3674" s="1">
        <v>170</v>
      </c>
      <c r="E3674" s="1">
        <v>0.5</v>
      </c>
      <c r="F3674" s="1">
        <v>54</v>
      </c>
      <c r="J3674" s="3">
        <v>0</v>
      </c>
      <c r="K3674" s="3">
        <v>1</v>
      </c>
    </row>
    <row r="3675" spans="1:41" x14ac:dyDescent="0.3">
      <c r="A3675" s="1" t="s">
        <v>61</v>
      </c>
      <c r="B3675" s="7">
        <v>40763</v>
      </c>
      <c r="C3675" s="1">
        <v>9</v>
      </c>
      <c r="D3675" s="1">
        <v>170</v>
      </c>
      <c r="E3675" s="1">
        <v>0.5</v>
      </c>
      <c r="F3675" s="1">
        <v>55</v>
      </c>
      <c r="J3675" s="3">
        <v>0</v>
      </c>
      <c r="K3675" s="3">
        <v>1</v>
      </c>
    </row>
    <row r="3676" spans="1:41" x14ac:dyDescent="0.3">
      <c r="A3676" s="1" t="s">
        <v>61</v>
      </c>
      <c r="B3676" s="7">
        <v>40763</v>
      </c>
      <c r="C3676" s="1">
        <v>9</v>
      </c>
      <c r="D3676" s="1">
        <v>170</v>
      </c>
      <c r="E3676" s="1">
        <v>0.5</v>
      </c>
      <c r="F3676" s="1">
        <v>56</v>
      </c>
      <c r="J3676" s="1">
        <v>1</v>
      </c>
    </row>
    <row r="3677" spans="1:41" x14ac:dyDescent="0.3">
      <c r="A3677" s="1" t="s">
        <v>61</v>
      </c>
      <c r="B3677" s="7">
        <v>40763</v>
      </c>
      <c r="C3677" s="1">
        <v>9</v>
      </c>
      <c r="D3677" s="1">
        <v>170</v>
      </c>
      <c r="E3677" s="1">
        <v>0.5</v>
      </c>
      <c r="F3677" s="1">
        <v>57</v>
      </c>
      <c r="J3677" s="1">
        <v>1</v>
      </c>
      <c r="N3677" s="1">
        <v>1</v>
      </c>
    </row>
    <row r="3678" spans="1:41" x14ac:dyDescent="0.3">
      <c r="A3678" s="1" t="s">
        <v>61</v>
      </c>
      <c r="B3678" s="7">
        <v>40763</v>
      </c>
      <c r="C3678" s="1">
        <v>9</v>
      </c>
      <c r="D3678" s="1">
        <v>170</v>
      </c>
      <c r="E3678" s="1">
        <v>0.5</v>
      </c>
      <c r="F3678" s="1">
        <v>58</v>
      </c>
      <c r="J3678" s="1">
        <v>1</v>
      </c>
    </row>
    <row r="3679" spans="1:41" x14ac:dyDescent="0.3">
      <c r="A3679" s="1" t="s">
        <v>61</v>
      </c>
      <c r="B3679" s="7">
        <v>40763</v>
      </c>
      <c r="C3679" s="1">
        <v>9</v>
      </c>
      <c r="D3679" s="1">
        <v>170</v>
      </c>
      <c r="E3679" s="1">
        <v>0.5</v>
      </c>
      <c r="F3679" s="1">
        <v>59</v>
      </c>
      <c r="J3679" s="1">
        <v>1</v>
      </c>
    </row>
    <row r="3680" spans="1:41" x14ac:dyDescent="0.3">
      <c r="A3680" s="1" t="s">
        <v>61</v>
      </c>
      <c r="B3680" s="7">
        <v>40763</v>
      </c>
      <c r="C3680" s="1">
        <v>9</v>
      </c>
      <c r="D3680" s="1">
        <v>170</v>
      </c>
      <c r="E3680" s="1">
        <v>0.5</v>
      </c>
      <c r="F3680" s="1">
        <v>60</v>
      </c>
    </row>
    <row r="3681" spans="1:53" x14ac:dyDescent="0.3">
      <c r="A3681" s="1" t="s">
        <v>61</v>
      </c>
      <c r="B3681" s="7">
        <v>40763</v>
      </c>
      <c r="C3681" s="1">
        <v>9</v>
      </c>
      <c r="D3681" s="1">
        <v>170</v>
      </c>
      <c r="E3681" s="1">
        <v>0.5</v>
      </c>
      <c r="F3681" s="1">
        <v>61</v>
      </c>
      <c r="J3681" s="1">
        <v>1</v>
      </c>
    </row>
    <row r="3682" spans="1:53" x14ac:dyDescent="0.3">
      <c r="A3682" s="1" t="s">
        <v>61</v>
      </c>
      <c r="B3682" s="7">
        <v>40763</v>
      </c>
      <c r="C3682" s="1">
        <v>9</v>
      </c>
      <c r="D3682" s="1">
        <v>170</v>
      </c>
      <c r="E3682" s="1">
        <v>0.5</v>
      </c>
      <c r="F3682" s="1">
        <v>62</v>
      </c>
      <c r="J3682" s="1">
        <v>1</v>
      </c>
    </row>
    <row r="3683" spans="1:53" x14ac:dyDescent="0.3">
      <c r="A3683" s="1" t="s">
        <v>61</v>
      </c>
      <c r="B3683" s="7">
        <v>40763</v>
      </c>
      <c r="C3683" s="1">
        <v>9</v>
      </c>
      <c r="D3683" s="1">
        <v>170</v>
      </c>
      <c r="E3683" s="1">
        <v>0.5</v>
      </c>
      <c r="F3683" s="1">
        <v>63</v>
      </c>
      <c r="J3683" s="1">
        <v>1</v>
      </c>
    </row>
    <row r="3684" spans="1:53" x14ac:dyDescent="0.3">
      <c r="A3684" s="1" t="s">
        <v>61</v>
      </c>
      <c r="B3684" s="7">
        <v>40763</v>
      </c>
      <c r="C3684" s="1">
        <v>9</v>
      </c>
      <c r="D3684" s="1">
        <v>170</v>
      </c>
      <c r="E3684" s="1">
        <v>0.5</v>
      </c>
      <c r="F3684" s="1">
        <v>64</v>
      </c>
      <c r="H3684" s="1">
        <v>1</v>
      </c>
      <c r="J3684" s="3">
        <v>0</v>
      </c>
      <c r="K3684" s="3">
        <v>1</v>
      </c>
    </row>
    <row r="3685" spans="1:53" x14ac:dyDescent="0.3">
      <c r="A3685" s="1" t="s">
        <v>61</v>
      </c>
      <c r="B3685" s="7">
        <v>40763</v>
      </c>
      <c r="C3685" s="1">
        <v>9</v>
      </c>
      <c r="D3685" s="1">
        <v>170</v>
      </c>
      <c r="E3685" s="1">
        <v>0.5</v>
      </c>
      <c r="F3685" s="1">
        <v>65</v>
      </c>
      <c r="J3685" s="1">
        <v>1</v>
      </c>
    </row>
    <row r="3686" spans="1:53" x14ac:dyDescent="0.3">
      <c r="A3686" s="1" t="s">
        <v>61</v>
      </c>
      <c r="B3686" s="7">
        <v>40763</v>
      </c>
      <c r="C3686" s="1">
        <v>9</v>
      </c>
      <c r="D3686" s="1">
        <v>170</v>
      </c>
      <c r="E3686" s="1">
        <v>0.5</v>
      </c>
      <c r="F3686" s="1">
        <v>66</v>
      </c>
      <c r="H3686" s="1">
        <v>1</v>
      </c>
      <c r="N3686" s="1">
        <v>1</v>
      </c>
    </row>
    <row r="3687" spans="1:53" x14ac:dyDescent="0.3">
      <c r="A3687" s="1" t="s">
        <v>61</v>
      </c>
      <c r="B3687" s="7">
        <v>40763</v>
      </c>
      <c r="C3687" s="1">
        <v>9</v>
      </c>
      <c r="D3687" s="1">
        <v>170</v>
      </c>
      <c r="E3687" s="1">
        <v>0.5</v>
      </c>
      <c r="F3687" s="1">
        <v>67</v>
      </c>
      <c r="J3687" s="1">
        <v>1</v>
      </c>
    </row>
    <row r="3688" spans="1:53" x14ac:dyDescent="0.3">
      <c r="A3688" s="1" t="s">
        <v>61</v>
      </c>
      <c r="B3688" s="7">
        <v>40763</v>
      </c>
      <c r="C3688" s="1">
        <v>9</v>
      </c>
      <c r="D3688" s="1">
        <v>170</v>
      </c>
      <c r="E3688" s="1">
        <v>0.5</v>
      </c>
      <c r="F3688" s="1">
        <v>68</v>
      </c>
      <c r="J3688" s="1">
        <v>1</v>
      </c>
    </row>
    <row r="3689" spans="1:53" x14ac:dyDescent="0.3">
      <c r="A3689" s="1" t="s">
        <v>61</v>
      </c>
      <c r="B3689" s="7">
        <v>40763</v>
      </c>
      <c r="C3689" s="1">
        <v>9</v>
      </c>
      <c r="D3689" s="1">
        <v>170</v>
      </c>
      <c r="E3689" s="1">
        <v>0.5</v>
      </c>
      <c r="F3689" s="1">
        <v>69</v>
      </c>
      <c r="I3689" s="1">
        <v>1</v>
      </c>
    </row>
    <row r="3690" spans="1:53" x14ac:dyDescent="0.3">
      <c r="A3690" s="1" t="s">
        <v>61</v>
      </c>
      <c r="B3690" s="7">
        <v>40763</v>
      </c>
      <c r="C3690" s="1">
        <v>9</v>
      </c>
      <c r="D3690" s="1">
        <v>170</v>
      </c>
      <c r="E3690" s="1">
        <v>0.5</v>
      </c>
      <c r="F3690" s="1">
        <v>70</v>
      </c>
      <c r="BA3690" s="1">
        <v>1</v>
      </c>
    </row>
    <row r="3691" spans="1:53" x14ac:dyDescent="0.3">
      <c r="A3691" s="1" t="s">
        <v>61</v>
      </c>
      <c r="B3691" s="7">
        <v>40763</v>
      </c>
      <c r="C3691" s="1">
        <v>9</v>
      </c>
      <c r="D3691" s="1">
        <v>170</v>
      </c>
      <c r="E3691" s="1">
        <v>0.5</v>
      </c>
      <c r="F3691" s="1">
        <v>71</v>
      </c>
      <c r="J3691" s="1">
        <v>1</v>
      </c>
    </row>
    <row r="3692" spans="1:53" x14ac:dyDescent="0.3">
      <c r="A3692" s="1" t="s">
        <v>61</v>
      </c>
      <c r="B3692" s="7">
        <v>40763</v>
      </c>
      <c r="C3692" s="1">
        <v>9</v>
      </c>
      <c r="D3692" s="1">
        <v>170</v>
      </c>
      <c r="E3692" s="1">
        <v>0.5</v>
      </c>
      <c r="F3692" s="1">
        <v>72</v>
      </c>
      <c r="J3692" s="1">
        <v>1</v>
      </c>
    </row>
    <row r="3693" spans="1:53" x14ac:dyDescent="0.3">
      <c r="A3693" s="1" t="s">
        <v>61</v>
      </c>
      <c r="B3693" s="7">
        <v>40763</v>
      </c>
      <c r="C3693" s="1">
        <v>9</v>
      </c>
      <c r="D3693" s="1">
        <v>170</v>
      </c>
      <c r="E3693" s="1">
        <v>0.5</v>
      </c>
      <c r="F3693" s="1">
        <v>73</v>
      </c>
      <c r="J3693" s="1">
        <v>1</v>
      </c>
    </row>
    <row r="3694" spans="1:53" x14ac:dyDescent="0.3">
      <c r="A3694" s="1" t="s">
        <v>61</v>
      </c>
      <c r="B3694" s="7">
        <v>40763</v>
      </c>
      <c r="C3694" s="1">
        <v>9</v>
      </c>
      <c r="D3694" s="1">
        <v>170</v>
      </c>
      <c r="E3694" s="1">
        <v>0.5</v>
      </c>
      <c r="F3694" s="1">
        <v>74</v>
      </c>
      <c r="J3694" s="1">
        <v>1</v>
      </c>
    </row>
    <row r="3695" spans="1:53" x14ac:dyDescent="0.3">
      <c r="A3695" s="1" t="s">
        <v>61</v>
      </c>
      <c r="B3695" s="7">
        <v>40763</v>
      </c>
      <c r="C3695" s="1">
        <v>9</v>
      </c>
      <c r="D3695" s="1">
        <v>170</v>
      </c>
      <c r="E3695" s="1">
        <v>0.5</v>
      </c>
      <c r="F3695" s="1">
        <v>75</v>
      </c>
      <c r="J3695" s="3">
        <v>0</v>
      </c>
      <c r="K3695" s="3">
        <v>1</v>
      </c>
    </row>
    <row r="3696" spans="1:53" x14ac:dyDescent="0.3">
      <c r="A3696" s="1" t="s">
        <v>61</v>
      </c>
      <c r="B3696" s="7">
        <v>40763</v>
      </c>
      <c r="C3696" s="1">
        <v>9</v>
      </c>
      <c r="D3696" s="1">
        <v>170</v>
      </c>
      <c r="E3696" s="1">
        <v>0.5</v>
      </c>
      <c r="F3696" s="1">
        <v>76</v>
      </c>
      <c r="J3696" s="8">
        <v>1</v>
      </c>
      <c r="K3696" s="8"/>
    </row>
    <row r="3697" spans="1:41" x14ac:dyDescent="0.3">
      <c r="A3697" s="1" t="s">
        <v>61</v>
      </c>
      <c r="B3697" s="7">
        <v>40763</v>
      </c>
      <c r="C3697" s="1">
        <v>9</v>
      </c>
      <c r="D3697" s="1">
        <v>170</v>
      </c>
      <c r="E3697" s="1">
        <v>0.5</v>
      </c>
      <c r="F3697" s="1">
        <v>77</v>
      </c>
    </row>
    <row r="3698" spans="1:41" x14ac:dyDescent="0.3">
      <c r="A3698" s="1" t="s">
        <v>61</v>
      </c>
      <c r="B3698" s="7">
        <v>40763</v>
      </c>
      <c r="C3698" s="1">
        <v>9</v>
      </c>
      <c r="D3698" s="1">
        <v>170</v>
      </c>
      <c r="E3698" s="1">
        <v>0.5</v>
      </c>
      <c r="F3698" s="1">
        <v>78</v>
      </c>
    </row>
    <row r="3699" spans="1:41" x14ac:dyDescent="0.3">
      <c r="A3699" s="1" t="s">
        <v>61</v>
      </c>
      <c r="B3699" s="7">
        <v>40763</v>
      </c>
      <c r="C3699" s="1">
        <v>9</v>
      </c>
      <c r="D3699" s="1">
        <v>170</v>
      </c>
      <c r="E3699" s="1">
        <v>0.5</v>
      </c>
      <c r="F3699" s="1">
        <v>79</v>
      </c>
      <c r="G3699" s="1">
        <v>1</v>
      </c>
    </row>
    <row r="3700" spans="1:41" x14ac:dyDescent="0.3">
      <c r="A3700" s="1" t="s">
        <v>61</v>
      </c>
      <c r="B3700" s="7">
        <v>40763</v>
      </c>
      <c r="C3700" s="1">
        <v>9</v>
      </c>
      <c r="D3700" s="1">
        <v>170</v>
      </c>
      <c r="E3700" s="1">
        <v>0.5</v>
      </c>
      <c r="F3700" s="1">
        <v>80</v>
      </c>
    </row>
    <row r="3701" spans="1:41" x14ac:dyDescent="0.3">
      <c r="A3701" s="1" t="s">
        <v>61</v>
      </c>
      <c r="B3701" s="7">
        <v>40763</v>
      </c>
      <c r="C3701" s="1">
        <v>9</v>
      </c>
      <c r="D3701" s="1">
        <v>170</v>
      </c>
      <c r="E3701" s="1">
        <v>0.5</v>
      </c>
      <c r="F3701" s="1">
        <v>81</v>
      </c>
      <c r="N3701" s="1">
        <v>1</v>
      </c>
    </row>
    <row r="3702" spans="1:41" x14ac:dyDescent="0.3">
      <c r="A3702" s="1" t="s">
        <v>61</v>
      </c>
      <c r="B3702" s="7">
        <v>40763</v>
      </c>
      <c r="C3702" s="1">
        <v>9</v>
      </c>
      <c r="D3702" s="1">
        <v>170</v>
      </c>
      <c r="E3702" s="1">
        <v>0.5</v>
      </c>
      <c r="F3702" s="1">
        <v>82</v>
      </c>
      <c r="J3702" s="1">
        <v>1</v>
      </c>
    </row>
    <row r="3703" spans="1:41" x14ac:dyDescent="0.3">
      <c r="A3703" s="1" t="s">
        <v>61</v>
      </c>
      <c r="B3703" s="7">
        <v>40763</v>
      </c>
      <c r="C3703" s="1">
        <v>9</v>
      </c>
      <c r="D3703" s="1">
        <v>170</v>
      </c>
      <c r="E3703" s="1">
        <v>0.5</v>
      </c>
      <c r="F3703" s="1">
        <v>83</v>
      </c>
      <c r="J3703" s="3">
        <v>0</v>
      </c>
      <c r="K3703" s="3">
        <v>1</v>
      </c>
    </row>
    <row r="3704" spans="1:41" x14ac:dyDescent="0.3">
      <c r="A3704" s="1" t="s">
        <v>61</v>
      </c>
      <c r="B3704" s="7">
        <v>40763</v>
      </c>
      <c r="C3704" s="1">
        <v>9</v>
      </c>
      <c r="D3704" s="1">
        <v>170</v>
      </c>
      <c r="E3704" s="1">
        <v>0.5</v>
      </c>
      <c r="F3704" s="1">
        <v>84</v>
      </c>
      <c r="AO3704" s="1">
        <v>1</v>
      </c>
    </row>
    <row r="3705" spans="1:41" x14ac:dyDescent="0.3">
      <c r="A3705" s="1" t="s">
        <v>61</v>
      </c>
      <c r="B3705" s="7">
        <v>40763</v>
      </c>
      <c r="C3705" s="1">
        <v>9</v>
      </c>
      <c r="D3705" s="1">
        <v>170</v>
      </c>
      <c r="E3705" s="1">
        <v>0.5</v>
      </c>
      <c r="F3705" s="1">
        <v>85</v>
      </c>
      <c r="AO3705" s="1">
        <v>1</v>
      </c>
    </row>
    <row r="3706" spans="1:41" x14ac:dyDescent="0.3">
      <c r="A3706" s="1" t="s">
        <v>61</v>
      </c>
      <c r="B3706" s="7">
        <v>40763</v>
      </c>
      <c r="C3706" s="1">
        <v>9</v>
      </c>
      <c r="D3706" s="1">
        <v>170</v>
      </c>
      <c r="E3706" s="1">
        <v>0.5</v>
      </c>
      <c r="F3706" s="1">
        <v>86</v>
      </c>
      <c r="J3706" s="1">
        <v>1</v>
      </c>
      <c r="N3706" s="1">
        <v>1</v>
      </c>
    </row>
    <row r="3707" spans="1:41" x14ac:dyDescent="0.3">
      <c r="A3707" s="1" t="s">
        <v>61</v>
      </c>
      <c r="B3707" s="7">
        <v>40763</v>
      </c>
      <c r="C3707" s="1">
        <v>9</v>
      </c>
      <c r="D3707" s="1">
        <v>170</v>
      </c>
      <c r="E3707" s="1">
        <v>0.5</v>
      </c>
      <c r="F3707" s="1">
        <v>87</v>
      </c>
      <c r="J3707" s="3">
        <v>0</v>
      </c>
      <c r="K3707" s="3">
        <v>1</v>
      </c>
    </row>
    <row r="3708" spans="1:41" x14ac:dyDescent="0.3">
      <c r="A3708" s="1" t="s">
        <v>61</v>
      </c>
      <c r="B3708" s="7">
        <v>40763</v>
      </c>
      <c r="C3708" s="1">
        <v>9</v>
      </c>
      <c r="D3708" s="1">
        <v>170</v>
      </c>
      <c r="E3708" s="1">
        <v>0.5</v>
      </c>
      <c r="F3708" s="1">
        <v>88</v>
      </c>
    </row>
    <row r="3709" spans="1:41" x14ac:dyDescent="0.3">
      <c r="A3709" s="1" t="s">
        <v>61</v>
      </c>
      <c r="B3709" s="7">
        <v>40763</v>
      </c>
      <c r="C3709" s="1">
        <v>9</v>
      </c>
      <c r="D3709" s="1">
        <v>170</v>
      </c>
      <c r="E3709" s="1">
        <v>0.5</v>
      </c>
      <c r="F3709" s="1">
        <v>89</v>
      </c>
    </row>
    <row r="3710" spans="1:41" x14ac:dyDescent="0.3">
      <c r="A3710" s="1" t="s">
        <v>61</v>
      </c>
      <c r="B3710" s="7">
        <v>40763</v>
      </c>
      <c r="C3710" s="1">
        <v>9</v>
      </c>
      <c r="D3710" s="1">
        <v>170</v>
      </c>
      <c r="E3710" s="1">
        <v>0.5</v>
      </c>
      <c r="F3710" s="1">
        <v>90</v>
      </c>
      <c r="J3710" s="1">
        <v>1</v>
      </c>
    </row>
    <row r="3711" spans="1:41" x14ac:dyDescent="0.3">
      <c r="A3711" s="1" t="s">
        <v>61</v>
      </c>
      <c r="B3711" s="7">
        <v>40763</v>
      </c>
      <c r="C3711" s="1">
        <v>9</v>
      </c>
      <c r="D3711" s="1">
        <v>170</v>
      </c>
      <c r="E3711" s="1">
        <v>0.5</v>
      </c>
      <c r="F3711" s="1">
        <v>91</v>
      </c>
      <c r="J3711" s="1">
        <v>1</v>
      </c>
    </row>
    <row r="3712" spans="1:41" x14ac:dyDescent="0.3">
      <c r="A3712" s="1" t="s">
        <v>61</v>
      </c>
      <c r="B3712" s="7">
        <v>40763</v>
      </c>
      <c r="C3712" s="1">
        <v>9</v>
      </c>
      <c r="D3712" s="1">
        <v>170</v>
      </c>
      <c r="E3712" s="1">
        <v>0.5</v>
      </c>
      <c r="F3712" s="1">
        <v>92</v>
      </c>
      <c r="I3712" s="1">
        <v>1</v>
      </c>
      <c r="J3712" s="1">
        <v>1</v>
      </c>
    </row>
    <row r="3713" spans="1:90" x14ac:dyDescent="0.3">
      <c r="A3713" s="1" t="s">
        <v>61</v>
      </c>
      <c r="B3713" s="7">
        <v>40763</v>
      </c>
      <c r="C3713" s="1">
        <v>9</v>
      </c>
      <c r="D3713" s="1">
        <v>170</v>
      </c>
      <c r="E3713" s="1">
        <v>0.5</v>
      </c>
      <c r="F3713" s="1">
        <v>93</v>
      </c>
      <c r="J3713" s="3">
        <v>0</v>
      </c>
      <c r="K3713" s="3">
        <v>1</v>
      </c>
    </row>
    <row r="3714" spans="1:90" x14ac:dyDescent="0.3">
      <c r="A3714" s="1" t="s">
        <v>61</v>
      </c>
      <c r="B3714" s="7">
        <v>40763</v>
      </c>
      <c r="C3714" s="1">
        <v>9</v>
      </c>
      <c r="D3714" s="1">
        <v>170</v>
      </c>
      <c r="E3714" s="1">
        <v>0.5</v>
      </c>
      <c r="F3714" s="1">
        <v>94</v>
      </c>
      <c r="J3714" s="3">
        <v>0</v>
      </c>
      <c r="K3714" s="3">
        <v>1</v>
      </c>
    </row>
    <row r="3715" spans="1:90" x14ac:dyDescent="0.3">
      <c r="A3715" s="1" t="s">
        <v>61</v>
      </c>
      <c r="B3715" s="7">
        <v>40763</v>
      </c>
      <c r="C3715" s="1">
        <v>9</v>
      </c>
      <c r="D3715" s="1">
        <v>170</v>
      </c>
      <c r="E3715" s="1">
        <v>0.5</v>
      </c>
      <c r="F3715" s="1">
        <v>95</v>
      </c>
      <c r="J3715" s="3">
        <v>0</v>
      </c>
      <c r="K3715" s="3">
        <v>1</v>
      </c>
    </row>
    <row r="3716" spans="1:90" x14ac:dyDescent="0.3">
      <c r="A3716" s="1" t="s">
        <v>61</v>
      </c>
      <c r="B3716" s="7">
        <v>40763</v>
      </c>
      <c r="C3716" s="1">
        <v>9</v>
      </c>
      <c r="D3716" s="1">
        <v>170</v>
      </c>
      <c r="E3716" s="1">
        <v>0.5</v>
      </c>
      <c r="F3716" s="1">
        <v>96</v>
      </c>
      <c r="H3716" s="1">
        <v>1</v>
      </c>
      <c r="J3716" s="1">
        <v>1</v>
      </c>
    </row>
    <row r="3717" spans="1:90" x14ac:dyDescent="0.3">
      <c r="A3717" s="1" t="s">
        <v>61</v>
      </c>
      <c r="B3717" s="7">
        <v>40763</v>
      </c>
      <c r="C3717" s="1">
        <v>9</v>
      </c>
      <c r="D3717" s="1">
        <v>170</v>
      </c>
      <c r="E3717" s="1">
        <v>0.5</v>
      </c>
      <c r="F3717" s="1">
        <v>97</v>
      </c>
    </row>
    <row r="3718" spans="1:90" x14ac:dyDescent="0.3">
      <c r="A3718" s="1" t="s">
        <v>61</v>
      </c>
      <c r="B3718" s="7">
        <v>40763</v>
      </c>
      <c r="C3718" s="1">
        <v>9</v>
      </c>
      <c r="D3718" s="1">
        <v>170</v>
      </c>
      <c r="E3718" s="1">
        <v>0.5</v>
      </c>
      <c r="F3718" s="1">
        <v>98</v>
      </c>
    </row>
    <row r="3719" spans="1:90" x14ac:dyDescent="0.3">
      <c r="A3719" s="1" t="s">
        <v>61</v>
      </c>
      <c r="B3719" s="7">
        <v>40763</v>
      </c>
      <c r="C3719" s="1">
        <v>9</v>
      </c>
      <c r="D3719" s="1">
        <v>170</v>
      </c>
      <c r="E3719" s="1">
        <v>0.5</v>
      </c>
      <c r="F3719" s="1">
        <v>99</v>
      </c>
      <c r="J3719" s="1">
        <v>1</v>
      </c>
    </row>
    <row r="3720" spans="1:90" x14ac:dyDescent="0.3">
      <c r="A3720" s="1" t="s">
        <v>61</v>
      </c>
      <c r="B3720" s="7">
        <v>40763</v>
      </c>
      <c r="C3720" s="1">
        <v>9</v>
      </c>
      <c r="D3720" s="1">
        <v>170</v>
      </c>
      <c r="E3720" s="1">
        <v>0.5</v>
      </c>
      <c r="F3720" s="1">
        <v>100</v>
      </c>
      <c r="J3720" s="1">
        <v>1</v>
      </c>
      <c r="AO3720" s="1">
        <v>1</v>
      </c>
    </row>
    <row r="3721" spans="1:90" s="12" customFormat="1" x14ac:dyDescent="0.3">
      <c r="A3721" s="14" t="s">
        <v>61</v>
      </c>
      <c r="B3721" s="13"/>
      <c r="G3721" s="12">
        <f>SUM(G3521:G3720)</f>
        <v>1</v>
      </c>
      <c r="H3721" s="12">
        <f t="shared" ref="H3721" si="1359">SUM(H3521:H3720)</f>
        <v>94</v>
      </c>
      <c r="I3721" s="12">
        <f t="shared" ref="I3721" si="1360">SUM(I3521:I3720)</f>
        <v>10</v>
      </c>
      <c r="J3721" s="12">
        <f t="shared" ref="J3721" si="1361">SUM(J3521:J3720)</f>
        <v>55</v>
      </c>
      <c r="K3721" s="12">
        <f t="shared" ref="K3721" si="1362">SUM(K3521:K3720)</f>
        <v>15</v>
      </c>
      <c r="L3721" s="12">
        <f t="shared" ref="L3721" si="1363">SUM(L3521:L3720)</f>
        <v>60</v>
      </c>
      <c r="M3721" s="12">
        <f t="shared" ref="M3721" si="1364">SUM(M3521:M3720)</f>
        <v>2</v>
      </c>
      <c r="N3721" s="12">
        <f t="shared" ref="N3721" si="1365">SUM(N3521:N3720)</f>
        <v>8</v>
      </c>
      <c r="O3721" s="12">
        <f t="shared" ref="O3721" si="1366">SUM(O3521:O3720)</f>
        <v>0</v>
      </c>
      <c r="P3721" s="12">
        <f t="shared" ref="P3721" si="1367">SUM(P3521:P3720)</f>
        <v>1</v>
      </c>
      <c r="Q3721" s="12">
        <f t="shared" ref="Q3721" si="1368">SUM(Q3521:Q3720)</f>
        <v>0</v>
      </c>
      <c r="R3721" s="12">
        <f t="shared" ref="R3721" si="1369">SUM(R3521:R3720)</f>
        <v>24</v>
      </c>
      <c r="S3721" s="12">
        <f t="shared" ref="S3721" si="1370">SUM(S3521:S3720)</f>
        <v>8</v>
      </c>
      <c r="T3721" s="12">
        <f t="shared" ref="T3721" si="1371">SUM(T3521:T3720)</f>
        <v>0</v>
      </c>
      <c r="U3721" s="12">
        <f t="shared" ref="U3721" si="1372">SUM(U3521:U3720)</f>
        <v>0</v>
      </c>
      <c r="V3721" s="12">
        <f t="shared" ref="V3721" si="1373">SUM(V3521:V3720)</f>
        <v>6</v>
      </c>
      <c r="W3721" s="12">
        <f t="shared" ref="W3721" si="1374">SUM(W3521:W3720)</f>
        <v>0</v>
      </c>
      <c r="X3721" s="12">
        <f t="shared" ref="X3721" si="1375">SUM(X3521:X3720)</f>
        <v>0</v>
      </c>
      <c r="Y3721" s="12">
        <f t="shared" ref="Y3721" si="1376">SUM(Y3521:Y3720)</f>
        <v>5</v>
      </c>
      <c r="Z3721" s="12">
        <f t="shared" ref="Z3721" si="1377">SUM(Z3521:Z3720)</f>
        <v>1</v>
      </c>
      <c r="AA3721" s="12">
        <f t="shared" ref="AA3721" si="1378">SUM(AA3521:AA3720)</f>
        <v>0</v>
      </c>
      <c r="AB3721" s="12">
        <f t="shared" ref="AB3721" si="1379">SUM(AB3521:AB3720)</f>
        <v>2</v>
      </c>
      <c r="AC3721" s="12">
        <f t="shared" ref="AC3721" si="1380">SUM(AC3521:AC3720)</f>
        <v>0</v>
      </c>
      <c r="AD3721" s="12">
        <f t="shared" ref="AD3721" si="1381">SUM(AD3521:AD3720)</f>
        <v>0</v>
      </c>
      <c r="AE3721" s="12">
        <f t="shared" ref="AE3721" si="1382">SUM(AE3521:AE3720)</f>
        <v>0</v>
      </c>
      <c r="AF3721" s="12">
        <f t="shared" ref="AF3721" si="1383">SUM(AF3521:AF3720)</f>
        <v>20</v>
      </c>
      <c r="AG3721" s="12">
        <f t="shared" ref="AG3721" si="1384">SUM(AG3521:AG3720)</f>
        <v>0</v>
      </c>
      <c r="AH3721" s="12">
        <f t="shared" ref="AH3721" si="1385">SUM(AH3521:AH3720)</f>
        <v>0</v>
      </c>
      <c r="AI3721" s="12">
        <f t="shared" ref="AI3721" si="1386">SUM(AI3521:AI3720)</f>
        <v>0</v>
      </c>
      <c r="AJ3721" s="12">
        <f t="shared" ref="AJ3721" si="1387">SUM(AJ3521:AJ3720)</f>
        <v>0</v>
      </c>
      <c r="AK3721" s="12">
        <f t="shared" ref="AK3721" si="1388">SUM(AK3521:AK3720)</f>
        <v>0</v>
      </c>
      <c r="AL3721" s="12">
        <f t="shared" ref="AL3721" si="1389">SUM(AL3521:AL3720)</f>
        <v>0</v>
      </c>
      <c r="AM3721" s="12">
        <f t="shared" ref="AM3721" si="1390">SUM(AM3521:AM3720)</f>
        <v>0</v>
      </c>
      <c r="AN3721" s="12">
        <f t="shared" ref="AN3721" si="1391">SUM(AN3521:AN3720)</f>
        <v>0</v>
      </c>
      <c r="AO3721" s="12">
        <f t="shared" ref="AO3721" si="1392">SUM(AO3521:AO3720)</f>
        <v>7</v>
      </c>
      <c r="AP3721" s="12">
        <f t="shared" ref="AP3721" si="1393">SUM(AP3521:AP3720)</f>
        <v>0</v>
      </c>
      <c r="AQ3721" s="12">
        <f t="shared" ref="AQ3721" si="1394">SUM(AQ3521:AQ3720)</f>
        <v>0</v>
      </c>
      <c r="AR3721" s="12">
        <f t="shared" ref="AR3721" si="1395">SUM(AR3521:AR3720)</f>
        <v>0</v>
      </c>
      <c r="AS3721" s="12">
        <f t="shared" ref="AS3721" si="1396">SUM(AS3521:AS3720)</f>
        <v>1</v>
      </c>
      <c r="AT3721" s="12">
        <f t="shared" ref="AT3721" si="1397">SUM(AT3521:AT3720)</f>
        <v>0</v>
      </c>
      <c r="AU3721" s="12">
        <f t="shared" ref="AU3721" si="1398">SUM(AU3521:AU3720)</f>
        <v>0</v>
      </c>
      <c r="AV3721" s="12">
        <f t="shared" ref="AV3721" si="1399">SUM(AV3521:AV3720)</f>
        <v>0</v>
      </c>
      <c r="AW3721" s="12">
        <f t="shared" ref="AW3721" si="1400">SUM(AW3521:AW3720)</f>
        <v>0</v>
      </c>
      <c r="AX3721" s="12">
        <f t="shared" ref="AX3721" si="1401">SUM(AX3521:AX3720)</f>
        <v>0</v>
      </c>
      <c r="AY3721" s="12">
        <f t="shared" ref="AY3721" si="1402">SUM(AY3521:AY3720)</f>
        <v>0</v>
      </c>
      <c r="AZ3721" s="12">
        <f t="shared" ref="AZ3721" si="1403">SUM(AZ3521:AZ3720)</f>
        <v>0</v>
      </c>
      <c r="BA3721" s="12">
        <f t="shared" ref="BA3721" si="1404">SUM(BA3521:BA3720)</f>
        <v>1</v>
      </c>
      <c r="BB3721" s="12">
        <f t="shared" ref="BB3721" si="1405">SUM(BB3521:BB3720)</f>
        <v>0</v>
      </c>
      <c r="BC3721" s="12">
        <f t="shared" ref="BC3721" si="1406">SUM(BC3521:BC3720)</f>
        <v>7</v>
      </c>
      <c r="BD3721" s="12">
        <f t="shared" ref="BD3721" si="1407">SUM(BD3521:BD3720)</f>
        <v>0</v>
      </c>
      <c r="BE3721" s="12">
        <f t="shared" ref="BE3721" si="1408">SUM(BE3521:BE3720)</f>
        <v>9</v>
      </c>
      <c r="BF3721" s="12">
        <f t="shared" ref="BF3721" si="1409">SUM(BF3521:BF3720)</f>
        <v>0</v>
      </c>
      <c r="BG3721" s="12">
        <f t="shared" ref="BG3721" si="1410">SUM(BG3521:BG3720)</f>
        <v>0</v>
      </c>
      <c r="BH3721" s="12">
        <f t="shared" ref="BH3721" si="1411">SUM(BH3521:BH3720)</f>
        <v>0</v>
      </c>
      <c r="BI3721" s="12">
        <f t="shared" ref="BI3721" si="1412">SUM(BI3521:BI3720)</f>
        <v>18</v>
      </c>
      <c r="BJ3721" s="12">
        <f t="shared" ref="BJ3721" si="1413">SUM(BJ3521:BJ3720)</f>
        <v>2</v>
      </c>
      <c r="BK3721" s="12">
        <f t="shared" ref="BK3721" si="1414">SUM(BK3521:BK3720)</f>
        <v>0</v>
      </c>
      <c r="BL3721" s="12">
        <f t="shared" ref="BL3721" si="1415">SUM(BL3521:BL3720)</f>
        <v>0</v>
      </c>
      <c r="BM3721" s="12">
        <f t="shared" ref="BM3721" si="1416">SUM(BM3521:BM3720)</f>
        <v>0</v>
      </c>
      <c r="BN3721" s="12">
        <f t="shared" ref="BN3721" si="1417">SUM(BN3521:BN3720)</f>
        <v>0</v>
      </c>
      <c r="BO3721" s="12">
        <f t="shared" ref="BO3721" si="1418">SUM(BO3521:BO3720)</f>
        <v>0</v>
      </c>
      <c r="BP3721" s="12">
        <f t="shared" ref="BP3721" si="1419">SUM(BP3521:BP3720)</f>
        <v>0</v>
      </c>
      <c r="BQ3721" s="12">
        <f t="shared" ref="BQ3721" si="1420">SUM(BQ3521:BQ3720)</f>
        <v>0</v>
      </c>
      <c r="BR3721" s="12">
        <f t="shared" ref="BR3721" si="1421">SUM(BR3521:BR3720)</f>
        <v>0</v>
      </c>
      <c r="BS3721" s="12">
        <f t="shared" ref="BS3721" si="1422">SUM(BS3521:BS3720)</f>
        <v>0</v>
      </c>
      <c r="BT3721" s="12">
        <f t="shared" ref="BT3721" si="1423">SUM(BT3521:BT3720)</f>
        <v>0</v>
      </c>
      <c r="BU3721" s="12">
        <f t="shared" ref="BU3721" si="1424">SUM(BU3521:BU3720)</f>
        <v>3</v>
      </c>
      <c r="BV3721" s="12">
        <f t="shared" ref="BV3721" si="1425">SUM(BV3521:BV3720)</f>
        <v>0</v>
      </c>
      <c r="BW3721" s="12">
        <f t="shared" ref="BW3721" si="1426">SUM(BW3521:BW3720)</f>
        <v>0</v>
      </c>
      <c r="BX3721" s="12">
        <f t="shared" ref="BX3721" si="1427">SUM(BX3521:BX3720)</f>
        <v>0</v>
      </c>
      <c r="BY3721" s="12">
        <f t="shared" ref="BY3721" si="1428">SUM(BY3521:BY3720)</f>
        <v>0</v>
      </c>
      <c r="BZ3721" s="12">
        <f t="shared" ref="BZ3721" si="1429">SUM(BZ3521:BZ3720)</f>
        <v>0</v>
      </c>
      <c r="CA3721" s="12">
        <f t="shared" ref="CA3721" si="1430">SUM(CA3521:CA3720)</f>
        <v>0</v>
      </c>
      <c r="CB3721" s="12">
        <f t="shared" ref="CB3721" si="1431">SUM(CB3521:CB3720)</f>
        <v>0</v>
      </c>
      <c r="CC3721" s="12">
        <f t="shared" ref="CC3721" si="1432">SUM(CC3521:CC3720)</f>
        <v>0</v>
      </c>
      <c r="CD3721" s="12">
        <f t="shared" ref="CD3721" si="1433">SUM(CD3521:CD3720)</f>
        <v>0</v>
      </c>
      <c r="CE3721" s="12">
        <f t="shared" ref="CE3721" si="1434">SUM(CE3521:CE3720)</f>
        <v>0</v>
      </c>
      <c r="CF3721" s="12">
        <f t="shared" ref="CF3721" si="1435">SUM(CF3521:CF3720)</f>
        <v>0</v>
      </c>
      <c r="CG3721" s="12">
        <f t="shared" ref="CG3721" si="1436">SUM(CG3521:CG3720)</f>
        <v>0</v>
      </c>
      <c r="CH3721" s="12">
        <f t="shared" ref="CH3721" si="1437">SUM(CH3521:CH3720)</f>
        <v>0</v>
      </c>
      <c r="CI3721" s="12">
        <f t="shared" ref="CI3721" si="1438">SUM(CI3521:CI3720)</f>
        <v>0</v>
      </c>
      <c r="CJ3721" s="12">
        <f t="shared" ref="CJ3721" si="1439">SUM(CJ3521:CJ3720)</f>
        <v>0</v>
      </c>
      <c r="CK3721" s="12">
        <f t="shared" ref="CK3721" si="1440">SUM(CK3521:CK3720)</f>
        <v>0</v>
      </c>
      <c r="CL3721" s="12">
        <f t="shared" ref="CL3721" si="1441">SUM(CL3521:CL3720)</f>
        <v>0</v>
      </c>
    </row>
    <row r="3722" spans="1:90" x14ac:dyDescent="0.3">
      <c r="A3722" s="1" t="s">
        <v>62</v>
      </c>
      <c r="B3722" s="7">
        <v>40763</v>
      </c>
      <c r="C3722" s="1">
        <v>2</v>
      </c>
      <c r="D3722" s="1">
        <v>148</v>
      </c>
      <c r="E3722" s="1">
        <v>0</v>
      </c>
      <c r="F3722" s="1">
        <v>1</v>
      </c>
      <c r="R3722" s="3">
        <v>0</v>
      </c>
      <c r="S3722" s="3">
        <v>1</v>
      </c>
    </row>
    <row r="3723" spans="1:90" x14ac:dyDescent="0.3">
      <c r="A3723" s="1" t="s">
        <v>62</v>
      </c>
      <c r="B3723" s="7">
        <v>40763</v>
      </c>
      <c r="C3723" s="1">
        <v>2</v>
      </c>
      <c r="D3723" s="1">
        <v>148</v>
      </c>
      <c r="E3723" s="1">
        <v>0</v>
      </c>
      <c r="F3723" s="1">
        <v>2</v>
      </c>
      <c r="H3723" s="1">
        <v>1</v>
      </c>
    </row>
    <row r="3724" spans="1:90" x14ac:dyDescent="0.3">
      <c r="A3724" s="1" t="s">
        <v>62</v>
      </c>
      <c r="B3724" s="7">
        <v>40763</v>
      </c>
      <c r="C3724" s="1">
        <v>2</v>
      </c>
      <c r="D3724" s="1">
        <v>148</v>
      </c>
      <c r="E3724" s="1">
        <v>0</v>
      </c>
      <c r="F3724" s="1">
        <v>3</v>
      </c>
      <c r="L3724" s="1">
        <v>1</v>
      </c>
    </row>
    <row r="3725" spans="1:90" x14ac:dyDescent="0.3">
      <c r="A3725" s="1" t="s">
        <v>62</v>
      </c>
      <c r="B3725" s="7">
        <v>40763</v>
      </c>
      <c r="C3725" s="1">
        <v>2</v>
      </c>
      <c r="D3725" s="1">
        <v>148</v>
      </c>
      <c r="E3725" s="1">
        <v>0</v>
      </c>
      <c r="F3725" s="1">
        <v>4</v>
      </c>
      <c r="L3725" s="1">
        <v>1</v>
      </c>
    </row>
    <row r="3726" spans="1:90" x14ac:dyDescent="0.3">
      <c r="A3726" s="1" t="s">
        <v>62</v>
      </c>
      <c r="B3726" s="7">
        <v>40763</v>
      </c>
      <c r="C3726" s="1">
        <v>2</v>
      </c>
      <c r="D3726" s="1">
        <v>148</v>
      </c>
      <c r="E3726" s="1">
        <v>0</v>
      </c>
      <c r="F3726" s="1">
        <v>5</v>
      </c>
      <c r="BA3726" s="1">
        <v>1</v>
      </c>
    </row>
    <row r="3727" spans="1:90" x14ac:dyDescent="0.3">
      <c r="A3727" s="1" t="s">
        <v>62</v>
      </c>
      <c r="B3727" s="7">
        <v>40763</v>
      </c>
      <c r="C3727" s="1">
        <v>2</v>
      </c>
      <c r="D3727" s="1">
        <v>148</v>
      </c>
      <c r="E3727" s="1">
        <v>0</v>
      </c>
      <c r="F3727" s="1">
        <v>6</v>
      </c>
      <c r="L3727" s="1">
        <v>1</v>
      </c>
      <c r="BA3727" s="1">
        <v>1</v>
      </c>
    </row>
    <row r="3728" spans="1:90" x14ac:dyDescent="0.3">
      <c r="A3728" s="1" t="s">
        <v>62</v>
      </c>
      <c r="B3728" s="7">
        <v>40763</v>
      </c>
      <c r="C3728" s="1">
        <v>2</v>
      </c>
      <c r="D3728" s="1">
        <v>148</v>
      </c>
      <c r="E3728" s="1">
        <v>0</v>
      </c>
      <c r="F3728" s="1">
        <v>7</v>
      </c>
      <c r="BA3728" s="1">
        <v>1</v>
      </c>
    </row>
    <row r="3729" spans="1:53" x14ac:dyDescent="0.3">
      <c r="A3729" s="1" t="s">
        <v>62</v>
      </c>
      <c r="B3729" s="7">
        <v>40763</v>
      </c>
      <c r="C3729" s="1">
        <v>2</v>
      </c>
      <c r="D3729" s="1">
        <v>148</v>
      </c>
      <c r="E3729" s="1">
        <v>0</v>
      </c>
      <c r="F3729" s="1">
        <v>8</v>
      </c>
      <c r="BA3729" s="1">
        <v>1</v>
      </c>
    </row>
    <row r="3730" spans="1:53" x14ac:dyDescent="0.3">
      <c r="A3730" s="1" t="s">
        <v>62</v>
      </c>
      <c r="B3730" s="7">
        <v>40763</v>
      </c>
      <c r="C3730" s="1">
        <v>2</v>
      </c>
      <c r="D3730" s="1">
        <v>148</v>
      </c>
      <c r="E3730" s="1">
        <v>0</v>
      </c>
      <c r="F3730" s="1">
        <v>9</v>
      </c>
      <c r="I3730" s="1">
        <v>1</v>
      </c>
    </row>
    <row r="3731" spans="1:53" x14ac:dyDescent="0.3">
      <c r="A3731" s="1" t="s">
        <v>62</v>
      </c>
      <c r="B3731" s="7">
        <v>40763</v>
      </c>
      <c r="C3731" s="1">
        <v>2</v>
      </c>
      <c r="D3731" s="1">
        <v>148</v>
      </c>
      <c r="E3731" s="1">
        <v>0</v>
      </c>
      <c r="F3731" s="1">
        <v>10</v>
      </c>
      <c r="L3731" s="1">
        <v>1</v>
      </c>
      <c r="R3731" s="1">
        <v>1</v>
      </c>
    </row>
    <row r="3732" spans="1:53" x14ac:dyDescent="0.3">
      <c r="A3732" s="1" t="s">
        <v>62</v>
      </c>
      <c r="B3732" s="7">
        <v>40763</v>
      </c>
      <c r="C3732" s="1">
        <v>2</v>
      </c>
      <c r="D3732" s="1">
        <v>148</v>
      </c>
      <c r="E3732" s="1">
        <v>0</v>
      </c>
      <c r="F3732" s="1">
        <v>11</v>
      </c>
      <c r="L3732" s="8">
        <v>1</v>
      </c>
      <c r="M3732" s="8"/>
    </row>
    <row r="3733" spans="1:53" x14ac:dyDescent="0.3">
      <c r="A3733" s="1" t="s">
        <v>62</v>
      </c>
      <c r="B3733" s="7">
        <v>40763</v>
      </c>
      <c r="C3733" s="1">
        <v>2</v>
      </c>
      <c r="D3733" s="1">
        <v>148</v>
      </c>
      <c r="E3733" s="1">
        <v>0</v>
      </c>
      <c r="F3733" s="1">
        <v>12</v>
      </c>
      <c r="L3733" s="1">
        <v>1</v>
      </c>
      <c r="R3733" s="3">
        <v>0</v>
      </c>
      <c r="S3733" s="3">
        <v>1</v>
      </c>
      <c r="AB3733" s="1">
        <v>1</v>
      </c>
    </row>
    <row r="3734" spans="1:53" x14ac:dyDescent="0.3">
      <c r="A3734" s="1" t="s">
        <v>62</v>
      </c>
      <c r="B3734" s="7">
        <v>40763</v>
      </c>
      <c r="C3734" s="1">
        <v>2</v>
      </c>
      <c r="D3734" s="1">
        <v>148</v>
      </c>
      <c r="E3734" s="1">
        <v>0</v>
      </c>
      <c r="F3734" s="1">
        <v>13</v>
      </c>
      <c r="L3734" s="1">
        <v>1</v>
      </c>
    </row>
    <row r="3735" spans="1:53" x14ac:dyDescent="0.3">
      <c r="A3735" s="1" t="s">
        <v>62</v>
      </c>
      <c r="B3735" s="7">
        <v>40763</v>
      </c>
      <c r="C3735" s="1">
        <v>2</v>
      </c>
      <c r="D3735" s="1">
        <v>148</v>
      </c>
      <c r="E3735" s="1">
        <v>0</v>
      </c>
      <c r="F3735" s="1">
        <v>14</v>
      </c>
      <c r="I3735" s="1">
        <v>1</v>
      </c>
      <c r="L3735" s="1">
        <v>1</v>
      </c>
      <c r="R3735" s="1">
        <v>1</v>
      </c>
    </row>
    <row r="3736" spans="1:53" x14ac:dyDescent="0.3">
      <c r="A3736" s="1" t="s">
        <v>62</v>
      </c>
      <c r="B3736" s="7">
        <v>40763</v>
      </c>
      <c r="C3736" s="1">
        <v>2</v>
      </c>
      <c r="D3736" s="1">
        <v>148</v>
      </c>
      <c r="E3736" s="1">
        <v>0</v>
      </c>
      <c r="F3736" s="1">
        <v>15</v>
      </c>
      <c r="I3736" s="1">
        <v>1</v>
      </c>
      <c r="L3736" s="8">
        <v>1</v>
      </c>
      <c r="M3736" s="8"/>
    </row>
    <row r="3737" spans="1:53" x14ac:dyDescent="0.3">
      <c r="A3737" s="1" t="s">
        <v>62</v>
      </c>
      <c r="B3737" s="7">
        <v>40763</v>
      </c>
      <c r="C3737" s="1">
        <v>2</v>
      </c>
      <c r="D3737" s="1">
        <v>148</v>
      </c>
      <c r="E3737" s="1">
        <v>0</v>
      </c>
      <c r="F3737" s="1">
        <v>16</v>
      </c>
      <c r="L3737" s="1">
        <v>1</v>
      </c>
      <c r="BA3737" s="1">
        <v>1</v>
      </c>
    </row>
    <row r="3738" spans="1:53" x14ac:dyDescent="0.3">
      <c r="A3738" s="1" t="s">
        <v>62</v>
      </c>
      <c r="B3738" s="7">
        <v>40763</v>
      </c>
      <c r="C3738" s="1">
        <v>2</v>
      </c>
      <c r="D3738" s="1">
        <v>148</v>
      </c>
      <c r="E3738" s="1">
        <v>0</v>
      </c>
      <c r="F3738" s="1">
        <v>17</v>
      </c>
      <c r="J3738" s="1">
        <v>1</v>
      </c>
      <c r="AF3738" s="1">
        <v>1</v>
      </c>
      <c r="BA3738" s="1">
        <v>1</v>
      </c>
    </row>
    <row r="3739" spans="1:53" x14ac:dyDescent="0.3">
      <c r="A3739" s="1" t="s">
        <v>62</v>
      </c>
      <c r="B3739" s="7">
        <v>40763</v>
      </c>
      <c r="C3739" s="1">
        <v>2</v>
      </c>
      <c r="D3739" s="1">
        <v>148</v>
      </c>
      <c r="E3739" s="1">
        <v>0</v>
      </c>
      <c r="F3739" s="1">
        <v>18</v>
      </c>
      <c r="AB3739" s="1">
        <v>1</v>
      </c>
      <c r="BA3739" s="1">
        <v>1</v>
      </c>
    </row>
    <row r="3740" spans="1:53" x14ac:dyDescent="0.3">
      <c r="A3740" s="1" t="s">
        <v>62</v>
      </c>
      <c r="B3740" s="7">
        <v>40763</v>
      </c>
      <c r="C3740" s="1">
        <v>2</v>
      </c>
      <c r="D3740" s="1">
        <v>148</v>
      </c>
      <c r="E3740" s="1">
        <v>0</v>
      </c>
      <c r="F3740" s="1">
        <v>19</v>
      </c>
      <c r="R3740" s="3">
        <v>0</v>
      </c>
      <c r="S3740" s="3">
        <v>1</v>
      </c>
    </row>
    <row r="3741" spans="1:53" x14ac:dyDescent="0.3">
      <c r="A3741" s="1" t="s">
        <v>62</v>
      </c>
      <c r="B3741" s="7">
        <v>40763</v>
      </c>
      <c r="C3741" s="1">
        <v>2</v>
      </c>
      <c r="D3741" s="1">
        <v>148</v>
      </c>
      <c r="E3741" s="1">
        <v>0</v>
      </c>
      <c r="F3741" s="1">
        <v>20</v>
      </c>
      <c r="R3741" s="3">
        <v>0</v>
      </c>
      <c r="S3741" s="3">
        <v>1</v>
      </c>
    </row>
    <row r="3742" spans="1:53" x14ac:dyDescent="0.3">
      <c r="A3742" s="1" t="s">
        <v>62</v>
      </c>
      <c r="B3742" s="7">
        <v>40763</v>
      </c>
      <c r="C3742" s="1">
        <v>2</v>
      </c>
      <c r="D3742" s="1">
        <v>148</v>
      </c>
      <c r="E3742" s="1">
        <v>0</v>
      </c>
      <c r="F3742" s="1">
        <v>21</v>
      </c>
      <c r="L3742" s="8">
        <v>1</v>
      </c>
      <c r="M3742" s="8"/>
    </row>
    <row r="3743" spans="1:53" x14ac:dyDescent="0.3">
      <c r="A3743" s="1" t="s">
        <v>62</v>
      </c>
      <c r="B3743" s="7">
        <v>40763</v>
      </c>
      <c r="C3743" s="1">
        <v>2</v>
      </c>
      <c r="D3743" s="1">
        <v>148</v>
      </c>
      <c r="E3743" s="1">
        <v>0</v>
      </c>
      <c r="F3743" s="1">
        <v>22</v>
      </c>
      <c r="R3743" s="1">
        <v>1</v>
      </c>
      <c r="AB3743" s="1">
        <v>1</v>
      </c>
    </row>
    <row r="3744" spans="1:53" x14ac:dyDescent="0.3">
      <c r="A3744" s="1" t="s">
        <v>62</v>
      </c>
      <c r="B3744" s="7">
        <v>40763</v>
      </c>
      <c r="C3744" s="1">
        <v>2</v>
      </c>
      <c r="D3744" s="1">
        <v>148</v>
      </c>
      <c r="E3744" s="1">
        <v>0</v>
      </c>
      <c r="F3744" s="1">
        <v>23</v>
      </c>
      <c r="G3744" s="1">
        <v>1</v>
      </c>
      <c r="L3744" s="1">
        <v>1</v>
      </c>
    </row>
    <row r="3745" spans="1:77" x14ac:dyDescent="0.3">
      <c r="A3745" s="1" t="s">
        <v>62</v>
      </c>
      <c r="B3745" s="7">
        <v>40763</v>
      </c>
      <c r="C3745" s="1">
        <v>2</v>
      </c>
      <c r="D3745" s="1">
        <v>148</v>
      </c>
      <c r="E3745" s="1">
        <v>0</v>
      </c>
      <c r="F3745" s="1">
        <v>24</v>
      </c>
      <c r="G3745" s="1">
        <v>1</v>
      </c>
      <c r="L3745" s="1">
        <v>1</v>
      </c>
    </row>
    <row r="3746" spans="1:77" x14ac:dyDescent="0.3">
      <c r="A3746" s="1" t="s">
        <v>62</v>
      </c>
      <c r="B3746" s="7">
        <v>40763</v>
      </c>
      <c r="C3746" s="1">
        <v>2</v>
      </c>
      <c r="D3746" s="1">
        <v>148</v>
      </c>
      <c r="E3746" s="1">
        <v>0</v>
      </c>
      <c r="F3746" s="1">
        <v>25</v>
      </c>
      <c r="L3746" s="1">
        <v>1</v>
      </c>
      <c r="AF3746" s="1">
        <v>1</v>
      </c>
    </row>
    <row r="3747" spans="1:77" x14ac:dyDescent="0.3">
      <c r="A3747" s="1" t="s">
        <v>62</v>
      </c>
      <c r="B3747" s="7">
        <v>40763</v>
      </c>
      <c r="C3747" s="1">
        <v>2</v>
      </c>
      <c r="D3747" s="1">
        <v>148</v>
      </c>
      <c r="E3747" s="1">
        <v>0</v>
      </c>
      <c r="F3747" s="1">
        <v>26</v>
      </c>
      <c r="R3747" s="3">
        <v>0</v>
      </c>
      <c r="S3747" s="3">
        <v>1</v>
      </c>
    </row>
    <row r="3748" spans="1:77" x14ac:dyDescent="0.3">
      <c r="A3748" s="1" t="s">
        <v>62</v>
      </c>
      <c r="B3748" s="7">
        <v>40763</v>
      </c>
      <c r="C3748" s="1">
        <v>2</v>
      </c>
      <c r="D3748" s="1">
        <v>148</v>
      </c>
      <c r="E3748" s="1">
        <v>0</v>
      </c>
      <c r="F3748" s="1">
        <v>27</v>
      </c>
      <c r="L3748" s="1">
        <v>1</v>
      </c>
    </row>
    <row r="3749" spans="1:77" x14ac:dyDescent="0.3">
      <c r="A3749" s="1" t="s">
        <v>62</v>
      </c>
      <c r="B3749" s="7">
        <v>40763</v>
      </c>
      <c r="C3749" s="1">
        <v>2</v>
      </c>
      <c r="D3749" s="1">
        <v>148</v>
      </c>
      <c r="E3749" s="1">
        <v>0</v>
      </c>
      <c r="F3749" s="1">
        <v>28</v>
      </c>
      <c r="R3749" s="3">
        <v>0</v>
      </c>
      <c r="S3749" s="3">
        <v>1</v>
      </c>
      <c r="BR3749" s="1">
        <v>1</v>
      </c>
    </row>
    <row r="3750" spans="1:77" x14ac:dyDescent="0.3">
      <c r="A3750" s="1" t="s">
        <v>62</v>
      </c>
      <c r="B3750" s="7">
        <v>40763</v>
      </c>
      <c r="C3750" s="1">
        <v>2</v>
      </c>
      <c r="D3750" s="1">
        <v>148</v>
      </c>
      <c r="E3750" s="1">
        <v>0</v>
      </c>
      <c r="F3750" s="1">
        <v>29</v>
      </c>
      <c r="R3750" s="1">
        <v>1</v>
      </c>
      <c r="AF3750" s="1">
        <v>1</v>
      </c>
    </row>
    <row r="3751" spans="1:77" x14ac:dyDescent="0.3">
      <c r="A3751" s="1" t="s">
        <v>62</v>
      </c>
      <c r="B3751" s="7">
        <v>40763</v>
      </c>
      <c r="C3751" s="1">
        <v>2</v>
      </c>
      <c r="D3751" s="1">
        <v>148</v>
      </c>
      <c r="E3751" s="1">
        <v>0</v>
      </c>
      <c r="F3751" s="1">
        <v>30</v>
      </c>
      <c r="L3751" s="8">
        <v>1</v>
      </c>
      <c r="M3751" s="8"/>
      <c r="R3751" s="3">
        <v>0</v>
      </c>
      <c r="S3751" s="3">
        <v>1</v>
      </c>
    </row>
    <row r="3752" spans="1:77" x14ac:dyDescent="0.3">
      <c r="A3752" s="1" t="s">
        <v>62</v>
      </c>
      <c r="B3752" s="7">
        <v>40763</v>
      </c>
      <c r="C3752" s="1">
        <v>2</v>
      </c>
      <c r="D3752" s="1">
        <v>148</v>
      </c>
      <c r="E3752" s="1">
        <v>0</v>
      </c>
      <c r="F3752" s="1">
        <v>31</v>
      </c>
      <c r="AB3752" s="1">
        <v>1</v>
      </c>
      <c r="BR3752" s="1">
        <v>1</v>
      </c>
    </row>
    <row r="3753" spans="1:77" x14ac:dyDescent="0.3">
      <c r="A3753" s="1" t="s">
        <v>62</v>
      </c>
      <c r="B3753" s="7">
        <v>40763</v>
      </c>
      <c r="C3753" s="1">
        <v>2</v>
      </c>
      <c r="D3753" s="1">
        <v>148</v>
      </c>
      <c r="E3753" s="1">
        <v>0</v>
      </c>
      <c r="F3753" s="1">
        <v>32</v>
      </c>
      <c r="L3753" s="1">
        <v>1</v>
      </c>
    </row>
    <row r="3754" spans="1:77" x14ac:dyDescent="0.3">
      <c r="A3754" s="1" t="s">
        <v>62</v>
      </c>
      <c r="B3754" s="7">
        <v>40763</v>
      </c>
      <c r="C3754" s="1">
        <v>2</v>
      </c>
      <c r="D3754" s="1">
        <v>148</v>
      </c>
      <c r="E3754" s="1">
        <v>0</v>
      </c>
      <c r="F3754" s="1">
        <v>33</v>
      </c>
      <c r="G3754" s="1">
        <v>1</v>
      </c>
    </row>
    <row r="3755" spans="1:77" x14ac:dyDescent="0.3">
      <c r="A3755" s="1" t="s">
        <v>62</v>
      </c>
      <c r="B3755" s="7">
        <v>40763</v>
      </c>
      <c r="C3755" s="1">
        <v>2</v>
      </c>
      <c r="D3755" s="1">
        <v>148</v>
      </c>
      <c r="E3755" s="1">
        <v>0</v>
      </c>
      <c r="F3755" s="1">
        <v>34</v>
      </c>
      <c r="AB3755" s="1">
        <v>1</v>
      </c>
      <c r="AF3755" s="1">
        <v>1</v>
      </c>
    </row>
    <row r="3756" spans="1:77" x14ac:dyDescent="0.3">
      <c r="A3756" s="1" t="s">
        <v>62</v>
      </c>
      <c r="B3756" s="7">
        <v>40763</v>
      </c>
      <c r="C3756" s="1">
        <v>2</v>
      </c>
      <c r="D3756" s="1">
        <v>148</v>
      </c>
      <c r="E3756" s="1">
        <v>0</v>
      </c>
      <c r="F3756" s="1">
        <v>35</v>
      </c>
      <c r="R3756" s="1">
        <v>1</v>
      </c>
      <c r="AF3756" s="1">
        <v>1</v>
      </c>
      <c r="BY3756" s="1">
        <v>1</v>
      </c>
    </row>
    <row r="3757" spans="1:77" x14ac:dyDescent="0.3">
      <c r="A3757" s="1" t="s">
        <v>62</v>
      </c>
      <c r="B3757" s="7">
        <v>40763</v>
      </c>
      <c r="C3757" s="1">
        <v>2</v>
      </c>
      <c r="D3757" s="1">
        <v>148</v>
      </c>
      <c r="E3757" s="1">
        <v>0</v>
      </c>
      <c r="F3757" s="1">
        <v>36</v>
      </c>
      <c r="R3757" s="1">
        <v>1</v>
      </c>
    </row>
    <row r="3758" spans="1:77" x14ac:dyDescent="0.3">
      <c r="A3758" s="1" t="s">
        <v>62</v>
      </c>
      <c r="B3758" s="7">
        <v>40763</v>
      </c>
      <c r="C3758" s="1">
        <v>2</v>
      </c>
      <c r="D3758" s="1">
        <v>148</v>
      </c>
      <c r="E3758" s="1">
        <v>0</v>
      </c>
      <c r="F3758" s="1">
        <v>37</v>
      </c>
      <c r="L3758" s="1">
        <v>1</v>
      </c>
    </row>
    <row r="3759" spans="1:77" x14ac:dyDescent="0.3">
      <c r="A3759" s="1" t="s">
        <v>62</v>
      </c>
      <c r="B3759" s="7">
        <v>40763</v>
      </c>
      <c r="C3759" s="1">
        <v>2</v>
      </c>
      <c r="D3759" s="1">
        <v>148</v>
      </c>
      <c r="E3759" s="1">
        <v>0</v>
      </c>
      <c r="F3759" s="1">
        <v>38</v>
      </c>
      <c r="BI3759" s="1">
        <v>1</v>
      </c>
    </row>
    <row r="3760" spans="1:77" x14ac:dyDescent="0.3">
      <c r="A3760" s="1" t="s">
        <v>62</v>
      </c>
      <c r="B3760" s="7">
        <v>40763</v>
      </c>
      <c r="C3760" s="1">
        <v>2</v>
      </c>
      <c r="D3760" s="1">
        <v>148</v>
      </c>
      <c r="E3760" s="1">
        <v>0</v>
      </c>
      <c r="F3760" s="1">
        <v>39</v>
      </c>
      <c r="L3760" s="1">
        <v>1</v>
      </c>
    </row>
    <row r="3761" spans="1:70" x14ac:dyDescent="0.3">
      <c r="A3761" s="1" t="s">
        <v>62</v>
      </c>
      <c r="B3761" s="7">
        <v>40763</v>
      </c>
      <c r="C3761" s="1">
        <v>2</v>
      </c>
      <c r="D3761" s="1">
        <v>148</v>
      </c>
      <c r="E3761" s="1">
        <v>0</v>
      </c>
      <c r="F3761" s="1">
        <v>40</v>
      </c>
      <c r="AI3761" s="3">
        <v>0</v>
      </c>
      <c r="AJ3761" s="3">
        <v>1</v>
      </c>
      <c r="BR3761" s="1">
        <v>1</v>
      </c>
    </row>
    <row r="3762" spans="1:70" x14ac:dyDescent="0.3">
      <c r="A3762" s="1" t="s">
        <v>62</v>
      </c>
      <c r="B3762" s="7">
        <v>40763</v>
      </c>
      <c r="C3762" s="1">
        <v>2</v>
      </c>
      <c r="D3762" s="1">
        <v>148</v>
      </c>
      <c r="E3762" s="1">
        <v>0</v>
      </c>
      <c r="F3762" s="1">
        <v>41</v>
      </c>
      <c r="L3762" s="1">
        <v>1</v>
      </c>
    </row>
    <row r="3763" spans="1:70" x14ac:dyDescent="0.3">
      <c r="A3763" s="1" t="s">
        <v>62</v>
      </c>
      <c r="B3763" s="7">
        <v>40763</v>
      </c>
      <c r="C3763" s="1">
        <v>2</v>
      </c>
      <c r="D3763" s="1">
        <v>148</v>
      </c>
      <c r="E3763" s="1">
        <v>0</v>
      </c>
      <c r="F3763" s="1">
        <v>42</v>
      </c>
      <c r="R3763" s="1">
        <v>1</v>
      </c>
      <c r="AF3763" s="1">
        <v>1</v>
      </c>
    </row>
    <row r="3764" spans="1:70" x14ac:dyDescent="0.3">
      <c r="A3764" s="1" t="s">
        <v>62</v>
      </c>
      <c r="B3764" s="7">
        <v>40763</v>
      </c>
      <c r="C3764" s="1">
        <v>2</v>
      </c>
      <c r="D3764" s="1">
        <v>148</v>
      </c>
      <c r="E3764" s="1">
        <v>0</v>
      </c>
      <c r="F3764" s="1">
        <v>43</v>
      </c>
      <c r="G3764" s="1">
        <v>1</v>
      </c>
      <c r="L3764" s="1">
        <v>1</v>
      </c>
    </row>
    <row r="3765" spans="1:70" x14ac:dyDescent="0.3">
      <c r="A3765" s="1" t="s">
        <v>62</v>
      </c>
      <c r="B3765" s="7">
        <v>40763</v>
      </c>
      <c r="C3765" s="1">
        <v>2</v>
      </c>
      <c r="D3765" s="1">
        <v>148</v>
      </c>
      <c r="E3765" s="1">
        <v>0</v>
      </c>
      <c r="F3765" s="1">
        <v>44</v>
      </c>
      <c r="L3765" s="1">
        <v>1</v>
      </c>
      <c r="R3765" s="3">
        <v>0</v>
      </c>
      <c r="S3765" s="3">
        <v>1</v>
      </c>
      <c r="AB3765" s="1">
        <v>1</v>
      </c>
    </row>
    <row r="3766" spans="1:70" x14ac:dyDescent="0.3">
      <c r="A3766" s="1" t="s">
        <v>62</v>
      </c>
      <c r="B3766" s="7">
        <v>40763</v>
      </c>
      <c r="C3766" s="1">
        <v>2</v>
      </c>
      <c r="D3766" s="1">
        <v>148</v>
      </c>
      <c r="E3766" s="1">
        <v>0</v>
      </c>
      <c r="F3766" s="1">
        <v>45</v>
      </c>
      <c r="L3766" s="1">
        <v>1</v>
      </c>
      <c r="R3766" s="3">
        <v>0</v>
      </c>
      <c r="S3766" s="3">
        <v>1</v>
      </c>
    </row>
    <row r="3767" spans="1:70" x14ac:dyDescent="0.3">
      <c r="A3767" s="1" t="s">
        <v>62</v>
      </c>
      <c r="B3767" s="7">
        <v>40763</v>
      </c>
      <c r="C3767" s="1">
        <v>2</v>
      </c>
      <c r="D3767" s="1">
        <v>148</v>
      </c>
      <c r="E3767" s="1">
        <v>0</v>
      </c>
      <c r="F3767" s="1">
        <v>46</v>
      </c>
      <c r="R3767" s="1">
        <v>1</v>
      </c>
    </row>
    <row r="3768" spans="1:70" x14ac:dyDescent="0.3">
      <c r="A3768" s="1" t="s">
        <v>62</v>
      </c>
      <c r="B3768" s="7">
        <v>40763</v>
      </c>
      <c r="C3768" s="1">
        <v>2</v>
      </c>
      <c r="D3768" s="1">
        <v>148</v>
      </c>
      <c r="E3768" s="1">
        <v>0</v>
      </c>
      <c r="F3768" s="1">
        <v>47</v>
      </c>
      <c r="L3768" s="1">
        <v>1</v>
      </c>
      <c r="N3768" s="1">
        <v>1</v>
      </c>
      <c r="R3768" s="3">
        <v>0</v>
      </c>
      <c r="S3768" s="3">
        <v>1</v>
      </c>
    </row>
    <row r="3769" spans="1:70" x14ac:dyDescent="0.3">
      <c r="A3769" s="1" t="s">
        <v>62</v>
      </c>
      <c r="B3769" s="7">
        <v>40763</v>
      </c>
      <c r="C3769" s="1">
        <v>2</v>
      </c>
      <c r="D3769" s="1">
        <v>148</v>
      </c>
      <c r="E3769" s="1">
        <v>0</v>
      </c>
      <c r="F3769" s="1">
        <v>48</v>
      </c>
      <c r="H3769" s="1">
        <v>1</v>
      </c>
      <c r="R3769" s="3">
        <v>0</v>
      </c>
      <c r="S3769" s="3">
        <v>1</v>
      </c>
    </row>
    <row r="3770" spans="1:70" x14ac:dyDescent="0.3">
      <c r="A3770" s="1" t="s">
        <v>62</v>
      </c>
      <c r="B3770" s="7">
        <v>40763</v>
      </c>
      <c r="C3770" s="1">
        <v>2</v>
      </c>
      <c r="D3770" s="1">
        <v>148</v>
      </c>
      <c r="E3770" s="1">
        <v>0</v>
      </c>
      <c r="F3770" s="1">
        <v>49</v>
      </c>
      <c r="R3770" s="3">
        <v>0</v>
      </c>
      <c r="S3770" s="3">
        <v>1</v>
      </c>
    </row>
    <row r="3771" spans="1:70" x14ac:dyDescent="0.3">
      <c r="A3771" s="1" t="s">
        <v>62</v>
      </c>
      <c r="B3771" s="7">
        <v>40763</v>
      </c>
      <c r="C3771" s="1">
        <v>2</v>
      </c>
      <c r="D3771" s="1">
        <v>148</v>
      </c>
      <c r="E3771" s="1">
        <v>0</v>
      </c>
      <c r="F3771" s="1">
        <v>50</v>
      </c>
      <c r="R3771" s="3">
        <v>0</v>
      </c>
      <c r="S3771" s="3">
        <v>1</v>
      </c>
      <c r="AF3771" s="1">
        <v>1</v>
      </c>
    </row>
    <row r="3772" spans="1:70" x14ac:dyDescent="0.3">
      <c r="A3772" s="1" t="s">
        <v>62</v>
      </c>
      <c r="B3772" s="7">
        <v>40763</v>
      </c>
      <c r="C3772" s="1">
        <v>2</v>
      </c>
      <c r="D3772" s="1">
        <v>148</v>
      </c>
      <c r="E3772" s="1">
        <v>0</v>
      </c>
      <c r="F3772" s="1">
        <v>51</v>
      </c>
      <c r="L3772" s="1">
        <v>1</v>
      </c>
      <c r="R3772" s="1">
        <v>1</v>
      </c>
    </row>
    <row r="3773" spans="1:70" x14ac:dyDescent="0.3">
      <c r="A3773" s="1" t="s">
        <v>62</v>
      </c>
      <c r="B3773" s="7">
        <v>40763</v>
      </c>
      <c r="C3773" s="1">
        <v>2</v>
      </c>
      <c r="D3773" s="1">
        <v>148</v>
      </c>
      <c r="E3773" s="1">
        <v>0</v>
      </c>
      <c r="F3773" s="1">
        <v>52</v>
      </c>
      <c r="L3773" s="8">
        <v>1</v>
      </c>
      <c r="M3773" s="8"/>
      <c r="R3773" s="3">
        <v>0</v>
      </c>
      <c r="S3773" s="3">
        <v>1</v>
      </c>
      <c r="AB3773" s="1">
        <v>1</v>
      </c>
    </row>
    <row r="3774" spans="1:70" x14ac:dyDescent="0.3">
      <c r="A3774" s="1" t="s">
        <v>62</v>
      </c>
      <c r="B3774" s="7">
        <v>40763</v>
      </c>
      <c r="C3774" s="1">
        <v>2</v>
      </c>
      <c r="D3774" s="1">
        <v>148</v>
      </c>
      <c r="E3774" s="1">
        <v>0</v>
      </c>
      <c r="F3774" s="1">
        <v>53</v>
      </c>
      <c r="L3774" s="1">
        <v>1</v>
      </c>
      <c r="AB3774" s="1">
        <v>1</v>
      </c>
      <c r="BR3774" s="1">
        <v>1</v>
      </c>
    </row>
    <row r="3775" spans="1:70" x14ac:dyDescent="0.3">
      <c r="A3775" s="1" t="s">
        <v>62</v>
      </c>
      <c r="B3775" s="7">
        <v>40763</v>
      </c>
      <c r="C3775" s="1">
        <v>2</v>
      </c>
      <c r="D3775" s="1">
        <v>148</v>
      </c>
      <c r="E3775" s="1">
        <v>0</v>
      </c>
      <c r="F3775" s="1">
        <v>54</v>
      </c>
      <c r="H3775" s="1">
        <v>1</v>
      </c>
      <c r="R3775" s="1">
        <v>1</v>
      </c>
    </row>
    <row r="3776" spans="1:70" x14ac:dyDescent="0.3">
      <c r="A3776" s="1" t="s">
        <v>62</v>
      </c>
      <c r="B3776" s="7">
        <v>40763</v>
      </c>
      <c r="C3776" s="1">
        <v>2</v>
      </c>
      <c r="D3776" s="1">
        <v>148</v>
      </c>
      <c r="E3776" s="1">
        <v>0</v>
      </c>
      <c r="F3776" s="1">
        <v>55</v>
      </c>
      <c r="I3776" s="1">
        <v>1</v>
      </c>
      <c r="AF3776" s="1">
        <v>1</v>
      </c>
      <c r="BE3776" s="1">
        <v>1</v>
      </c>
    </row>
    <row r="3777" spans="1:57" x14ac:dyDescent="0.3">
      <c r="A3777" s="1" t="s">
        <v>62</v>
      </c>
      <c r="B3777" s="7">
        <v>40763</v>
      </c>
      <c r="C3777" s="1">
        <v>2</v>
      </c>
      <c r="D3777" s="1">
        <v>148</v>
      </c>
      <c r="E3777" s="1">
        <v>0</v>
      </c>
      <c r="F3777" s="1">
        <v>56</v>
      </c>
      <c r="AF3777" s="1">
        <v>1</v>
      </c>
      <c r="BE3777" s="1">
        <v>1</v>
      </c>
    </row>
    <row r="3778" spans="1:57" x14ac:dyDescent="0.3">
      <c r="A3778" s="1" t="s">
        <v>62</v>
      </c>
      <c r="B3778" s="7">
        <v>40763</v>
      </c>
      <c r="C3778" s="1">
        <v>2</v>
      </c>
      <c r="D3778" s="1">
        <v>148</v>
      </c>
      <c r="E3778" s="1">
        <v>0</v>
      </c>
      <c r="F3778" s="1">
        <v>57</v>
      </c>
      <c r="I3778" s="1">
        <v>1</v>
      </c>
      <c r="R3778" s="3">
        <v>0</v>
      </c>
      <c r="S3778" s="3">
        <v>1</v>
      </c>
      <c r="AF3778" s="1">
        <v>1</v>
      </c>
    </row>
    <row r="3779" spans="1:57" x14ac:dyDescent="0.3">
      <c r="A3779" s="1" t="s">
        <v>62</v>
      </c>
      <c r="B3779" s="7">
        <v>40763</v>
      </c>
      <c r="C3779" s="1">
        <v>2</v>
      </c>
      <c r="D3779" s="1">
        <v>148</v>
      </c>
      <c r="E3779" s="1">
        <v>0</v>
      </c>
      <c r="F3779" s="1">
        <v>58</v>
      </c>
      <c r="L3779" s="8">
        <v>1</v>
      </c>
      <c r="M3779" s="8"/>
      <c r="AB3779" s="1">
        <v>1</v>
      </c>
      <c r="BC3779" s="1">
        <v>1</v>
      </c>
    </row>
    <row r="3780" spans="1:57" x14ac:dyDescent="0.3">
      <c r="A3780" s="1" t="s">
        <v>62</v>
      </c>
      <c r="B3780" s="7">
        <v>40763</v>
      </c>
      <c r="C3780" s="1">
        <v>2</v>
      </c>
      <c r="D3780" s="1">
        <v>148</v>
      </c>
      <c r="E3780" s="1">
        <v>0</v>
      </c>
      <c r="F3780" s="1">
        <v>59</v>
      </c>
      <c r="I3780" s="1">
        <v>1</v>
      </c>
      <c r="R3780" s="1">
        <v>1</v>
      </c>
    </row>
    <row r="3781" spans="1:57" x14ac:dyDescent="0.3">
      <c r="A3781" s="1" t="s">
        <v>62</v>
      </c>
      <c r="B3781" s="7">
        <v>40763</v>
      </c>
      <c r="C3781" s="1">
        <v>2</v>
      </c>
      <c r="D3781" s="1">
        <v>148</v>
      </c>
      <c r="E3781" s="1">
        <v>0</v>
      </c>
      <c r="F3781" s="1">
        <v>60</v>
      </c>
      <c r="I3781" s="1">
        <v>1</v>
      </c>
      <c r="R3781" s="1">
        <v>1</v>
      </c>
    </row>
    <row r="3782" spans="1:57" x14ac:dyDescent="0.3">
      <c r="A3782" s="1" t="s">
        <v>62</v>
      </c>
      <c r="B3782" s="7">
        <v>40763</v>
      </c>
      <c r="C3782" s="1">
        <v>2</v>
      </c>
      <c r="D3782" s="1">
        <v>148</v>
      </c>
      <c r="E3782" s="1">
        <v>0</v>
      </c>
      <c r="F3782" s="1">
        <v>61</v>
      </c>
      <c r="L3782" s="1">
        <v>1</v>
      </c>
      <c r="AF3782" s="1">
        <v>1</v>
      </c>
    </row>
    <row r="3783" spans="1:57" x14ac:dyDescent="0.3">
      <c r="A3783" s="1" t="s">
        <v>62</v>
      </c>
      <c r="B3783" s="7">
        <v>40763</v>
      </c>
      <c r="C3783" s="1">
        <v>2</v>
      </c>
      <c r="D3783" s="1">
        <v>148</v>
      </c>
      <c r="E3783" s="1">
        <v>0</v>
      </c>
      <c r="F3783" s="1">
        <v>62</v>
      </c>
      <c r="R3783" s="3">
        <v>0</v>
      </c>
      <c r="S3783" s="3">
        <v>1</v>
      </c>
      <c r="AF3783" s="1">
        <v>1</v>
      </c>
    </row>
    <row r="3784" spans="1:57" x14ac:dyDescent="0.3">
      <c r="A3784" s="1" t="s">
        <v>62</v>
      </c>
      <c r="B3784" s="7">
        <v>40763</v>
      </c>
      <c r="C3784" s="1">
        <v>2</v>
      </c>
      <c r="D3784" s="1">
        <v>148</v>
      </c>
      <c r="E3784" s="1">
        <v>0</v>
      </c>
      <c r="F3784" s="1">
        <v>63</v>
      </c>
      <c r="L3784" s="1">
        <v>1</v>
      </c>
    </row>
    <row r="3785" spans="1:57" x14ac:dyDescent="0.3">
      <c r="A3785" s="1" t="s">
        <v>62</v>
      </c>
      <c r="B3785" s="7">
        <v>40763</v>
      </c>
      <c r="C3785" s="1">
        <v>2</v>
      </c>
      <c r="D3785" s="1">
        <v>148</v>
      </c>
      <c r="E3785" s="1">
        <v>0</v>
      </c>
      <c r="F3785" s="1">
        <v>64</v>
      </c>
      <c r="R3785" s="3">
        <v>0</v>
      </c>
      <c r="S3785" s="3">
        <v>1</v>
      </c>
      <c r="AB3785" s="1">
        <v>1</v>
      </c>
    </row>
    <row r="3786" spans="1:57" x14ac:dyDescent="0.3">
      <c r="A3786" s="1" t="s">
        <v>62</v>
      </c>
      <c r="B3786" s="7">
        <v>40763</v>
      </c>
      <c r="C3786" s="1">
        <v>2</v>
      </c>
      <c r="D3786" s="1">
        <v>148</v>
      </c>
      <c r="E3786" s="1">
        <v>0</v>
      </c>
      <c r="F3786" s="1">
        <v>65</v>
      </c>
      <c r="L3786" s="1">
        <v>1</v>
      </c>
      <c r="R3786" s="3">
        <v>0</v>
      </c>
      <c r="S3786" s="3">
        <v>1</v>
      </c>
    </row>
    <row r="3787" spans="1:57" x14ac:dyDescent="0.3">
      <c r="A3787" s="1" t="s">
        <v>62</v>
      </c>
      <c r="B3787" s="7">
        <v>40763</v>
      </c>
      <c r="C3787" s="1">
        <v>2</v>
      </c>
      <c r="D3787" s="1">
        <v>148</v>
      </c>
      <c r="E3787" s="1">
        <v>0</v>
      </c>
      <c r="F3787" s="1">
        <v>66</v>
      </c>
      <c r="L3787" s="8">
        <v>1</v>
      </c>
      <c r="M3787" s="8"/>
    </row>
    <row r="3788" spans="1:57" x14ac:dyDescent="0.3">
      <c r="A3788" s="1" t="s">
        <v>62</v>
      </c>
      <c r="B3788" s="7">
        <v>40763</v>
      </c>
      <c r="C3788" s="1">
        <v>2</v>
      </c>
      <c r="D3788" s="1">
        <v>148</v>
      </c>
      <c r="E3788" s="1">
        <v>0</v>
      </c>
      <c r="F3788" s="1">
        <v>67</v>
      </c>
      <c r="L3788" s="1">
        <v>1</v>
      </c>
      <c r="R3788" s="3">
        <v>0</v>
      </c>
      <c r="S3788" s="3">
        <v>1</v>
      </c>
    </row>
    <row r="3789" spans="1:57" x14ac:dyDescent="0.3">
      <c r="A3789" s="1" t="s">
        <v>62</v>
      </c>
      <c r="B3789" s="7">
        <v>40763</v>
      </c>
      <c r="C3789" s="1">
        <v>2</v>
      </c>
      <c r="D3789" s="1">
        <v>148</v>
      </c>
      <c r="E3789" s="1">
        <v>0</v>
      </c>
      <c r="F3789" s="1">
        <v>68</v>
      </c>
      <c r="R3789" s="3">
        <v>0</v>
      </c>
      <c r="S3789" s="3">
        <v>1</v>
      </c>
      <c r="AF3789" s="1">
        <v>1</v>
      </c>
    </row>
    <row r="3790" spans="1:57" x14ac:dyDescent="0.3">
      <c r="A3790" s="1" t="s">
        <v>62</v>
      </c>
      <c r="B3790" s="7">
        <v>40763</v>
      </c>
      <c r="C3790" s="1">
        <v>2</v>
      </c>
      <c r="D3790" s="1">
        <v>148</v>
      </c>
      <c r="E3790" s="1">
        <v>0</v>
      </c>
      <c r="F3790" s="1">
        <v>69</v>
      </c>
      <c r="H3790" s="1">
        <v>1</v>
      </c>
    </row>
    <row r="3791" spans="1:57" x14ac:dyDescent="0.3">
      <c r="A3791" s="1" t="s">
        <v>62</v>
      </c>
      <c r="B3791" s="7">
        <v>40763</v>
      </c>
      <c r="C3791" s="1">
        <v>2</v>
      </c>
      <c r="D3791" s="1">
        <v>148</v>
      </c>
      <c r="E3791" s="1">
        <v>0</v>
      </c>
      <c r="F3791" s="1">
        <v>70</v>
      </c>
      <c r="I3791" s="1">
        <v>1</v>
      </c>
      <c r="R3791" s="3">
        <v>0</v>
      </c>
      <c r="S3791" s="3">
        <v>1</v>
      </c>
    </row>
    <row r="3792" spans="1:57" x14ac:dyDescent="0.3">
      <c r="A3792" s="1" t="s">
        <v>62</v>
      </c>
      <c r="B3792" s="7">
        <v>40763</v>
      </c>
      <c r="C3792" s="1">
        <v>2</v>
      </c>
      <c r="D3792" s="1">
        <v>148</v>
      </c>
      <c r="E3792" s="1">
        <v>0</v>
      </c>
      <c r="F3792" s="1">
        <v>71</v>
      </c>
      <c r="I3792" s="1">
        <v>1</v>
      </c>
      <c r="L3792" s="1">
        <v>1</v>
      </c>
    </row>
    <row r="3793" spans="1:73" x14ac:dyDescent="0.3">
      <c r="A3793" s="1" t="s">
        <v>62</v>
      </c>
      <c r="B3793" s="7">
        <v>40763</v>
      </c>
      <c r="C3793" s="1">
        <v>2</v>
      </c>
      <c r="D3793" s="1">
        <v>148</v>
      </c>
      <c r="E3793" s="1">
        <v>0</v>
      </c>
      <c r="F3793" s="1">
        <v>72</v>
      </c>
      <c r="L3793" s="1">
        <v>1</v>
      </c>
      <c r="BI3793" s="1">
        <v>1</v>
      </c>
    </row>
    <row r="3794" spans="1:73" x14ac:dyDescent="0.3">
      <c r="A3794" s="1" t="s">
        <v>62</v>
      </c>
      <c r="B3794" s="7">
        <v>40763</v>
      </c>
      <c r="C3794" s="1">
        <v>2</v>
      </c>
      <c r="D3794" s="1">
        <v>148</v>
      </c>
      <c r="E3794" s="1">
        <v>0</v>
      </c>
      <c r="F3794" s="1">
        <v>73</v>
      </c>
      <c r="AF3794" s="1">
        <v>1</v>
      </c>
      <c r="BE3794" s="1">
        <v>1</v>
      </c>
    </row>
    <row r="3795" spans="1:73" x14ac:dyDescent="0.3">
      <c r="A3795" s="1" t="s">
        <v>62</v>
      </c>
      <c r="B3795" s="7">
        <v>40763</v>
      </c>
      <c r="C3795" s="1">
        <v>2</v>
      </c>
      <c r="D3795" s="1">
        <v>148</v>
      </c>
      <c r="E3795" s="1">
        <v>0</v>
      </c>
      <c r="F3795" s="1">
        <v>74</v>
      </c>
      <c r="AB3795" s="1">
        <v>1</v>
      </c>
      <c r="BU3795" s="1">
        <v>1</v>
      </c>
    </row>
    <row r="3796" spans="1:73" x14ac:dyDescent="0.3">
      <c r="A3796" s="1" t="s">
        <v>62</v>
      </c>
      <c r="B3796" s="7">
        <v>40763</v>
      </c>
      <c r="C3796" s="1">
        <v>2</v>
      </c>
      <c r="D3796" s="1">
        <v>148</v>
      </c>
      <c r="E3796" s="1">
        <v>0</v>
      </c>
      <c r="F3796" s="1">
        <v>75</v>
      </c>
      <c r="L3796" s="1">
        <v>1</v>
      </c>
      <c r="AI3796" s="3">
        <v>0</v>
      </c>
      <c r="AJ3796" s="3">
        <v>1</v>
      </c>
    </row>
    <row r="3797" spans="1:73" x14ac:dyDescent="0.3">
      <c r="A3797" s="1" t="s">
        <v>62</v>
      </c>
      <c r="B3797" s="7">
        <v>40763</v>
      </c>
      <c r="C3797" s="1">
        <v>2</v>
      </c>
      <c r="D3797" s="1">
        <v>148</v>
      </c>
      <c r="E3797" s="1">
        <v>0</v>
      </c>
      <c r="F3797" s="1">
        <v>76</v>
      </c>
      <c r="AB3797" s="1">
        <v>1</v>
      </c>
    </row>
    <row r="3798" spans="1:73" x14ac:dyDescent="0.3">
      <c r="A3798" s="1" t="s">
        <v>62</v>
      </c>
      <c r="B3798" s="7">
        <v>40763</v>
      </c>
      <c r="C3798" s="1">
        <v>2</v>
      </c>
      <c r="D3798" s="1">
        <v>148</v>
      </c>
      <c r="E3798" s="1">
        <v>0</v>
      </c>
      <c r="F3798" s="1">
        <v>77</v>
      </c>
      <c r="H3798" s="1">
        <v>1</v>
      </c>
    </row>
    <row r="3799" spans="1:73" x14ac:dyDescent="0.3">
      <c r="A3799" s="1" t="s">
        <v>62</v>
      </c>
      <c r="B3799" s="7">
        <v>40763</v>
      </c>
      <c r="C3799" s="1">
        <v>2</v>
      </c>
      <c r="D3799" s="1">
        <v>148</v>
      </c>
      <c r="E3799" s="1">
        <v>0</v>
      </c>
      <c r="F3799" s="1">
        <v>78</v>
      </c>
      <c r="L3799" s="8">
        <v>1</v>
      </c>
      <c r="M3799" s="8"/>
    </row>
    <row r="3800" spans="1:73" x14ac:dyDescent="0.3">
      <c r="A3800" s="1" t="s">
        <v>62</v>
      </c>
      <c r="B3800" s="7">
        <v>40763</v>
      </c>
      <c r="C3800" s="1">
        <v>2</v>
      </c>
      <c r="D3800" s="1">
        <v>148</v>
      </c>
      <c r="E3800" s="1">
        <v>0</v>
      </c>
      <c r="F3800" s="1">
        <v>79</v>
      </c>
      <c r="H3800" s="1">
        <v>1</v>
      </c>
    </row>
    <row r="3801" spans="1:73" x14ac:dyDescent="0.3">
      <c r="A3801" s="1" t="s">
        <v>62</v>
      </c>
      <c r="B3801" s="7">
        <v>40763</v>
      </c>
      <c r="C3801" s="1">
        <v>2</v>
      </c>
      <c r="D3801" s="1">
        <v>148</v>
      </c>
      <c r="E3801" s="1">
        <v>0</v>
      </c>
      <c r="F3801" s="1">
        <v>80</v>
      </c>
      <c r="H3801" s="1">
        <v>1</v>
      </c>
    </row>
    <row r="3802" spans="1:73" x14ac:dyDescent="0.3">
      <c r="A3802" s="1" t="s">
        <v>62</v>
      </c>
      <c r="B3802" s="7">
        <v>40763</v>
      </c>
      <c r="C3802" s="1">
        <v>2</v>
      </c>
      <c r="D3802" s="1">
        <v>148</v>
      </c>
      <c r="E3802" s="1">
        <v>0</v>
      </c>
      <c r="F3802" s="1">
        <v>81</v>
      </c>
      <c r="L3802" s="1">
        <v>1</v>
      </c>
      <c r="AB3802" s="1">
        <v>1</v>
      </c>
    </row>
    <row r="3803" spans="1:73" x14ac:dyDescent="0.3">
      <c r="A3803" s="1" t="s">
        <v>62</v>
      </c>
      <c r="B3803" s="7">
        <v>40763</v>
      </c>
      <c r="C3803" s="1">
        <v>2</v>
      </c>
      <c r="D3803" s="1">
        <v>148</v>
      </c>
      <c r="E3803" s="1">
        <v>0</v>
      </c>
      <c r="F3803" s="1">
        <v>82</v>
      </c>
      <c r="I3803" s="1">
        <v>1</v>
      </c>
      <c r="L3803" s="1">
        <v>1</v>
      </c>
    </row>
    <row r="3804" spans="1:73" x14ac:dyDescent="0.3">
      <c r="A3804" s="1" t="s">
        <v>62</v>
      </c>
      <c r="B3804" s="7">
        <v>40763</v>
      </c>
      <c r="C3804" s="1">
        <v>2</v>
      </c>
      <c r="D3804" s="1">
        <v>148</v>
      </c>
      <c r="E3804" s="1">
        <v>0</v>
      </c>
      <c r="F3804" s="1">
        <v>83</v>
      </c>
      <c r="L3804" s="1">
        <v>1</v>
      </c>
    </row>
    <row r="3805" spans="1:73" x14ac:dyDescent="0.3">
      <c r="A3805" s="1" t="s">
        <v>62</v>
      </c>
      <c r="B3805" s="7">
        <v>40763</v>
      </c>
      <c r="C3805" s="1">
        <v>2</v>
      </c>
      <c r="D3805" s="1">
        <v>148</v>
      </c>
      <c r="E3805" s="1">
        <v>0</v>
      </c>
      <c r="F3805" s="1">
        <v>84</v>
      </c>
      <c r="I3805" s="1">
        <v>1</v>
      </c>
      <c r="L3805" s="1">
        <v>1</v>
      </c>
    </row>
    <row r="3806" spans="1:73" x14ac:dyDescent="0.3">
      <c r="A3806" s="1" t="s">
        <v>62</v>
      </c>
      <c r="B3806" s="7">
        <v>40763</v>
      </c>
      <c r="C3806" s="1">
        <v>2</v>
      </c>
      <c r="D3806" s="1">
        <v>148</v>
      </c>
      <c r="E3806" s="1">
        <v>0</v>
      </c>
      <c r="F3806" s="1">
        <v>85</v>
      </c>
      <c r="R3806" s="3">
        <v>0</v>
      </c>
      <c r="S3806" s="3">
        <v>1</v>
      </c>
    </row>
    <row r="3807" spans="1:73" x14ac:dyDescent="0.3">
      <c r="A3807" s="1" t="s">
        <v>62</v>
      </c>
      <c r="B3807" s="7">
        <v>40763</v>
      </c>
      <c r="C3807" s="1">
        <v>2</v>
      </c>
      <c r="D3807" s="1">
        <v>148</v>
      </c>
      <c r="E3807" s="1">
        <v>0</v>
      </c>
      <c r="F3807" s="1">
        <v>86</v>
      </c>
      <c r="V3807" s="1">
        <v>1</v>
      </c>
      <c r="AB3807" s="1">
        <v>1</v>
      </c>
    </row>
    <row r="3808" spans="1:73" x14ac:dyDescent="0.3">
      <c r="A3808" s="1" t="s">
        <v>62</v>
      </c>
      <c r="B3808" s="7">
        <v>40763</v>
      </c>
      <c r="C3808" s="1">
        <v>2</v>
      </c>
      <c r="D3808" s="1">
        <v>148</v>
      </c>
      <c r="E3808" s="1">
        <v>0</v>
      </c>
      <c r="F3808" s="1">
        <v>87</v>
      </c>
      <c r="AB3808" s="1">
        <v>1</v>
      </c>
    </row>
    <row r="3809" spans="1:70" x14ac:dyDescent="0.3">
      <c r="A3809" s="1" t="s">
        <v>62</v>
      </c>
      <c r="B3809" s="7">
        <v>40763</v>
      </c>
      <c r="C3809" s="1">
        <v>2</v>
      </c>
      <c r="D3809" s="1">
        <v>148</v>
      </c>
      <c r="E3809" s="1">
        <v>0</v>
      </c>
      <c r="F3809" s="1">
        <v>88</v>
      </c>
      <c r="R3809" s="3">
        <v>0</v>
      </c>
      <c r="S3809" s="3">
        <v>1</v>
      </c>
    </row>
    <row r="3810" spans="1:70" x14ac:dyDescent="0.3">
      <c r="A3810" s="1" t="s">
        <v>62</v>
      </c>
      <c r="B3810" s="7">
        <v>40763</v>
      </c>
      <c r="C3810" s="1">
        <v>2</v>
      </c>
      <c r="D3810" s="1">
        <v>148</v>
      </c>
      <c r="E3810" s="1">
        <v>0</v>
      </c>
      <c r="F3810" s="1">
        <v>89</v>
      </c>
      <c r="BR3810" s="1">
        <v>1</v>
      </c>
    </row>
    <row r="3811" spans="1:70" x14ac:dyDescent="0.3">
      <c r="A3811" s="1" t="s">
        <v>62</v>
      </c>
      <c r="B3811" s="7">
        <v>40763</v>
      </c>
      <c r="C3811" s="1">
        <v>2</v>
      </c>
      <c r="D3811" s="1">
        <v>148</v>
      </c>
      <c r="E3811" s="1">
        <v>0</v>
      </c>
      <c r="F3811" s="1">
        <v>90</v>
      </c>
      <c r="H3811" s="1">
        <v>1</v>
      </c>
      <c r="BC3811" s="1">
        <v>1</v>
      </c>
    </row>
    <row r="3812" spans="1:70" x14ac:dyDescent="0.3">
      <c r="A3812" s="1" t="s">
        <v>62</v>
      </c>
      <c r="B3812" s="7">
        <v>40763</v>
      </c>
      <c r="C3812" s="1">
        <v>2</v>
      </c>
      <c r="D3812" s="1">
        <v>148</v>
      </c>
      <c r="E3812" s="1">
        <v>0</v>
      </c>
      <c r="F3812" s="1">
        <v>91</v>
      </c>
      <c r="L3812" s="1">
        <v>1</v>
      </c>
      <c r="AF3812" s="1">
        <v>1</v>
      </c>
      <c r="BE3812" s="1">
        <v>1</v>
      </c>
    </row>
    <row r="3813" spans="1:70" x14ac:dyDescent="0.3">
      <c r="A3813" s="1" t="s">
        <v>62</v>
      </c>
      <c r="B3813" s="7">
        <v>40763</v>
      </c>
      <c r="C3813" s="1">
        <v>2</v>
      </c>
      <c r="D3813" s="1">
        <v>148</v>
      </c>
      <c r="E3813" s="1">
        <v>0</v>
      </c>
      <c r="F3813" s="1">
        <v>92</v>
      </c>
      <c r="L3813" s="1">
        <v>1</v>
      </c>
      <c r="AF3813" s="1">
        <v>1</v>
      </c>
      <c r="BE3813" s="1">
        <v>1</v>
      </c>
    </row>
    <row r="3814" spans="1:70" x14ac:dyDescent="0.3">
      <c r="A3814" s="1" t="s">
        <v>62</v>
      </c>
      <c r="B3814" s="7">
        <v>40763</v>
      </c>
      <c r="C3814" s="1">
        <v>2</v>
      </c>
      <c r="D3814" s="1">
        <v>148</v>
      </c>
      <c r="E3814" s="1">
        <v>0</v>
      </c>
      <c r="F3814" s="1">
        <v>93</v>
      </c>
      <c r="R3814" s="3">
        <v>0</v>
      </c>
      <c r="S3814" s="3">
        <v>1</v>
      </c>
      <c r="AB3814" s="1">
        <v>1</v>
      </c>
      <c r="AF3814" s="1">
        <v>1</v>
      </c>
    </row>
    <row r="3815" spans="1:70" x14ac:dyDescent="0.3">
      <c r="A3815" s="1" t="s">
        <v>62</v>
      </c>
      <c r="B3815" s="7">
        <v>40763</v>
      </c>
      <c r="C3815" s="1">
        <v>2</v>
      </c>
      <c r="D3815" s="1">
        <v>148</v>
      </c>
      <c r="E3815" s="1">
        <v>0</v>
      </c>
      <c r="F3815" s="1">
        <v>94</v>
      </c>
      <c r="AF3815" s="1">
        <v>1</v>
      </c>
    </row>
    <row r="3816" spans="1:70" x14ac:dyDescent="0.3">
      <c r="A3816" s="1" t="s">
        <v>62</v>
      </c>
      <c r="B3816" s="7">
        <v>40763</v>
      </c>
      <c r="C3816" s="1">
        <v>2</v>
      </c>
      <c r="D3816" s="1">
        <v>148</v>
      </c>
      <c r="E3816" s="1">
        <v>0</v>
      </c>
      <c r="F3816" s="1">
        <v>95</v>
      </c>
      <c r="H3816" s="1">
        <v>1</v>
      </c>
      <c r="BR3816" s="1">
        <v>1</v>
      </c>
    </row>
    <row r="3817" spans="1:70" x14ac:dyDescent="0.3">
      <c r="A3817" s="1" t="s">
        <v>62</v>
      </c>
      <c r="B3817" s="7">
        <v>40763</v>
      </c>
      <c r="C3817" s="1">
        <v>2</v>
      </c>
      <c r="D3817" s="1">
        <v>148</v>
      </c>
      <c r="E3817" s="1">
        <v>0</v>
      </c>
      <c r="F3817" s="1">
        <v>96</v>
      </c>
      <c r="H3817" s="1">
        <v>1</v>
      </c>
    </row>
    <row r="3818" spans="1:70" x14ac:dyDescent="0.3">
      <c r="A3818" s="1" t="s">
        <v>62</v>
      </c>
      <c r="B3818" s="7">
        <v>40763</v>
      </c>
      <c r="C3818" s="1">
        <v>2</v>
      </c>
      <c r="D3818" s="1">
        <v>148</v>
      </c>
      <c r="E3818" s="1">
        <v>0</v>
      </c>
      <c r="F3818" s="1">
        <v>97</v>
      </c>
      <c r="V3818" s="1">
        <v>1</v>
      </c>
      <c r="BE3818" s="1">
        <v>1</v>
      </c>
    </row>
    <row r="3819" spans="1:70" x14ac:dyDescent="0.3">
      <c r="A3819" s="1" t="s">
        <v>62</v>
      </c>
      <c r="B3819" s="7">
        <v>40763</v>
      </c>
      <c r="C3819" s="1">
        <v>2</v>
      </c>
      <c r="D3819" s="1">
        <v>148</v>
      </c>
      <c r="E3819" s="1">
        <v>0</v>
      </c>
      <c r="F3819" s="1">
        <v>98</v>
      </c>
      <c r="H3819" s="1">
        <v>1</v>
      </c>
      <c r="BI3819" s="1">
        <v>1</v>
      </c>
    </row>
    <row r="3820" spans="1:70" x14ac:dyDescent="0.3">
      <c r="A3820" s="1" t="s">
        <v>62</v>
      </c>
      <c r="B3820" s="7">
        <v>40763</v>
      </c>
      <c r="C3820" s="1">
        <v>2</v>
      </c>
      <c r="D3820" s="1">
        <v>148</v>
      </c>
      <c r="E3820" s="1">
        <v>0</v>
      </c>
      <c r="F3820" s="1">
        <v>99</v>
      </c>
      <c r="V3820" s="1">
        <v>1</v>
      </c>
      <c r="AB3820" s="1">
        <v>1</v>
      </c>
    </row>
    <row r="3821" spans="1:70" x14ac:dyDescent="0.3">
      <c r="A3821" s="1" t="s">
        <v>62</v>
      </c>
      <c r="B3821" s="7">
        <v>40763</v>
      </c>
      <c r="C3821" s="1">
        <v>2</v>
      </c>
      <c r="D3821" s="1">
        <v>148</v>
      </c>
      <c r="E3821" s="1">
        <v>0</v>
      </c>
      <c r="F3821" s="1">
        <v>100</v>
      </c>
      <c r="L3821" s="1">
        <v>1</v>
      </c>
      <c r="V3821" s="1">
        <v>1</v>
      </c>
    </row>
    <row r="3822" spans="1:70" x14ac:dyDescent="0.3">
      <c r="A3822" s="1" t="s">
        <v>62</v>
      </c>
      <c r="B3822" s="7">
        <v>40763</v>
      </c>
      <c r="C3822" s="1">
        <v>5</v>
      </c>
      <c r="D3822" s="1">
        <v>228</v>
      </c>
      <c r="E3822" s="1">
        <v>0</v>
      </c>
      <c r="F3822" s="1">
        <v>1</v>
      </c>
      <c r="L3822" s="1">
        <v>1</v>
      </c>
      <c r="Y3822" s="1">
        <v>1</v>
      </c>
    </row>
    <row r="3823" spans="1:70" x14ac:dyDescent="0.3">
      <c r="A3823" s="1" t="s">
        <v>62</v>
      </c>
      <c r="B3823" s="7">
        <v>40763</v>
      </c>
      <c r="C3823" s="1">
        <v>5</v>
      </c>
      <c r="D3823" s="1">
        <v>228</v>
      </c>
      <c r="E3823" s="1">
        <v>0</v>
      </c>
      <c r="F3823" s="1">
        <v>2</v>
      </c>
      <c r="L3823" s="8">
        <v>1</v>
      </c>
      <c r="M3823" s="8"/>
      <c r="W3823" s="1">
        <v>1</v>
      </c>
    </row>
    <row r="3824" spans="1:70" x14ac:dyDescent="0.3">
      <c r="A3824" s="1" t="s">
        <v>62</v>
      </c>
      <c r="B3824" s="7">
        <v>40763</v>
      </c>
      <c r="C3824" s="1">
        <v>5</v>
      </c>
      <c r="D3824" s="1">
        <v>228</v>
      </c>
      <c r="E3824" s="1">
        <v>0</v>
      </c>
      <c r="F3824" s="1">
        <v>3</v>
      </c>
      <c r="L3824" s="1">
        <v>1</v>
      </c>
      <c r="R3824" s="3">
        <v>0</v>
      </c>
      <c r="S3824" s="3">
        <v>1</v>
      </c>
    </row>
    <row r="3825" spans="1:78" x14ac:dyDescent="0.3">
      <c r="A3825" s="1" t="s">
        <v>62</v>
      </c>
      <c r="B3825" s="7">
        <v>40763</v>
      </c>
      <c r="C3825" s="1">
        <v>5</v>
      </c>
      <c r="D3825" s="1">
        <v>228</v>
      </c>
      <c r="E3825" s="1">
        <v>0</v>
      </c>
      <c r="F3825" s="1">
        <v>4</v>
      </c>
      <c r="L3825" s="1">
        <v>1</v>
      </c>
      <c r="AB3825" s="1">
        <v>1</v>
      </c>
    </row>
    <row r="3826" spans="1:78" x14ac:dyDescent="0.3">
      <c r="A3826" s="1" t="s">
        <v>62</v>
      </c>
      <c r="B3826" s="7">
        <v>40763</v>
      </c>
      <c r="C3826" s="1">
        <v>5</v>
      </c>
      <c r="D3826" s="1">
        <v>228</v>
      </c>
      <c r="E3826" s="1">
        <v>0</v>
      </c>
      <c r="F3826" s="1">
        <v>5</v>
      </c>
      <c r="L3826" s="1">
        <v>1</v>
      </c>
      <c r="Y3826" s="1">
        <v>1</v>
      </c>
    </row>
    <row r="3827" spans="1:78" x14ac:dyDescent="0.3">
      <c r="A3827" s="1" t="s">
        <v>62</v>
      </c>
      <c r="B3827" s="7">
        <v>40763</v>
      </c>
      <c r="C3827" s="1">
        <v>5</v>
      </c>
      <c r="D3827" s="1">
        <v>228</v>
      </c>
      <c r="E3827" s="1">
        <v>0</v>
      </c>
      <c r="F3827" s="1">
        <v>6</v>
      </c>
      <c r="G3827" s="1">
        <v>1</v>
      </c>
      <c r="L3827" s="1">
        <v>1</v>
      </c>
    </row>
    <row r="3828" spans="1:78" x14ac:dyDescent="0.3">
      <c r="A3828" s="1" t="s">
        <v>62</v>
      </c>
      <c r="B3828" s="7">
        <v>40763</v>
      </c>
      <c r="C3828" s="1">
        <v>5</v>
      </c>
      <c r="D3828" s="1">
        <v>228</v>
      </c>
      <c r="E3828" s="1">
        <v>0</v>
      </c>
      <c r="F3828" s="1">
        <v>7</v>
      </c>
      <c r="L3828" s="8">
        <v>1</v>
      </c>
      <c r="M3828" s="8"/>
    </row>
    <row r="3829" spans="1:78" x14ac:dyDescent="0.3">
      <c r="A3829" s="1" t="s">
        <v>62</v>
      </c>
      <c r="B3829" s="7">
        <v>40763</v>
      </c>
      <c r="C3829" s="1">
        <v>5</v>
      </c>
      <c r="D3829" s="1">
        <v>228</v>
      </c>
      <c r="E3829" s="1">
        <v>0</v>
      </c>
      <c r="F3829" s="1">
        <v>8</v>
      </c>
      <c r="L3829" s="1">
        <v>1</v>
      </c>
    </row>
    <row r="3830" spans="1:78" x14ac:dyDescent="0.3">
      <c r="A3830" s="1" t="s">
        <v>62</v>
      </c>
      <c r="B3830" s="7">
        <v>40763</v>
      </c>
      <c r="C3830" s="1">
        <v>5</v>
      </c>
      <c r="D3830" s="1">
        <v>228</v>
      </c>
      <c r="E3830" s="1">
        <v>0</v>
      </c>
      <c r="F3830" s="1">
        <v>9</v>
      </c>
      <c r="L3830" s="1">
        <v>1</v>
      </c>
      <c r="BI3830" s="1">
        <v>1</v>
      </c>
    </row>
    <row r="3831" spans="1:78" x14ac:dyDescent="0.3">
      <c r="A3831" s="1" t="s">
        <v>62</v>
      </c>
      <c r="B3831" s="7">
        <v>40763</v>
      </c>
      <c r="C3831" s="1">
        <v>5</v>
      </c>
      <c r="D3831" s="1">
        <v>228</v>
      </c>
      <c r="E3831" s="1">
        <v>0</v>
      </c>
      <c r="F3831" s="1">
        <v>10</v>
      </c>
      <c r="L3831" s="1">
        <v>1</v>
      </c>
    </row>
    <row r="3832" spans="1:78" x14ac:dyDescent="0.3">
      <c r="A3832" s="1" t="s">
        <v>62</v>
      </c>
      <c r="B3832" s="7">
        <v>40763</v>
      </c>
      <c r="C3832" s="1">
        <v>5</v>
      </c>
      <c r="D3832" s="1">
        <v>228</v>
      </c>
      <c r="E3832" s="1">
        <v>0</v>
      </c>
      <c r="F3832" s="1">
        <v>11</v>
      </c>
      <c r="L3832" s="1">
        <v>1</v>
      </c>
      <c r="AB3832" s="1">
        <v>1</v>
      </c>
      <c r="BZ3832" s="1">
        <v>1</v>
      </c>
    </row>
    <row r="3833" spans="1:78" x14ac:dyDescent="0.3">
      <c r="A3833" s="1" t="s">
        <v>62</v>
      </c>
      <c r="B3833" s="7">
        <v>40763</v>
      </c>
      <c r="C3833" s="1">
        <v>5</v>
      </c>
      <c r="D3833" s="1">
        <v>228</v>
      </c>
      <c r="E3833" s="1">
        <v>0</v>
      </c>
      <c r="F3833" s="1">
        <v>12</v>
      </c>
      <c r="L3833" s="1">
        <v>1</v>
      </c>
      <c r="R3833" s="3">
        <v>0</v>
      </c>
      <c r="S3833" s="3">
        <v>1</v>
      </c>
    </row>
    <row r="3834" spans="1:78" x14ac:dyDescent="0.3">
      <c r="A3834" s="1" t="s">
        <v>62</v>
      </c>
      <c r="B3834" s="7">
        <v>40763</v>
      </c>
      <c r="C3834" s="1">
        <v>5</v>
      </c>
      <c r="D3834" s="1">
        <v>228</v>
      </c>
      <c r="E3834" s="1">
        <v>0</v>
      </c>
      <c r="F3834" s="1">
        <v>13</v>
      </c>
      <c r="L3834" s="1">
        <v>1</v>
      </c>
      <c r="R3834" s="3">
        <v>0</v>
      </c>
      <c r="S3834" s="3">
        <v>1</v>
      </c>
    </row>
    <row r="3835" spans="1:78" x14ac:dyDescent="0.3">
      <c r="A3835" s="1" t="s">
        <v>62</v>
      </c>
      <c r="B3835" s="7">
        <v>40763</v>
      </c>
      <c r="C3835" s="1">
        <v>5</v>
      </c>
      <c r="D3835" s="1">
        <v>228</v>
      </c>
      <c r="E3835" s="1">
        <v>0</v>
      </c>
      <c r="F3835" s="1">
        <v>14</v>
      </c>
      <c r="L3835" s="1">
        <v>1</v>
      </c>
      <c r="R3835" s="3">
        <v>0</v>
      </c>
      <c r="S3835" s="3">
        <v>1</v>
      </c>
      <c r="AB3835" s="1">
        <v>1</v>
      </c>
    </row>
    <row r="3836" spans="1:78" x14ac:dyDescent="0.3">
      <c r="A3836" s="1" t="s">
        <v>62</v>
      </c>
      <c r="B3836" s="7">
        <v>40763</v>
      </c>
      <c r="C3836" s="1">
        <v>5</v>
      </c>
      <c r="D3836" s="1">
        <v>228</v>
      </c>
      <c r="E3836" s="1">
        <v>0</v>
      </c>
      <c r="F3836" s="1">
        <v>15</v>
      </c>
      <c r="L3836" s="1">
        <v>1</v>
      </c>
    </row>
    <row r="3837" spans="1:78" x14ac:dyDescent="0.3">
      <c r="A3837" s="1" t="s">
        <v>62</v>
      </c>
      <c r="B3837" s="7">
        <v>40763</v>
      </c>
      <c r="C3837" s="1">
        <v>5</v>
      </c>
      <c r="D3837" s="1">
        <v>228</v>
      </c>
      <c r="E3837" s="1">
        <v>0</v>
      </c>
      <c r="F3837" s="1">
        <v>16</v>
      </c>
      <c r="R3837" s="3">
        <v>0</v>
      </c>
      <c r="S3837" s="3">
        <v>1</v>
      </c>
    </row>
    <row r="3838" spans="1:78" x14ac:dyDescent="0.3">
      <c r="A3838" s="1" t="s">
        <v>62</v>
      </c>
      <c r="B3838" s="7">
        <v>40763</v>
      </c>
      <c r="C3838" s="1">
        <v>5</v>
      </c>
      <c r="D3838" s="1">
        <v>228</v>
      </c>
      <c r="E3838" s="1">
        <v>0</v>
      </c>
      <c r="F3838" s="1">
        <v>17</v>
      </c>
      <c r="L3838" s="1">
        <v>1</v>
      </c>
    </row>
    <row r="3839" spans="1:78" x14ac:dyDescent="0.3">
      <c r="A3839" s="1" t="s">
        <v>62</v>
      </c>
      <c r="B3839" s="7">
        <v>40763</v>
      </c>
      <c r="C3839" s="1">
        <v>5</v>
      </c>
      <c r="D3839" s="1">
        <v>228</v>
      </c>
      <c r="E3839" s="1">
        <v>0</v>
      </c>
      <c r="F3839" s="1">
        <v>18</v>
      </c>
      <c r="R3839" s="1">
        <v>1</v>
      </c>
      <c r="AI3839" s="3">
        <v>0</v>
      </c>
      <c r="AJ3839" s="3">
        <v>1</v>
      </c>
    </row>
    <row r="3840" spans="1:78" x14ac:dyDescent="0.3">
      <c r="A3840" s="1" t="s">
        <v>62</v>
      </c>
      <c r="B3840" s="7">
        <v>40763</v>
      </c>
      <c r="C3840" s="1">
        <v>5</v>
      </c>
      <c r="D3840" s="1">
        <v>228</v>
      </c>
      <c r="E3840" s="1">
        <v>0</v>
      </c>
      <c r="F3840" s="1">
        <v>19</v>
      </c>
      <c r="L3840" s="8">
        <v>1</v>
      </c>
      <c r="M3840" s="8"/>
    </row>
    <row r="3841" spans="1:78" x14ac:dyDescent="0.3">
      <c r="A3841" s="1" t="s">
        <v>62</v>
      </c>
      <c r="B3841" s="7">
        <v>40763</v>
      </c>
      <c r="C3841" s="1">
        <v>5</v>
      </c>
      <c r="D3841" s="1">
        <v>228</v>
      </c>
      <c r="E3841" s="1">
        <v>0</v>
      </c>
      <c r="F3841" s="1">
        <v>20</v>
      </c>
      <c r="L3841" s="1">
        <v>1</v>
      </c>
      <c r="R3841" s="3">
        <v>0</v>
      </c>
      <c r="S3841" s="3">
        <v>1</v>
      </c>
    </row>
    <row r="3842" spans="1:78" x14ac:dyDescent="0.3">
      <c r="A3842" s="1" t="s">
        <v>62</v>
      </c>
      <c r="B3842" s="7">
        <v>40763</v>
      </c>
      <c r="C3842" s="1">
        <v>5</v>
      </c>
      <c r="D3842" s="1">
        <v>228</v>
      </c>
      <c r="E3842" s="1">
        <v>0</v>
      </c>
      <c r="F3842" s="1">
        <v>21</v>
      </c>
      <c r="L3842" s="1">
        <v>1</v>
      </c>
      <c r="BZ3842" s="1">
        <v>1</v>
      </c>
    </row>
    <row r="3843" spans="1:78" x14ac:dyDescent="0.3">
      <c r="A3843" s="1" t="s">
        <v>62</v>
      </c>
      <c r="B3843" s="7">
        <v>40763</v>
      </c>
      <c r="C3843" s="1">
        <v>5</v>
      </c>
      <c r="D3843" s="1">
        <v>228</v>
      </c>
      <c r="E3843" s="1">
        <v>0</v>
      </c>
      <c r="F3843" s="1">
        <v>22</v>
      </c>
      <c r="L3843" s="1">
        <v>1</v>
      </c>
      <c r="BI3843" s="1">
        <v>1</v>
      </c>
    </row>
    <row r="3844" spans="1:78" x14ac:dyDescent="0.3">
      <c r="A3844" s="1" t="s">
        <v>62</v>
      </c>
      <c r="B3844" s="7">
        <v>40763</v>
      </c>
      <c r="C3844" s="1">
        <v>5</v>
      </c>
      <c r="D3844" s="1">
        <v>228</v>
      </c>
      <c r="E3844" s="1">
        <v>0</v>
      </c>
      <c r="F3844" s="1">
        <v>23</v>
      </c>
      <c r="G3844" s="1">
        <v>1</v>
      </c>
    </row>
    <row r="3845" spans="1:78" x14ac:dyDescent="0.3">
      <c r="A3845" s="1" t="s">
        <v>62</v>
      </c>
      <c r="B3845" s="7">
        <v>40763</v>
      </c>
      <c r="C3845" s="1">
        <v>5</v>
      </c>
      <c r="D3845" s="1">
        <v>228</v>
      </c>
      <c r="E3845" s="1">
        <v>0</v>
      </c>
      <c r="F3845" s="1">
        <v>24</v>
      </c>
      <c r="L3845" s="1">
        <v>1</v>
      </c>
      <c r="BI3845" s="1">
        <v>1</v>
      </c>
    </row>
    <row r="3846" spans="1:78" x14ac:dyDescent="0.3">
      <c r="A3846" s="1" t="s">
        <v>62</v>
      </c>
      <c r="B3846" s="7">
        <v>40763</v>
      </c>
      <c r="C3846" s="1">
        <v>5</v>
      </c>
      <c r="D3846" s="1">
        <v>228</v>
      </c>
      <c r="E3846" s="1">
        <v>0</v>
      </c>
      <c r="F3846" s="1">
        <v>25</v>
      </c>
    </row>
    <row r="3847" spans="1:78" x14ac:dyDescent="0.3">
      <c r="A3847" s="1" t="s">
        <v>62</v>
      </c>
      <c r="B3847" s="7">
        <v>40763</v>
      </c>
      <c r="C3847" s="1">
        <v>5</v>
      </c>
      <c r="D3847" s="1">
        <v>228</v>
      </c>
      <c r="E3847" s="1">
        <v>0</v>
      </c>
      <c r="F3847" s="1">
        <v>26</v>
      </c>
      <c r="AB3847" s="1">
        <v>1</v>
      </c>
    </row>
    <row r="3848" spans="1:78" x14ac:dyDescent="0.3">
      <c r="A3848" s="1" t="s">
        <v>62</v>
      </c>
      <c r="B3848" s="7">
        <v>40763</v>
      </c>
      <c r="C3848" s="1">
        <v>5</v>
      </c>
      <c r="D3848" s="1">
        <v>228</v>
      </c>
      <c r="E3848" s="1">
        <v>0</v>
      </c>
      <c r="F3848" s="1">
        <v>27</v>
      </c>
      <c r="R3848" s="3">
        <v>0</v>
      </c>
      <c r="S3848" s="3">
        <v>1</v>
      </c>
      <c r="AB3848" s="1">
        <v>1</v>
      </c>
    </row>
    <row r="3849" spans="1:78" x14ac:dyDescent="0.3">
      <c r="A3849" s="1" t="s">
        <v>62</v>
      </c>
      <c r="B3849" s="7">
        <v>40763</v>
      </c>
      <c r="C3849" s="1">
        <v>5</v>
      </c>
      <c r="D3849" s="1">
        <v>228</v>
      </c>
      <c r="E3849" s="1">
        <v>0</v>
      </c>
      <c r="F3849" s="1">
        <v>28</v>
      </c>
      <c r="L3849" s="1">
        <v>1</v>
      </c>
      <c r="R3849" s="3">
        <v>0</v>
      </c>
      <c r="S3849" s="3">
        <v>1</v>
      </c>
    </row>
    <row r="3850" spans="1:78" x14ac:dyDescent="0.3">
      <c r="A3850" s="1" t="s">
        <v>62</v>
      </c>
      <c r="B3850" s="7">
        <v>40763</v>
      </c>
      <c r="C3850" s="1">
        <v>5</v>
      </c>
      <c r="D3850" s="1">
        <v>228</v>
      </c>
      <c r="E3850" s="1">
        <v>0</v>
      </c>
      <c r="F3850" s="1">
        <v>29</v>
      </c>
      <c r="L3850" s="1">
        <v>1</v>
      </c>
    </row>
    <row r="3851" spans="1:78" x14ac:dyDescent="0.3">
      <c r="A3851" s="1" t="s">
        <v>62</v>
      </c>
      <c r="B3851" s="7">
        <v>40763</v>
      </c>
      <c r="C3851" s="1">
        <v>5</v>
      </c>
      <c r="D3851" s="1">
        <v>228</v>
      </c>
      <c r="E3851" s="1">
        <v>0</v>
      </c>
      <c r="F3851" s="1">
        <v>30</v>
      </c>
      <c r="L3851" s="1">
        <v>1</v>
      </c>
      <c r="R3851" s="3">
        <v>0</v>
      </c>
      <c r="S3851" s="3">
        <v>1</v>
      </c>
    </row>
    <row r="3852" spans="1:78" x14ac:dyDescent="0.3">
      <c r="A3852" s="1" t="s">
        <v>62</v>
      </c>
      <c r="B3852" s="7">
        <v>40763</v>
      </c>
      <c r="C3852" s="1">
        <v>5</v>
      </c>
      <c r="D3852" s="1">
        <v>228</v>
      </c>
      <c r="E3852" s="1">
        <v>0</v>
      </c>
      <c r="F3852" s="1">
        <v>31</v>
      </c>
      <c r="L3852" s="1">
        <v>1</v>
      </c>
      <c r="W3852" s="1">
        <v>1</v>
      </c>
      <c r="Y3852" s="1">
        <v>1</v>
      </c>
    </row>
    <row r="3853" spans="1:78" x14ac:dyDescent="0.3">
      <c r="A3853" s="1" t="s">
        <v>62</v>
      </c>
      <c r="B3853" s="7">
        <v>40763</v>
      </c>
      <c r="C3853" s="1">
        <v>5</v>
      </c>
      <c r="D3853" s="1">
        <v>228</v>
      </c>
      <c r="E3853" s="1">
        <v>0</v>
      </c>
      <c r="F3853" s="1">
        <v>32</v>
      </c>
      <c r="L3853" s="1">
        <v>1</v>
      </c>
    </row>
    <row r="3854" spans="1:78" x14ac:dyDescent="0.3">
      <c r="A3854" s="1" t="s">
        <v>62</v>
      </c>
      <c r="B3854" s="7">
        <v>40763</v>
      </c>
      <c r="C3854" s="1">
        <v>5</v>
      </c>
      <c r="D3854" s="1">
        <v>228</v>
      </c>
      <c r="E3854" s="1">
        <v>0</v>
      </c>
      <c r="F3854" s="1">
        <v>33</v>
      </c>
      <c r="R3854" s="1">
        <v>1</v>
      </c>
      <c r="BI3854" s="1">
        <v>1</v>
      </c>
    </row>
    <row r="3855" spans="1:78" x14ac:dyDescent="0.3">
      <c r="A3855" s="1" t="s">
        <v>62</v>
      </c>
      <c r="B3855" s="7">
        <v>40763</v>
      </c>
      <c r="C3855" s="1">
        <v>5</v>
      </c>
      <c r="D3855" s="1">
        <v>228</v>
      </c>
      <c r="E3855" s="1">
        <v>0</v>
      </c>
      <c r="F3855" s="1">
        <v>34</v>
      </c>
      <c r="L3855" s="1">
        <v>1</v>
      </c>
      <c r="AB3855" s="1">
        <v>1</v>
      </c>
    </row>
    <row r="3856" spans="1:78" x14ac:dyDescent="0.3">
      <c r="A3856" s="1" t="s">
        <v>62</v>
      </c>
      <c r="B3856" s="7">
        <v>40763</v>
      </c>
      <c r="C3856" s="1">
        <v>5</v>
      </c>
      <c r="D3856" s="1">
        <v>228</v>
      </c>
      <c r="E3856" s="1">
        <v>0</v>
      </c>
      <c r="F3856" s="1">
        <v>35</v>
      </c>
      <c r="L3856" s="1">
        <v>1</v>
      </c>
      <c r="AB3856" s="1">
        <v>1</v>
      </c>
      <c r="AI3856" s="3">
        <v>0</v>
      </c>
      <c r="AJ3856" s="3">
        <v>1</v>
      </c>
      <c r="BI3856" s="1">
        <v>1</v>
      </c>
    </row>
    <row r="3857" spans="1:79" x14ac:dyDescent="0.3">
      <c r="A3857" s="1" t="s">
        <v>62</v>
      </c>
      <c r="B3857" s="7">
        <v>40763</v>
      </c>
      <c r="C3857" s="1">
        <v>5</v>
      </c>
      <c r="D3857" s="1">
        <v>228</v>
      </c>
      <c r="E3857" s="1">
        <v>0</v>
      </c>
      <c r="F3857" s="1">
        <v>36</v>
      </c>
      <c r="R3857" s="3">
        <v>0</v>
      </c>
      <c r="S3857" s="3">
        <v>1</v>
      </c>
      <c r="AB3857" s="1">
        <v>1</v>
      </c>
    </row>
    <row r="3858" spans="1:79" x14ac:dyDescent="0.3">
      <c r="A3858" s="1" t="s">
        <v>62</v>
      </c>
      <c r="B3858" s="7">
        <v>40763</v>
      </c>
      <c r="C3858" s="1">
        <v>5</v>
      </c>
      <c r="D3858" s="1">
        <v>228</v>
      </c>
      <c r="E3858" s="1">
        <v>0</v>
      </c>
      <c r="F3858" s="1">
        <v>37</v>
      </c>
      <c r="AI3858" s="3">
        <v>0</v>
      </c>
      <c r="AJ3858" s="3">
        <v>1</v>
      </c>
    </row>
    <row r="3859" spans="1:79" x14ac:dyDescent="0.3">
      <c r="A3859" s="1" t="s">
        <v>62</v>
      </c>
      <c r="B3859" s="7">
        <v>40763</v>
      </c>
      <c r="C3859" s="1">
        <v>5</v>
      </c>
      <c r="D3859" s="1">
        <v>228</v>
      </c>
      <c r="E3859" s="1">
        <v>0</v>
      </c>
      <c r="F3859" s="1">
        <v>38</v>
      </c>
      <c r="I3859" s="1">
        <v>1</v>
      </c>
    </row>
    <row r="3860" spans="1:79" x14ac:dyDescent="0.3">
      <c r="A3860" s="1" t="s">
        <v>62</v>
      </c>
      <c r="B3860" s="7">
        <v>40763</v>
      </c>
      <c r="C3860" s="1">
        <v>5</v>
      </c>
      <c r="D3860" s="1">
        <v>228</v>
      </c>
      <c r="E3860" s="1">
        <v>0</v>
      </c>
      <c r="F3860" s="1">
        <v>39</v>
      </c>
      <c r="L3860" s="8">
        <v>1</v>
      </c>
      <c r="M3860" s="8"/>
      <c r="R3860" s="3">
        <v>0</v>
      </c>
      <c r="S3860" s="3">
        <v>1</v>
      </c>
    </row>
    <row r="3861" spans="1:79" x14ac:dyDescent="0.3">
      <c r="A3861" s="1" t="s">
        <v>62</v>
      </c>
      <c r="B3861" s="7">
        <v>40763</v>
      </c>
      <c r="C3861" s="1">
        <v>5</v>
      </c>
      <c r="D3861" s="1">
        <v>228</v>
      </c>
      <c r="E3861" s="1">
        <v>0</v>
      </c>
      <c r="F3861" s="1">
        <v>40</v>
      </c>
      <c r="L3861" s="1">
        <v>1</v>
      </c>
      <c r="R3861" s="3">
        <v>0</v>
      </c>
      <c r="S3861" s="3">
        <v>1</v>
      </c>
    </row>
    <row r="3862" spans="1:79" x14ac:dyDescent="0.3">
      <c r="A3862" s="1" t="s">
        <v>62</v>
      </c>
      <c r="B3862" s="7">
        <v>40763</v>
      </c>
      <c r="C3862" s="1">
        <v>5</v>
      </c>
      <c r="D3862" s="1">
        <v>228</v>
      </c>
      <c r="E3862" s="1">
        <v>0</v>
      </c>
      <c r="F3862" s="1">
        <v>41</v>
      </c>
      <c r="L3862" s="1">
        <v>1</v>
      </c>
      <c r="Y3862" s="1">
        <v>1</v>
      </c>
      <c r="AI3862" s="3">
        <v>0</v>
      </c>
      <c r="AJ3862" s="3">
        <v>1</v>
      </c>
    </row>
    <row r="3863" spans="1:79" x14ac:dyDescent="0.3">
      <c r="A3863" s="1" t="s">
        <v>62</v>
      </c>
      <c r="B3863" s="7">
        <v>40763</v>
      </c>
      <c r="C3863" s="1">
        <v>5</v>
      </c>
      <c r="D3863" s="1">
        <v>228</v>
      </c>
      <c r="E3863" s="1">
        <v>0</v>
      </c>
      <c r="F3863" s="1">
        <v>42</v>
      </c>
      <c r="L3863" s="1">
        <v>1</v>
      </c>
    </row>
    <row r="3864" spans="1:79" x14ac:dyDescent="0.3">
      <c r="A3864" s="1" t="s">
        <v>62</v>
      </c>
      <c r="B3864" s="7">
        <v>40763</v>
      </c>
      <c r="C3864" s="1">
        <v>5</v>
      </c>
      <c r="D3864" s="1">
        <v>228</v>
      </c>
      <c r="E3864" s="1">
        <v>0</v>
      </c>
      <c r="F3864" s="1">
        <v>43</v>
      </c>
      <c r="L3864" s="1">
        <v>1</v>
      </c>
      <c r="BR3864" s="1">
        <v>1</v>
      </c>
    </row>
    <row r="3865" spans="1:79" x14ac:dyDescent="0.3">
      <c r="A3865" s="1" t="s">
        <v>62</v>
      </c>
      <c r="B3865" s="7">
        <v>40763</v>
      </c>
      <c r="C3865" s="1">
        <v>5</v>
      </c>
      <c r="D3865" s="1">
        <v>228</v>
      </c>
      <c r="E3865" s="1">
        <v>0</v>
      </c>
      <c r="F3865" s="1">
        <v>44</v>
      </c>
      <c r="L3865" s="1">
        <v>1</v>
      </c>
      <c r="R3865" s="3">
        <v>0</v>
      </c>
      <c r="S3865" s="3">
        <v>1</v>
      </c>
      <c r="AI3865" s="1">
        <v>1</v>
      </c>
    </row>
    <row r="3866" spans="1:79" x14ac:dyDescent="0.3">
      <c r="A3866" s="1" t="s">
        <v>62</v>
      </c>
      <c r="B3866" s="7">
        <v>40763</v>
      </c>
      <c r="C3866" s="1">
        <v>5</v>
      </c>
      <c r="D3866" s="1">
        <v>228</v>
      </c>
      <c r="E3866" s="1">
        <v>0</v>
      </c>
      <c r="F3866" s="1">
        <v>45</v>
      </c>
      <c r="L3866" s="3">
        <v>0</v>
      </c>
      <c r="M3866" s="3">
        <v>1</v>
      </c>
      <c r="BE3866" s="1">
        <v>1</v>
      </c>
    </row>
    <row r="3867" spans="1:79" x14ac:dyDescent="0.3">
      <c r="A3867" s="1" t="s">
        <v>62</v>
      </c>
      <c r="B3867" s="7">
        <v>40763</v>
      </c>
      <c r="C3867" s="1">
        <v>5</v>
      </c>
      <c r="D3867" s="1">
        <v>228</v>
      </c>
      <c r="E3867" s="1">
        <v>0</v>
      </c>
      <c r="F3867" s="1">
        <v>46</v>
      </c>
      <c r="BZ3867" s="3">
        <v>0</v>
      </c>
      <c r="CA3867" s="3">
        <v>1</v>
      </c>
    </row>
    <row r="3868" spans="1:79" x14ac:dyDescent="0.3">
      <c r="A3868" s="1" t="s">
        <v>62</v>
      </c>
      <c r="B3868" s="7">
        <v>40763</v>
      </c>
      <c r="C3868" s="1">
        <v>5</v>
      </c>
      <c r="D3868" s="1">
        <v>228</v>
      </c>
      <c r="E3868" s="1">
        <v>0</v>
      </c>
      <c r="F3868" s="1">
        <v>47</v>
      </c>
      <c r="H3868" s="1">
        <v>1</v>
      </c>
      <c r="AF3868" s="1">
        <v>1</v>
      </c>
      <c r="BZ3868" s="1">
        <v>1</v>
      </c>
    </row>
    <row r="3869" spans="1:79" x14ac:dyDescent="0.3">
      <c r="A3869" s="1" t="s">
        <v>62</v>
      </c>
      <c r="B3869" s="7">
        <v>40763</v>
      </c>
      <c r="C3869" s="1">
        <v>5</v>
      </c>
      <c r="D3869" s="1">
        <v>228</v>
      </c>
      <c r="E3869" s="1">
        <v>0</v>
      </c>
      <c r="F3869" s="1">
        <v>48</v>
      </c>
      <c r="L3869" s="8">
        <v>1</v>
      </c>
      <c r="M3869" s="8"/>
      <c r="R3869" s="3">
        <v>0</v>
      </c>
      <c r="S3869" s="3">
        <v>1</v>
      </c>
    </row>
    <row r="3870" spans="1:79" x14ac:dyDescent="0.3">
      <c r="A3870" s="1" t="s">
        <v>62</v>
      </c>
      <c r="B3870" s="7">
        <v>40763</v>
      </c>
      <c r="C3870" s="1">
        <v>5</v>
      </c>
      <c r="D3870" s="1">
        <v>228</v>
      </c>
      <c r="E3870" s="1">
        <v>0</v>
      </c>
      <c r="F3870" s="1">
        <v>49</v>
      </c>
      <c r="R3870" s="3">
        <v>0</v>
      </c>
      <c r="S3870" s="3">
        <v>1</v>
      </c>
    </row>
    <row r="3871" spans="1:79" x14ac:dyDescent="0.3">
      <c r="A3871" s="1" t="s">
        <v>62</v>
      </c>
      <c r="B3871" s="7">
        <v>40763</v>
      </c>
      <c r="C3871" s="1">
        <v>5</v>
      </c>
      <c r="D3871" s="1">
        <v>228</v>
      </c>
      <c r="E3871" s="1">
        <v>0</v>
      </c>
      <c r="F3871" s="1">
        <v>50</v>
      </c>
      <c r="I3871" s="1">
        <v>1</v>
      </c>
      <c r="R3871" s="3">
        <v>0</v>
      </c>
      <c r="S3871" s="3">
        <v>1</v>
      </c>
    </row>
    <row r="3872" spans="1:79" x14ac:dyDescent="0.3">
      <c r="A3872" s="1" t="s">
        <v>62</v>
      </c>
      <c r="B3872" s="7">
        <v>40763</v>
      </c>
      <c r="C3872" s="1">
        <v>5</v>
      </c>
      <c r="D3872" s="1">
        <v>228</v>
      </c>
      <c r="E3872" s="1">
        <v>0</v>
      </c>
      <c r="F3872" s="1">
        <v>51</v>
      </c>
      <c r="N3872" s="1">
        <v>1</v>
      </c>
      <c r="AB3872" s="1">
        <v>1</v>
      </c>
      <c r="BI3872" s="1">
        <v>1</v>
      </c>
    </row>
    <row r="3873" spans="1:78" x14ac:dyDescent="0.3">
      <c r="A3873" s="1" t="s">
        <v>62</v>
      </c>
      <c r="B3873" s="7">
        <v>40763</v>
      </c>
      <c r="C3873" s="1">
        <v>5</v>
      </c>
      <c r="D3873" s="1">
        <v>228</v>
      </c>
      <c r="E3873" s="1">
        <v>0</v>
      </c>
      <c r="F3873" s="1">
        <v>52</v>
      </c>
      <c r="L3873" s="1">
        <v>1</v>
      </c>
      <c r="Y3873" s="1">
        <v>1</v>
      </c>
    </row>
    <row r="3874" spans="1:78" x14ac:dyDescent="0.3">
      <c r="A3874" s="1" t="s">
        <v>62</v>
      </c>
      <c r="B3874" s="7">
        <v>40763</v>
      </c>
      <c r="C3874" s="1">
        <v>5</v>
      </c>
      <c r="D3874" s="1">
        <v>228</v>
      </c>
      <c r="E3874" s="1">
        <v>0</v>
      </c>
      <c r="F3874" s="1">
        <v>53</v>
      </c>
      <c r="H3874" s="1">
        <v>1</v>
      </c>
      <c r="L3874" s="1">
        <v>1</v>
      </c>
      <c r="BZ3874" s="1">
        <v>1</v>
      </c>
    </row>
    <row r="3875" spans="1:78" x14ac:dyDescent="0.3">
      <c r="A3875" s="1" t="s">
        <v>62</v>
      </c>
      <c r="B3875" s="7">
        <v>40763</v>
      </c>
      <c r="C3875" s="1">
        <v>5</v>
      </c>
      <c r="D3875" s="1">
        <v>228</v>
      </c>
      <c r="E3875" s="1">
        <v>0</v>
      </c>
      <c r="F3875" s="1">
        <v>54</v>
      </c>
      <c r="L3875" s="1">
        <v>1</v>
      </c>
      <c r="AB3875" s="1">
        <v>1</v>
      </c>
    </row>
    <row r="3876" spans="1:78" x14ac:dyDescent="0.3">
      <c r="A3876" s="1" t="s">
        <v>62</v>
      </c>
      <c r="B3876" s="7">
        <v>40763</v>
      </c>
      <c r="C3876" s="1">
        <v>5</v>
      </c>
      <c r="D3876" s="1">
        <v>228</v>
      </c>
      <c r="E3876" s="1">
        <v>0</v>
      </c>
      <c r="F3876" s="1">
        <v>55</v>
      </c>
      <c r="L3876" s="1">
        <v>1</v>
      </c>
      <c r="R3876" s="3">
        <v>0</v>
      </c>
      <c r="S3876" s="3">
        <v>1</v>
      </c>
    </row>
    <row r="3877" spans="1:78" x14ac:dyDescent="0.3">
      <c r="A3877" s="1" t="s">
        <v>62</v>
      </c>
      <c r="B3877" s="7">
        <v>40763</v>
      </c>
      <c r="C3877" s="1">
        <v>5</v>
      </c>
      <c r="D3877" s="1">
        <v>228</v>
      </c>
      <c r="E3877" s="1">
        <v>0</v>
      </c>
      <c r="F3877" s="1">
        <v>56</v>
      </c>
      <c r="AB3877" s="1">
        <v>1</v>
      </c>
    </row>
    <row r="3878" spans="1:78" x14ac:dyDescent="0.3">
      <c r="A3878" s="1" t="s">
        <v>62</v>
      </c>
      <c r="B3878" s="7">
        <v>40763</v>
      </c>
      <c r="C3878" s="1">
        <v>5</v>
      </c>
      <c r="D3878" s="1">
        <v>228</v>
      </c>
      <c r="E3878" s="1">
        <v>0</v>
      </c>
      <c r="F3878" s="1">
        <v>57</v>
      </c>
      <c r="L3878" s="1">
        <v>1</v>
      </c>
    </row>
    <row r="3879" spans="1:78" x14ac:dyDescent="0.3">
      <c r="A3879" s="1" t="s">
        <v>62</v>
      </c>
      <c r="B3879" s="7">
        <v>40763</v>
      </c>
      <c r="C3879" s="1">
        <v>5</v>
      </c>
      <c r="D3879" s="1">
        <v>228</v>
      </c>
      <c r="E3879" s="1">
        <v>0</v>
      </c>
      <c r="F3879" s="1">
        <v>58</v>
      </c>
      <c r="R3879" s="3">
        <v>0</v>
      </c>
      <c r="S3879" s="3">
        <v>1</v>
      </c>
    </row>
    <row r="3880" spans="1:78" x14ac:dyDescent="0.3">
      <c r="A3880" s="1" t="s">
        <v>62</v>
      </c>
      <c r="B3880" s="7">
        <v>40763</v>
      </c>
      <c r="C3880" s="1">
        <v>5</v>
      </c>
      <c r="D3880" s="1">
        <v>228</v>
      </c>
      <c r="E3880" s="1">
        <v>0</v>
      </c>
      <c r="F3880" s="1">
        <v>59</v>
      </c>
      <c r="R3880" s="3">
        <v>0</v>
      </c>
      <c r="S3880" s="3">
        <v>1</v>
      </c>
    </row>
    <row r="3881" spans="1:78" x14ac:dyDescent="0.3">
      <c r="A3881" s="1" t="s">
        <v>62</v>
      </c>
      <c r="B3881" s="7">
        <v>40763</v>
      </c>
      <c r="C3881" s="1">
        <v>5</v>
      </c>
      <c r="D3881" s="1">
        <v>228</v>
      </c>
      <c r="E3881" s="1">
        <v>0</v>
      </c>
      <c r="F3881" s="1">
        <v>60</v>
      </c>
      <c r="I3881" s="1">
        <v>1</v>
      </c>
      <c r="L3881" s="1">
        <v>1</v>
      </c>
    </row>
    <row r="3882" spans="1:78" x14ac:dyDescent="0.3">
      <c r="A3882" s="1" t="s">
        <v>62</v>
      </c>
      <c r="B3882" s="7">
        <v>40763</v>
      </c>
      <c r="C3882" s="1">
        <v>5</v>
      </c>
      <c r="D3882" s="1">
        <v>228</v>
      </c>
      <c r="E3882" s="1">
        <v>0</v>
      </c>
      <c r="F3882" s="1">
        <v>61</v>
      </c>
      <c r="N3882" s="1">
        <v>1</v>
      </c>
      <c r="BI3882" s="1">
        <v>1</v>
      </c>
    </row>
    <row r="3883" spans="1:78" x14ac:dyDescent="0.3">
      <c r="A3883" s="1" t="s">
        <v>62</v>
      </c>
      <c r="B3883" s="7">
        <v>40763</v>
      </c>
      <c r="C3883" s="1">
        <v>5</v>
      </c>
      <c r="D3883" s="1">
        <v>228</v>
      </c>
      <c r="E3883" s="1">
        <v>0</v>
      </c>
      <c r="F3883" s="1">
        <v>62</v>
      </c>
      <c r="L3883" s="1">
        <v>1</v>
      </c>
      <c r="BZ3883" s="1">
        <v>1</v>
      </c>
    </row>
    <row r="3884" spans="1:78" x14ac:dyDescent="0.3">
      <c r="A3884" s="1" t="s">
        <v>62</v>
      </c>
      <c r="B3884" s="7">
        <v>40763</v>
      </c>
      <c r="C3884" s="1">
        <v>5</v>
      </c>
      <c r="D3884" s="1">
        <v>228</v>
      </c>
      <c r="E3884" s="1">
        <v>0</v>
      </c>
      <c r="F3884" s="1">
        <v>63</v>
      </c>
      <c r="L3884" s="1">
        <v>1</v>
      </c>
      <c r="BE3884" s="1">
        <v>1</v>
      </c>
    </row>
    <row r="3885" spans="1:78" x14ac:dyDescent="0.3">
      <c r="A3885" s="1" t="s">
        <v>62</v>
      </c>
      <c r="B3885" s="7">
        <v>40763</v>
      </c>
      <c r="C3885" s="1">
        <v>5</v>
      </c>
      <c r="D3885" s="1">
        <v>228</v>
      </c>
      <c r="E3885" s="1">
        <v>0</v>
      </c>
      <c r="F3885" s="1">
        <v>64</v>
      </c>
      <c r="L3885" s="1">
        <v>1</v>
      </c>
    </row>
    <row r="3886" spans="1:78" x14ac:dyDescent="0.3">
      <c r="A3886" s="1" t="s">
        <v>62</v>
      </c>
      <c r="B3886" s="7">
        <v>40763</v>
      </c>
      <c r="C3886" s="1">
        <v>5</v>
      </c>
      <c r="D3886" s="1">
        <v>228</v>
      </c>
      <c r="E3886" s="1">
        <v>0</v>
      </c>
      <c r="F3886" s="1">
        <v>65</v>
      </c>
      <c r="I3886" s="1">
        <v>1</v>
      </c>
      <c r="L3886" s="1">
        <v>1</v>
      </c>
    </row>
    <row r="3887" spans="1:78" x14ac:dyDescent="0.3">
      <c r="A3887" s="1" t="s">
        <v>62</v>
      </c>
      <c r="B3887" s="7">
        <v>40763</v>
      </c>
      <c r="C3887" s="1">
        <v>5</v>
      </c>
      <c r="D3887" s="1">
        <v>228</v>
      </c>
      <c r="E3887" s="1">
        <v>0</v>
      </c>
      <c r="F3887" s="1">
        <v>66</v>
      </c>
      <c r="R3887" s="3">
        <v>0</v>
      </c>
      <c r="S3887" s="3">
        <v>1</v>
      </c>
      <c r="Y3887" s="1">
        <v>1</v>
      </c>
      <c r="BE3887" s="1">
        <v>1</v>
      </c>
    </row>
    <row r="3888" spans="1:78" x14ac:dyDescent="0.3">
      <c r="A3888" s="1" t="s">
        <v>62</v>
      </c>
      <c r="B3888" s="7">
        <v>40763</v>
      </c>
      <c r="C3888" s="1">
        <v>5</v>
      </c>
      <c r="D3888" s="1">
        <v>228</v>
      </c>
      <c r="E3888" s="1">
        <v>0</v>
      </c>
      <c r="F3888" s="1">
        <v>67</v>
      </c>
      <c r="H3888" s="1">
        <v>1</v>
      </c>
      <c r="AF3888" s="1">
        <v>1</v>
      </c>
      <c r="BE3888" s="1">
        <v>1</v>
      </c>
    </row>
    <row r="3889" spans="1:61" x14ac:dyDescent="0.3">
      <c r="A3889" s="1" t="s">
        <v>62</v>
      </c>
      <c r="B3889" s="7">
        <v>40763</v>
      </c>
      <c r="C3889" s="1">
        <v>5</v>
      </c>
      <c r="D3889" s="1">
        <v>228</v>
      </c>
      <c r="E3889" s="1">
        <v>0</v>
      </c>
      <c r="F3889" s="1">
        <v>68</v>
      </c>
      <c r="I3889" s="1">
        <v>1</v>
      </c>
      <c r="BI3889" s="1">
        <v>1</v>
      </c>
    </row>
    <row r="3890" spans="1:61" x14ac:dyDescent="0.3">
      <c r="A3890" s="1" t="s">
        <v>62</v>
      </c>
      <c r="B3890" s="7">
        <v>40763</v>
      </c>
      <c r="C3890" s="1">
        <v>5</v>
      </c>
      <c r="D3890" s="1">
        <v>228</v>
      </c>
      <c r="E3890" s="1">
        <v>0</v>
      </c>
      <c r="F3890" s="1">
        <v>69</v>
      </c>
      <c r="I3890" s="1">
        <v>1</v>
      </c>
      <c r="R3890" s="3">
        <v>0</v>
      </c>
      <c r="S3890" s="3">
        <v>1</v>
      </c>
    </row>
    <row r="3891" spans="1:61" x14ac:dyDescent="0.3">
      <c r="A3891" s="1" t="s">
        <v>62</v>
      </c>
      <c r="B3891" s="7">
        <v>40763</v>
      </c>
      <c r="C3891" s="1">
        <v>5</v>
      </c>
      <c r="D3891" s="1">
        <v>228</v>
      </c>
      <c r="E3891" s="1">
        <v>0</v>
      </c>
      <c r="F3891" s="1">
        <v>70</v>
      </c>
      <c r="L3891" s="1">
        <v>1</v>
      </c>
    </row>
    <row r="3892" spans="1:61" x14ac:dyDescent="0.3">
      <c r="A3892" s="1" t="s">
        <v>62</v>
      </c>
      <c r="B3892" s="7">
        <v>40763</v>
      </c>
      <c r="C3892" s="1">
        <v>5</v>
      </c>
      <c r="D3892" s="1">
        <v>228</v>
      </c>
      <c r="E3892" s="1">
        <v>0</v>
      </c>
      <c r="F3892" s="1">
        <v>71</v>
      </c>
      <c r="L3892" s="3">
        <v>0</v>
      </c>
      <c r="M3892" s="3">
        <v>1</v>
      </c>
    </row>
    <row r="3893" spans="1:61" x14ac:dyDescent="0.3">
      <c r="A3893" s="1" t="s">
        <v>62</v>
      </c>
      <c r="B3893" s="7">
        <v>40763</v>
      </c>
      <c r="C3893" s="1">
        <v>5</v>
      </c>
      <c r="D3893" s="1">
        <v>228</v>
      </c>
      <c r="E3893" s="1">
        <v>0</v>
      </c>
      <c r="F3893" s="1">
        <v>72</v>
      </c>
      <c r="L3893" s="1">
        <v>1</v>
      </c>
      <c r="R3893" s="3">
        <v>0</v>
      </c>
      <c r="S3893" s="3">
        <v>1</v>
      </c>
      <c r="AB3893" s="1">
        <v>1</v>
      </c>
    </row>
    <row r="3894" spans="1:61" x14ac:dyDescent="0.3">
      <c r="A3894" s="1" t="s">
        <v>62</v>
      </c>
      <c r="B3894" s="7">
        <v>40763</v>
      </c>
      <c r="C3894" s="1">
        <v>5</v>
      </c>
      <c r="D3894" s="1">
        <v>228</v>
      </c>
      <c r="E3894" s="1">
        <v>0</v>
      </c>
      <c r="F3894" s="1">
        <v>73</v>
      </c>
      <c r="L3894" s="1">
        <v>1</v>
      </c>
      <c r="W3894" s="1">
        <v>1</v>
      </c>
      <c r="AF3894" s="1">
        <v>1</v>
      </c>
      <c r="BE3894" s="1">
        <v>1</v>
      </c>
    </row>
    <row r="3895" spans="1:61" x14ac:dyDescent="0.3">
      <c r="A3895" s="1" t="s">
        <v>62</v>
      </c>
      <c r="B3895" s="7">
        <v>40763</v>
      </c>
      <c r="C3895" s="1">
        <v>5</v>
      </c>
      <c r="D3895" s="1">
        <v>228</v>
      </c>
      <c r="E3895" s="1">
        <v>0</v>
      </c>
      <c r="F3895" s="1">
        <v>74</v>
      </c>
      <c r="I3895" s="1">
        <v>1</v>
      </c>
      <c r="AB3895" s="1">
        <v>1</v>
      </c>
    </row>
    <row r="3896" spans="1:61" x14ac:dyDescent="0.3">
      <c r="A3896" s="1" t="s">
        <v>62</v>
      </c>
      <c r="B3896" s="7">
        <v>40763</v>
      </c>
      <c r="C3896" s="1">
        <v>5</v>
      </c>
      <c r="D3896" s="1">
        <v>228</v>
      </c>
      <c r="E3896" s="1">
        <v>0</v>
      </c>
      <c r="F3896" s="1">
        <v>75</v>
      </c>
      <c r="I3896" s="1">
        <v>1</v>
      </c>
      <c r="R3896" s="3">
        <v>0</v>
      </c>
      <c r="S3896" s="3">
        <v>1</v>
      </c>
      <c r="AF3896" s="1">
        <v>1</v>
      </c>
    </row>
    <row r="3897" spans="1:61" x14ac:dyDescent="0.3">
      <c r="A3897" s="1" t="s">
        <v>62</v>
      </c>
      <c r="B3897" s="7">
        <v>40763</v>
      </c>
      <c r="C3897" s="1">
        <v>5</v>
      </c>
      <c r="D3897" s="1">
        <v>228</v>
      </c>
      <c r="E3897" s="1">
        <v>0</v>
      </c>
      <c r="F3897" s="1">
        <v>76</v>
      </c>
      <c r="I3897" s="1">
        <v>1</v>
      </c>
      <c r="R3897" s="3">
        <v>0</v>
      </c>
      <c r="S3897" s="3">
        <v>1</v>
      </c>
    </row>
    <row r="3898" spans="1:61" x14ac:dyDescent="0.3">
      <c r="A3898" s="1" t="s">
        <v>62</v>
      </c>
      <c r="B3898" s="7">
        <v>40763</v>
      </c>
      <c r="C3898" s="1">
        <v>5</v>
      </c>
      <c r="D3898" s="1">
        <v>228</v>
      </c>
      <c r="E3898" s="1">
        <v>0</v>
      </c>
      <c r="F3898" s="1">
        <v>77</v>
      </c>
      <c r="R3898" s="3">
        <v>0</v>
      </c>
      <c r="S3898" s="3">
        <v>1</v>
      </c>
      <c r="AB3898" s="8">
        <v>1</v>
      </c>
      <c r="AC3898" s="8"/>
    </row>
    <row r="3899" spans="1:61" x14ac:dyDescent="0.3">
      <c r="A3899" s="1" t="s">
        <v>62</v>
      </c>
      <c r="B3899" s="7">
        <v>40763</v>
      </c>
      <c r="C3899" s="1">
        <v>5</v>
      </c>
      <c r="D3899" s="1">
        <v>228</v>
      </c>
      <c r="E3899" s="1">
        <v>0</v>
      </c>
      <c r="F3899" s="1">
        <v>78</v>
      </c>
      <c r="I3899" s="1">
        <v>1</v>
      </c>
      <c r="R3899" s="3">
        <v>0</v>
      </c>
      <c r="S3899" s="3">
        <v>1</v>
      </c>
    </row>
    <row r="3900" spans="1:61" x14ac:dyDescent="0.3">
      <c r="A3900" s="1" t="s">
        <v>62</v>
      </c>
      <c r="B3900" s="7">
        <v>40763</v>
      </c>
      <c r="C3900" s="1">
        <v>5</v>
      </c>
      <c r="D3900" s="1">
        <v>228</v>
      </c>
      <c r="E3900" s="1">
        <v>0</v>
      </c>
      <c r="F3900" s="1">
        <v>79</v>
      </c>
      <c r="I3900" s="1">
        <v>1</v>
      </c>
      <c r="AF3900" s="1">
        <v>1</v>
      </c>
    </row>
    <row r="3901" spans="1:61" x14ac:dyDescent="0.3">
      <c r="A3901" s="1" t="s">
        <v>62</v>
      </c>
      <c r="B3901" s="7">
        <v>40763</v>
      </c>
      <c r="C3901" s="1">
        <v>5</v>
      </c>
      <c r="D3901" s="1">
        <v>228</v>
      </c>
      <c r="E3901" s="1">
        <v>0</v>
      </c>
      <c r="F3901" s="1">
        <v>80</v>
      </c>
      <c r="I3901" s="1">
        <v>1</v>
      </c>
      <c r="L3901" s="1">
        <v>1</v>
      </c>
      <c r="R3901" s="3">
        <v>0</v>
      </c>
      <c r="S3901" s="3">
        <v>1</v>
      </c>
    </row>
    <row r="3902" spans="1:61" x14ac:dyDescent="0.3">
      <c r="A3902" s="1" t="s">
        <v>62</v>
      </c>
      <c r="B3902" s="7">
        <v>40763</v>
      </c>
      <c r="C3902" s="1">
        <v>5</v>
      </c>
      <c r="D3902" s="1">
        <v>228</v>
      </c>
      <c r="E3902" s="1">
        <v>0</v>
      </c>
      <c r="F3902" s="1">
        <v>81</v>
      </c>
      <c r="L3902" s="1">
        <v>1</v>
      </c>
    </row>
    <row r="3903" spans="1:61" x14ac:dyDescent="0.3">
      <c r="A3903" s="1" t="s">
        <v>62</v>
      </c>
      <c r="B3903" s="7">
        <v>40763</v>
      </c>
      <c r="C3903" s="1">
        <v>5</v>
      </c>
      <c r="D3903" s="1">
        <v>228</v>
      </c>
      <c r="E3903" s="1">
        <v>0</v>
      </c>
      <c r="F3903" s="1">
        <v>82</v>
      </c>
      <c r="L3903" s="1">
        <v>1</v>
      </c>
      <c r="R3903" s="3">
        <v>0</v>
      </c>
      <c r="S3903" s="3">
        <v>1</v>
      </c>
    </row>
    <row r="3904" spans="1:61" x14ac:dyDescent="0.3">
      <c r="A3904" s="1" t="s">
        <v>62</v>
      </c>
      <c r="B3904" s="7">
        <v>40763</v>
      </c>
      <c r="C3904" s="1">
        <v>5</v>
      </c>
      <c r="D3904" s="1">
        <v>228</v>
      </c>
      <c r="E3904" s="1">
        <v>0</v>
      </c>
      <c r="F3904" s="1">
        <v>83</v>
      </c>
      <c r="L3904" s="1">
        <v>1</v>
      </c>
      <c r="R3904" s="3">
        <v>0</v>
      </c>
      <c r="S3904" s="3">
        <v>1</v>
      </c>
    </row>
    <row r="3905" spans="1:70" x14ac:dyDescent="0.3">
      <c r="A3905" s="1" t="s">
        <v>62</v>
      </c>
      <c r="B3905" s="7">
        <v>40763</v>
      </c>
      <c r="C3905" s="1">
        <v>5</v>
      </c>
      <c r="D3905" s="1">
        <v>228</v>
      </c>
      <c r="E3905" s="1">
        <v>0</v>
      </c>
      <c r="F3905" s="1">
        <v>84</v>
      </c>
      <c r="R3905" s="3">
        <v>0</v>
      </c>
      <c r="S3905" s="3">
        <v>1</v>
      </c>
      <c r="AB3905" s="1">
        <v>1</v>
      </c>
    </row>
    <row r="3906" spans="1:70" x14ac:dyDescent="0.3">
      <c r="A3906" s="1" t="s">
        <v>62</v>
      </c>
      <c r="B3906" s="7">
        <v>40763</v>
      </c>
      <c r="C3906" s="1">
        <v>5</v>
      </c>
      <c r="D3906" s="1">
        <v>228</v>
      </c>
      <c r="E3906" s="1">
        <v>0</v>
      </c>
      <c r="F3906" s="1">
        <v>85</v>
      </c>
      <c r="R3906" s="3">
        <v>0</v>
      </c>
      <c r="S3906" s="3">
        <v>1</v>
      </c>
    </row>
    <row r="3907" spans="1:70" x14ac:dyDescent="0.3">
      <c r="A3907" s="1" t="s">
        <v>62</v>
      </c>
      <c r="B3907" s="7">
        <v>40763</v>
      </c>
      <c r="C3907" s="1">
        <v>5</v>
      </c>
      <c r="D3907" s="1">
        <v>228</v>
      </c>
      <c r="E3907" s="1">
        <v>0</v>
      </c>
      <c r="F3907" s="1">
        <v>86</v>
      </c>
      <c r="I3907" s="1">
        <v>1</v>
      </c>
      <c r="R3907" s="3">
        <v>0</v>
      </c>
      <c r="S3907" s="3">
        <v>1</v>
      </c>
      <c r="BP3907" s="1">
        <v>1</v>
      </c>
    </row>
    <row r="3908" spans="1:70" x14ac:dyDescent="0.3">
      <c r="A3908" s="1" t="s">
        <v>62</v>
      </c>
      <c r="B3908" s="7">
        <v>40763</v>
      </c>
      <c r="C3908" s="1">
        <v>5</v>
      </c>
      <c r="D3908" s="1">
        <v>228</v>
      </c>
      <c r="E3908" s="1">
        <v>0</v>
      </c>
      <c r="F3908" s="1">
        <v>87</v>
      </c>
      <c r="I3908" s="1">
        <v>1</v>
      </c>
      <c r="L3908" s="1">
        <v>1</v>
      </c>
      <c r="R3908" s="3">
        <v>0</v>
      </c>
      <c r="S3908" s="3">
        <v>1</v>
      </c>
    </row>
    <row r="3909" spans="1:70" x14ac:dyDescent="0.3">
      <c r="A3909" s="1" t="s">
        <v>62</v>
      </c>
      <c r="B3909" s="7">
        <v>40763</v>
      </c>
      <c r="C3909" s="1">
        <v>5</v>
      </c>
      <c r="D3909" s="1">
        <v>228</v>
      </c>
      <c r="E3909" s="1">
        <v>0</v>
      </c>
      <c r="F3909" s="1">
        <v>88</v>
      </c>
      <c r="R3909" s="3">
        <v>0</v>
      </c>
      <c r="S3909" s="3">
        <v>1</v>
      </c>
    </row>
    <row r="3910" spans="1:70" x14ac:dyDescent="0.3">
      <c r="A3910" s="1" t="s">
        <v>62</v>
      </c>
      <c r="B3910" s="7">
        <v>40763</v>
      </c>
      <c r="C3910" s="1">
        <v>5</v>
      </c>
      <c r="D3910" s="1">
        <v>228</v>
      </c>
      <c r="E3910" s="1">
        <v>0</v>
      </c>
      <c r="F3910" s="1">
        <v>89</v>
      </c>
      <c r="L3910" s="1">
        <v>1</v>
      </c>
      <c r="R3910" s="3">
        <v>0</v>
      </c>
      <c r="S3910" s="3">
        <v>1</v>
      </c>
    </row>
    <row r="3911" spans="1:70" x14ac:dyDescent="0.3">
      <c r="A3911" s="1" t="s">
        <v>62</v>
      </c>
      <c r="B3911" s="7">
        <v>40763</v>
      </c>
      <c r="C3911" s="1">
        <v>5</v>
      </c>
      <c r="D3911" s="1">
        <v>228</v>
      </c>
      <c r="E3911" s="1">
        <v>0</v>
      </c>
      <c r="F3911" s="1">
        <v>90</v>
      </c>
      <c r="G3911" s="1">
        <v>1</v>
      </c>
      <c r="R3911" s="3">
        <v>0</v>
      </c>
      <c r="S3911" s="3">
        <v>1</v>
      </c>
    </row>
    <row r="3912" spans="1:70" x14ac:dyDescent="0.3">
      <c r="A3912" s="1" t="s">
        <v>62</v>
      </c>
      <c r="B3912" s="7">
        <v>40763</v>
      </c>
      <c r="C3912" s="1">
        <v>5</v>
      </c>
      <c r="D3912" s="1">
        <v>228</v>
      </c>
      <c r="E3912" s="1">
        <v>0</v>
      </c>
      <c r="F3912" s="1">
        <v>91</v>
      </c>
      <c r="R3912" s="3">
        <v>0</v>
      </c>
      <c r="S3912" s="3">
        <v>1</v>
      </c>
      <c r="AF3912" s="1">
        <v>1</v>
      </c>
      <c r="BR3912" s="1">
        <v>1</v>
      </c>
    </row>
    <row r="3913" spans="1:70" x14ac:dyDescent="0.3">
      <c r="A3913" s="1" t="s">
        <v>62</v>
      </c>
      <c r="B3913" s="7">
        <v>40763</v>
      </c>
      <c r="C3913" s="1">
        <v>5</v>
      </c>
      <c r="D3913" s="1">
        <v>228</v>
      </c>
      <c r="E3913" s="1">
        <v>0</v>
      </c>
      <c r="F3913" s="1">
        <v>92</v>
      </c>
      <c r="I3913" s="1">
        <v>1</v>
      </c>
      <c r="R3913" s="3">
        <v>0</v>
      </c>
      <c r="S3913" s="3">
        <v>1</v>
      </c>
      <c r="AI3913" s="3">
        <v>0</v>
      </c>
      <c r="AJ3913" s="3">
        <v>1</v>
      </c>
    </row>
    <row r="3914" spans="1:70" x14ac:dyDescent="0.3">
      <c r="A3914" s="1" t="s">
        <v>62</v>
      </c>
      <c r="B3914" s="7">
        <v>40763</v>
      </c>
      <c r="C3914" s="1">
        <v>5</v>
      </c>
      <c r="D3914" s="1">
        <v>228</v>
      </c>
      <c r="E3914" s="1">
        <v>0</v>
      </c>
      <c r="F3914" s="1">
        <v>93</v>
      </c>
      <c r="W3914" s="1">
        <v>1</v>
      </c>
      <c r="BI3914" s="1">
        <v>1</v>
      </c>
    </row>
    <row r="3915" spans="1:70" x14ac:dyDescent="0.3">
      <c r="A3915" s="1" t="s">
        <v>62</v>
      </c>
      <c r="B3915" s="7">
        <v>40763</v>
      </c>
      <c r="C3915" s="1">
        <v>5</v>
      </c>
      <c r="D3915" s="1">
        <v>228</v>
      </c>
      <c r="E3915" s="1">
        <v>0</v>
      </c>
      <c r="F3915" s="1">
        <v>94</v>
      </c>
      <c r="I3915" s="3">
        <v>1</v>
      </c>
    </row>
    <row r="3916" spans="1:70" x14ac:dyDescent="0.3">
      <c r="A3916" s="1" t="s">
        <v>62</v>
      </c>
      <c r="B3916" s="7">
        <v>40763</v>
      </c>
      <c r="C3916" s="1">
        <v>5</v>
      </c>
      <c r="D3916" s="1">
        <v>228</v>
      </c>
      <c r="E3916" s="1">
        <v>0</v>
      </c>
      <c r="F3916" s="1">
        <v>95</v>
      </c>
      <c r="R3916" s="3">
        <v>0</v>
      </c>
      <c r="S3916" s="3">
        <v>1</v>
      </c>
      <c r="AB3916" s="1">
        <v>1</v>
      </c>
    </row>
    <row r="3917" spans="1:70" x14ac:dyDescent="0.3">
      <c r="A3917" s="1" t="s">
        <v>62</v>
      </c>
      <c r="B3917" s="7">
        <v>40763</v>
      </c>
      <c r="C3917" s="1">
        <v>5</v>
      </c>
      <c r="D3917" s="1">
        <v>228</v>
      </c>
      <c r="E3917" s="1">
        <v>0</v>
      </c>
      <c r="F3917" s="1">
        <v>96</v>
      </c>
      <c r="I3917" s="1">
        <v>1</v>
      </c>
      <c r="AI3917" s="1">
        <v>1</v>
      </c>
    </row>
    <row r="3918" spans="1:70" x14ac:dyDescent="0.3">
      <c r="A3918" s="1" t="s">
        <v>62</v>
      </c>
      <c r="B3918" s="7">
        <v>40763</v>
      </c>
      <c r="C3918" s="1">
        <v>5</v>
      </c>
      <c r="D3918" s="1">
        <v>228</v>
      </c>
      <c r="E3918" s="1">
        <v>0</v>
      </c>
      <c r="F3918" s="1">
        <v>97</v>
      </c>
      <c r="I3918" s="1">
        <v>1</v>
      </c>
      <c r="R3918" s="3">
        <v>0</v>
      </c>
      <c r="S3918" s="3">
        <v>1</v>
      </c>
    </row>
    <row r="3919" spans="1:70" x14ac:dyDescent="0.3">
      <c r="A3919" s="1" t="s">
        <v>62</v>
      </c>
      <c r="B3919" s="7">
        <v>40763</v>
      </c>
      <c r="C3919" s="1">
        <v>5</v>
      </c>
      <c r="D3919" s="1">
        <v>228</v>
      </c>
      <c r="E3919" s="1">
        <v>0</v>
      </c>
      <c r="F3919" s="1">
        <v>98</v>
      </c>
      <c r="I3919" s="1">
        <v>1</v>
      </c>
      <c r="R3919" s="3">
        <v>0</v>
      </c>
      <c r="S3919" s="3">
        <v>1</v>
      </c>
    </row>
    <row r="3920" spans="1:70" x14ac:dyDescent="0.3">
      <c r="A3920" s="1" t="s">
        <v>62</v>
      </c>
      <c r="B3920" s="7">
        <v>40763</v>
      </c>
      <c r="C3920" s="1">
        <v>5</v>
      </c>
      <c r="D3920" s="1">
        <v>228</v>
      </c>
      <c r="E3920" s="1">
        <v>0</v>
      </c>
      <c r="F3920" s="1">
        <v>99</v>
      </c>
      <c r="G3920" s="1">
        <v>1</v>
      </c>
      <c r="R3920" s="3">
        <v>0</v>
      </c>
      <c r="S3920" s="3">
        <v>1</v>
      </c>
    </row>
    <row r="3921" spans="1:90" x14ac:dyDescent="0.3">
      <c r="A3921" s="1" t="s">
        <v>62</v>
      </c>
      <c r="B3921" s="7">
        <v>40763</v>
      </c>
      <c r="C3921" s="1">
        <v>5</v>
      </c>
      <c r="D3921" s="1">
        <v>228</v>
      </c>
      <c r="E3921" s="1">
        <v>0</v>
      </c>
      <c r="F3921" s="1">
        <v>100</v>
      </c>
      <c r="I3921" s="1">
        <v>1</v>
      </c>
      <c r="R3921" s="3">
        <v>0</v>
      </c>
      <c r="S3921" s="3">
        <v>1</v>
      </c>
    </row>
    <row r="3922" spans="1:90" s="12" customFormat="1" x14ac:dyDescent="0.3">
      <c r="A3922" s="14" t="s">
        <v>62</v>
      </c>
      <c r="B3922" s="13"/>
      <c r="G3922" s="12">
        <f>SUM(G3722:G3921)</f>
        <v>8</v>
      </c>
      <c r="H3922" s="12">
        <f t="shared" ref="H3922" si="1442">SUM(H3722:H3921)</f>
        <v>14</v>
      </c>
      <c r="I3922" s="12">
        <f t="shared" ref="I3922" si="1443">SUM(I3722:I3921)</f>
        <v>31</v>
      </c>
      <c r="J3922" s="12">
        <f t="shared" ref="J3922" si="1444">SUM(J3722:J3921)</f>
        <v>1</v>
      </c>
      <c r="K3922" s="12">
        <f t="shared" ref="K3922" si="1445">SUM(K3722:K3921)</f>
        <v>0</v>
      </c>
      <c r="L3922" s="12">
        <f t="shared" ref="L3922" si="1446">SUM(L3722:L3921)</f>
        <v>98</v>
      </c>
      <c r="M3922" s="12">
        <f t="shared" ref="M3922" si="1447">SUM(M3722:M3921)</f>
        <v>2</v>
      </c>
      <c r="N3922" s="12">
        <f t="shared" ref="N3922" si="1448">SUM(N3722:N3921)</f>
        <v>3</v>
      </c>
      <c r="O3922" s="12">
        <f t="shared" ref="O3922" si="1449">SUM(O3722:O3921)</f>
        <v>0</v>
      </c>
      <c r="P3922" s="12">
        <f t="shared" ref="P3922" si="1450">SUM(P3722:P3921)</f>
        <v>0</v>
      </c>
      <c r="Q3922" s="12">
        <f t="shared" ref="Q3922" si="1451">SUM(Q3722:Q3921)</f>
        <v>0</v>
      </c>
      <c r="R3922" s="12">
        <f t="shared" ref="R3922" si="1452">SUM(R3722:R3921)</f>
        <v>14</v>
      </c>
      <c r="S3922" s="12">
        <f t="shared" ref="S3922" si="1453">SUM(S3722:S3921)</f>
        <v>67</v>
      </c>
      <c r="T3922" s="12">
        <f t="shared" ref="T3922" si="1454">SUM(T3722:T3921)</f>
        <v>0</v>
      </c>
      <c r="U3922" s="12">
        <f t="shared" ref="U3922" si="1455">SUM(U3722:U3921)</f>
        <v>0</v>
      </c>
      <c r="V3922" s="12">
        <f t="shared" ref="V3922" si="1456">SUM(V3722:V3921)</f>
        <v>4</v>
      </c>
      <c r="W3922" s="12">
        <f t="shared" ref="W3922" si="1457">SUM(W3722:W3921)</f>
        <v>4</v>
      </c>
      <c r="X3922" s="12">
        <f t="shared" ref="X3922" si="1458">SUM(X3722:X3921)</f>
        <v>0</v>
      </c>
      <c r="Y3922" s="12">
        <f t="shared" ref="Y3922" si="1459">SUM(Y3722:Y3921)</f>
        <v>6</v>
      </c>
      <c r="Z3922" s="12">
        <f t="shared" ref="Z3922" si="1460">SUM(Z3722:Z3921)</f>
        <v>0</v>
      </c>
      <c r="AA3922" s="12">
        <f t="shared" ref="AA3922" si="1461">SUM(AA3722:AA3921)</f>
        <v>0</v>
      </c>
      <c r="AB3922" s="12">
        <f t="shared" ref="AB3922" si="1462">SUM(AB3722:AB3921)</f>
        <v>33</v>
      </c>
      <c r="AC3922" s="12">
        <f t="shared" ref="AC3922" si="1463">SUM(AC3722:AC3921)</f>
        <v>0</v>
      </c>
      <c r="AD3922" s="12">
        <f t="shared" ref="AD3922" si="1464">SUM(AD3722:AD3921)</f>
        <v>0</v>
      </c>
      <c r="AE3922" s="12">
        <f t="shared" ref="AE3922" si="1465">SUM(AE3722:AE3921)</f>
        <v>0</v>
      </c>
      <c r="AF3922" s="12">
        <f t="shared" ref="AF3922" si="1466">SUM(AF3722:AF3921)</f>
        <v>24</v>
      </c>
      <c r="AG3922" s="12">
        <f t="shared" ref="AG3922" si="1467">SUM(AG3722:AG3921)</f>
        <v>0</v>
      </c>
      <c r="AH3922" s="12">
        <f t="shared" ref="AH3922" si="1468">SUM(AH3722:AH3921)</f>
        <v>0</v>
      </c>
      <c r="AI3922" s="12">
        <f t="shared" ref="AI3922" si="1469">SUM(AI3722:AI3921)</f>
        <v>2</v>
      </c>
      <c r="AJ3922" s="12">
        <f t="shared" ref="AJ3922" si="1470">SUM(AJ3722:AJ3921)</f>
        <v>7</v>
      </c>
      <c r="AK3922" s="12">
        <f t="shared" ref="AK3922" si="1471">SUM(AK3722:AK3921)</f>
        <v>0</v>
      </c>
      <c r="AL3922" s="12">
        <f t="shared" ref="AL3922" si="1472">SUM(AL3722:AL3921)</f>
        <v>0</v>
      </c>
      <c r="AM3922" s="12">
        <f t="shared" ref="AM3922" si="1473">SUM(AM3722:AM3921)</f>
        <v>0</v>
      </c>
      <c r="AN3922" s="12">
        <f t="shared" ref="AN3922" si="1474">SUM(AN3722:AN3921)</f>
        <v>0</v>
      </c>
      <c r="AO3922" s="12">
        <f t="shared" ref="AO3922" si="1475">SUM(AO3722:AO3921)</f>
        <v>0</v>
      </c>
      <c r="AP3922" s="12">
        <f t="shared" ref="AP3922" si="1476">SUM(AP3722:AP3921)</f>
        <v>0</v>
      </c>
      <c r="AQ3922" s="12">
        <f t="shared" ref="AQ3922" si="1477">SUM(AQ3722:AQ3921)</f>
        <v>0</v>
      </c>
      <c r="AR3922" s="12">
        <f t="shared" ref="AR3922" si="1478">SUM(AR3722:AR3921)</f>
        <v>0</v>
      </c>
      <c r="AS3922" s="12">
        <f t="shared" ref="AS3922" si="1479">SUM(AS3722:AS3921)</f>
        <v>0</v>
      </c>
      <c r="AT3922" s="12">
        <f t="shared" ref="AT3922" si="1480">SUM(AT3722:AT3921)</f>
        <v>0</v>
      </c>
      <c r="AU3922" s="12">
        <f t="shared" ref="AU3922" si="1481">SUM(AU3722:AU3921)</f>
        <v>0</v>
      </c>
      <c r="AV3922" s="12">
        <f t="shared" ref="AV3922" si="1482">SUM(AV3722:AV3921)</f>
        <v>0</v>
      </c>
      <c r="AW3922" s="12">
        <f t="shared" ref="AW3922" si="1483">SUM(AW3722:AW3921)</f>
        <v>0</v>
      </c>
      <c r="AX3922" s="12">
        <f t="shared" ref="AX3922" si="1484">SUM(AX3722:AX3921)</f>
        <v>0</v>
      </c>
      <c r="AY3922" s="12">
        <f t="shared" ref="AY3922" si="1485">SUM(AY3722:AY3921)</f>
        <v>0</v>
      </c>
      <c r="AZ3922" s="12">
        <f t="shared" ref="AZ3922" si="1486">SUM(AZ3722:AZ3921)</f>
        <v>0</v>
      </c>
      <c r="BA3922" s="12">
        <f t="shared" ref="BA3922" si="1487">SUM(BA3722:BA3921)</f>
        <v>7</v>
      </c>
      <c r="BB3922" s="12">
        <f t="shared" ref="BB3922" si="1488">SUM(BB3722:BB3921)</f>
        <v>0</v>
      </c>
      <c r="BC3922" s="12">
        <f t="shared" ref="BC3922" si="1489">SUM(BC3722:BC3921)</f>
        <v>2</v>
      </c>
      <c r="BD3922" s="12">
        <f t="shared" ref="BD3922" si="1490">SUM(BD3722:BD3921)</f>
        <v>0</v>
      </c>
      <c r="BE3922" s="12">
        <f t="shared" ref="BE3922" si="1491">SUM(BE3722:BE3921)</f>
        <v>11</v>
      </c>
      <c r="BF3922" s="12">
        <f t="shared" ref="BF3922" si="1492">SUM(BF3722:BF3921)</f>
        <v>0</v>
      </c>
      <c r="BG3922" s="12">
        <f t="shared" ref="BG3922" si="1493">SUM(BG3722:BG3921)</f>
        <v>0</v>
      </c>
      <c r="BH3922" s="12">
        <f t="shared" ref="BH3922" si="1494">SUM(BH3722:BH3921)</f>
        <v>0</v>
      </c>
      <c r="BI3922" s="12">
        <f t="shared" ref="BI3922" si="1495">SUM(BI3722:BI3921)</f>
        <v>12</v>
      </c>
      <c r="BJ3922" s="12">
        <f t="shared" ref="BJ3922" si="1496">SUM(BJ3722:BJ3921)</f>
        <v>0</v>
      </c>
      <c r="BK3922" s="12">
        <f t="shared" ref="BK3922" si="1497">SUM(BK3722:BK3921)</f>
        <v>0</v>
      </c>
      <c r="BL3922" s="12">
        <f t="shared" ref="BL3922" si="1498">SUM(BL3722:BL3921)</f>
        <v>0</v>
      </c>
      <c r="BM3922" s="12">
        <f t="shared" ref="BM3922" si="1499">SUM(BM3722:BM3921)</f>
        <v>0</v>
      </c>
      <c r="BN3922" s="12">
        <f t="shared" ref="BN3922" si="1500">SUM(BN3722:BN3921)</f>
        <v>0</v>
      </c>
      <c r="BO3922" s="12">
        <f t="shared" ref="BO3922" si="1501">SUM(BO3722:BO3921)</f>
        <v>0</v>
      </c>
      <c r="BP3922" s="12">
        <f t="shared" ref="BP3922" si="1502">SUM(BP3722:BP3921)</f>
        <v>1</v>
      </c>
      <c r="BQ3922" s="12">
        <f t="shared" ref="BQ3922" si="1503">SUM(BQ3722:BQ3921)</f>
        <v>0</v>
      </c>
      <c r="BR3922" s="12">
        <f t="shared" ref="BR3922" si="1504">SUM(BR3722:BR3921)</f>
        <v>8</v>
      </c>
      <c r="BS3922" s="12">
        <f t="shared" ref="BS3922" si="1505">SUM(BS3722:BS3921)</f>
        <v>0</v>
      </c>
      <c r="BT3922" s="12">
        <f t="shared" ref="BT3922" si="1506">SUM(BT3722:BT3921)</f>
        <v>0</v>
      </c>
      <c r="BU3922" s="12">
        <f t="shared" ref="BU3922" si="1507">SUM(BU3722:BU3921)</f>
        <v>1</v>
      </c>
      <c r="BV3922" s="12">
        <f t="shared" ref="BV3922" si="1508">SUM(BV3722:BV3921)</f>
        <v>0</v>
      </c>
      <c r="BW3922" s="12">
        <f t="shared" ref="BW3922" si="1509">SUM(BW3722:BW3921)</f>
        <v>0</v>
      </c>
      <c r="BX3922" s="12">
        <f t="shared" ref="BX3922" si="1510">SUM(BX3722:BX3921)</f>
        <v>0</v>
      </c>
      <c r="BY3922" s="12">
        <f t="shared" ref="BY3922" si="1511">SUM(BY3722:BY3921)</f>
        <v>1</v>
      </c>
      <c r="BZ3922" s="12">
        <f t="shared" ref="BZ3922" si="1512">SUM(BZ3722:BZ3921)</f>
        <v>5</v>
      </c>
      <c r="CA3922" s="12">
        <f t="shared" ref="CA3922" si="1513">SUM(CA3722:CA3921)</f>
        <v>1</v>
      </c>
      <c r="CB3922" s="12">
        <f t="shared" ref="CB3922" si="1514">SUM(CB3722:CB3921)</f>
        <v>0</v>
      </c>
      <c r="CC3922" s="12">
        <f t="shared" ref="CC3922" si="1515">SUM(CC3722:CC3921)</f>
        <v>0</v>
      </c>
      <c r="CD3922" s="12">
        <f t="shared" ref="CD3922" si="1516">SUM(CD3722:CD3921)</f>
        <v>0</v>
      </c>
      <c r="CE3922" s="12">
        <f t="shared" ref="CE3922" si="1517">SUM(CE3722:CE3921)</f>
        <v>0</v>
      </c>
      <c r="CF3922" s="12">
        <f t="shared" ref="CF3922" si="1518">SUM(CF3722:CF3921)</f>
        <v>0</v>
      </c>
      <c r="CG3922" s="12">
        <f t="shared" ref="CG3922" si="1519">SUM(CG3722:CG3921)</f>
        <v>0</v>
      </c>
      <c r="CH3922" s="12">
        <f t="shared" ref="CH3922" si="1520">SUM(CH3722:CH3921)</f>
        <v>0</v>
      </c>
      <c r="CI3922" s="12">
        <f t="shared" ref="CI3922" si="1521">SUM(CI3722:CI3921)</f>
        <v>0</v>
      </c>
      <c r="CJ3922" s="12">
        <f t="shared" ref="CJ3922" si="1522">SUM(CJ3722:CJ3921)</f>
        <v>0</v>
      </c>
      <c r="CK3922" s="12">
        <f t="shared" ref="CK3922" si="1523">SUM(CK3722:CK3921)</f>
        <v>0</v>
      </c>
      <c r="CL3922" s="12">
        <f t="shared" ref="CL3922" si="1524">SUM(CL3722:CL3921)</f>
        <v>0</v>
      </c>
    </row>
    <row r="3923" spans="1:90" x14ac:dyDescent="0.3">
      <c r="A3923" s="1" t="s">
        <v>57</v>
      </c>
      <c r="B3923" s="7">
        <v>40764</v>
      </c>
      <c r="C3923" s="1">
        <v>11.5</v>
      </c>
      <c r="D3923" s="1">
        <v>118</v>
      </c>
      <c r="E3923" s="1">
        <v>1</v>
      </c>
      <c r="F3923" s="1">
        <v>1</v>
      </c>
      <c r="J3923" s="1">
        <v>1</v>
      </c>
    </row>
    <row r="3924" spans="1:90" x14ac:dyDescent="0.3">
      <c r="A3924" s="1" t="s">
        <v>57</v>
      </c>
      <c r="B3924" s="7">
        <v>40764</v>
      </c>
      <c r="C3924" s="1">
        <v>11.5</v>
      </c>
      <c r="D3924" s="1">
        <v>118</v>
      </c>
      <c r="E3924" s="1">
        <v>1</v>
      </c>
      <c r="F3924" s="1">
        <v>2</v>
      </c>
      <c r="H3924" s="1">
        <v>1</v>
      </c>
    </row>
    <row r="3925" spans="1:90" x14ac:dyDescent="0.3">
      <c r="A3925" s="1" t="s">
        <v>57</v>
      </c>
      <c r="B3925" s="7">
        <v>40764</v>
      </c>
      <c r="C3925" s="1">
        <v>11.5</v>
      </c>
      <c r="D3925" s="1">
        <v>118</v>
      </c>
      <c r="E3925" s="1">
        <v>1</v>
      </c>
      <c r="F3925" s="1">
        <v>3</v>
      </c>
      <c r="J3925" s="1">
        <v>1</v>
      </c>
    </row>
    <row r="3926" spans="1:90" x14ac:dyDescent="0.3">
      <c r="A3926" s="1" t="s">
        <v>57</v>
      </c>
      <c r="B3926" s="7">
        <v>40764</v>
      </c>
      <c r="C3926" s="1">
        <v>11.5</v>
      </c>
      <c r="D3926" s="1">
        <v>118</v>
      </c>
      <c r="E3926" s="1">
        <v>1</v>
      </c>
      <c r="F3926" s="1">
        <v>4</v>
      </c>
      <c r="J3926" s="1">
        <v>1</v>
      </c>
    </row>
    <row r="3927" spans="1:90" x14ac:dyDescent="0.3">
      <c r="A3927" s="1" t="s">
        <v>57</v>
      </c>
      <c r="B3927" s="7">
        <v>40764</v>
      </c>
      <c r="C3927" s="1">
        <v>11.5</v>
      </c>
      <c r="D3927" s="1">
        <v>118</v>
      </c>
      <c r="E3927" s="1">
        <v>1</v>
      </c>
      <c r="F3927" s="1">
        <v>5</v>
      </c>
      <c r="J3927" s="1">
        <v>1</v>
      </c>
      <c r="V3927" s="1">
        <v>1</v>
      </c>
    </row>
    <row r="3928" spans="1:90" x14ac:dyDescent="0.3">
      <c r="A3928" s="1" t="s">
        <v>57</v>
      </c>
      <c r="B3928" s="7">
        <v>40764</v>
      </c>
      <c r="C3928" s="1">
        <v>11.5</v>
      </c>
      <c r="D3928" s="1">
        <v>118</v>
      </c>
      <c r="E3928" s="1">
        <v>1</v>
      </c>
      <c r="F3928" s="1">
        <v>6</v>
      </c>
      <c r="J3928" s="1">
        <v>1</v>
      </c>
    </row>
    <row r="3929" spans="1:90" x14ac:dyDescent="0.3">
      <c r="A3929" s="1" t="s">
        <v>57</v>
      </c>
      <c r="B3929" s="7">
        <v>40764</v>
      </c>
      <c r="C3929" s="1">
        <v>11.5</v>
      </c>
      <c r="D3929" s="1">
        <v>118</v>
      </c>
      <c r="E3929" s="1">
        <v>1</v>
      </c>
      <c r="F3929" s="1">
        <v>7</v>
      </c>
      <c r="I3929" s="1">
        <v>1</v>
      </c>
      <c r="J3929" s="1">
        <v>1</v>
      </c>
    </row>
    <row r="3930" spans="1:90" x14ac:dyDescent="0.3">
      <c r="A3930" s="1" t="s">
        <v>57</v>
      </c>
      <c r="B3930" s="7">
        <v>40764</v>
      </c>
      <c r="C3930" s="1">
        <v>11.5</v>
      </c>
      <c r="D3930" s="1">
        <v>118</v>
      </c>
      <c r="E3930" s="1">
        <v>1</v>
      </c>
      <c r="F3930" s="1">
        <v>8</v>
      </c>
      <c r="I3930" s="1">
        <v>1</v>
      </c>
      <c r="J3930" s="1">
        <v>1</v>
      </c>
    </row>
    <row r="3931" spans="1:90" x14ac:dyDescent="0.3">
      <c r="A3931" s="1" t="s">
        <v>57</v>
      </c>
      <c r="B3931" s="7">
        <v>40764</v>
      </c>
      <c r="C3931" s="1">
        <v>11.5</v>
      </c>
      <c r="D3931" s="1">
        <v>118</v>
      </c>
      <c r="E3931" s="1">
        <v>1</v>
      </c>
      <c r="F3931" s="1">
        <v>9</v>
      </c>
      <c r="J3931" s="1">
        <v>1</v>
      </c>
      <c r="N3931" s="1">
        <v>1</v>
      </c>
    </row>
    <row r="3932" spans="1:90" x14ac:dyDescent="0.3">
      <c r="A3932" s="1" t="s">
        <v>57</v>
      </c>
      <c r="B3932" s="7">
        <v>40764</v>
      </c>
      <c r="C3932" s="1">
        <v>11.5</v>
      </c>
      <c r="D3932" s="1">
        <v>118</v>
      </c>
      <c r="E3932" s="1">
        <v>1</v>
      </c>
      <c r="F3932" s="1">
        <v>10</v>
      </c>
      <c r="I3932" s="1">
        <v>1</v>
      </c>
      <c r="L3932" s="1">
        <v>1</v>
      </c>
    </row>
    <row r="3933" spans="1:90" x14ac:dyDescent="0.3">
      <c r="A3933" s="1" t="s">
        <v>57</v>
      </c>
      <c r="B3933" s="7">
        <v>40764</v>
      </c>
      <c r="C3933" s="1">
        <v>11.5</v>
      </c>
      <c r="D3933" s="1">
        <v>118</v>
      </c>
      <c r="E3933" s="1">
        <v>1</v>
      </c>
      <c r="F3933" s="1">
        <v>11</v>
      </c>
      <c r="J3933" s="1">
        <v>1</v>
      </c>
    </row>
    <row r="3934" spans="1:90" x14ac:dyDescent="0.3">
      <c r="A3934" s="1" t="s">
        <v>57</v>
      </c>
      <c r="B3934" s="7">
        <v>40764</v>
      </c>
      <c r="C3934" s="1">
        <v>11.5</v>
      </c>
      <c r="D3934" s="1">
        <v>118</v>
      </c>
      <c r="E3934" s="1">
        <v>1</v>
      </c>
      <c r="F3934" s="1">
        <v>12</v>
      </c>
      <c r="H3934" s="1">
        <v>1</v>
      </c>
      <c r="J3934" s="1">
        <v>1</v>
      </c>
    </row>
    <row r="3935" spans="1:90" x14ac:dyDescent="0.3">
      <c r="A3935" s="1" t="s">
        <v>57</v>
      </c>
      <c r="B3935" s="7">
        <v>40764</v>
      </c>
      <c r="C3935" s="1">
        <v>11.5</v>
      </c>
      <c r="D3935" s="1">
        <v>118</v>
      </c>
      <c r="E3935" s="1">
        <v>1</v>
      </c>
      <c r="F3935" s="1">
        <v>13</v>
      </c>
      <c r="H3935" s="1">
        <v>1</v>
      </c>
      <c r="AD3935" s="8">
        <v>1</v>
      </c>
      <c r="AE3935" s="8"/>
    </row>
    <row r="3936" spans="1:90" x14ac:dyDescent="0.3">
      <c r="A3936" s="1" t="s">
        <v>57</v>
      </c>
      <c r="B3936" s="7">
        <v>40764</v>
      </c>
      <c r="C3936" s="1">
        <v>11.5</v>
      </c>
      <c r="D3936" s="1">
        <v>118</v>
      </c>
      <c r="E3936" s="1">
        <v>1</v>
      </c>
      <c r="F3936" s="1">
        <v>14</v>
      </c>
      <c r="J3936" s="1">
        <v>1</v>
      </c>
      <c r="N3936" s="1">
        <v>1</v>
      </c>
    </row>
    <row r="3937" spans="1:14" x14ac:dyDescent="0.3">
      <c r="A3937" s="1" t="s">
        <v>57</v>
      </c>
      <c r="B3937" s="7">
        <v>40764</v>
      </c>
      <c r="C3937" s="1">
        <v>11.5</v>
      </c>
      <c r="D3937" s="1">
        <v>118</v>
      </c>
      <c r="E3937" s="1">
        <v>1</v>
      </c>
      <c r="F3937" s="1">
        <v>15</v>
      </c>
      <c r="J3937" s="1">
        <v>1</v>
      </c>
      <c r="L3937" s="1">
        <v>1</v>
      </c>
    </row>
    <row r="3938" spans="1:14" x14ac:dyDescent="0.3">
      <c r="A3938" s="1" t="s">
        <v>57</v>
      </c>
      <c r="B3938" s="7">
        <v>40764</v>
      </c>
      <c r="C3938" s="1">
        <v>11.5</v>
      </c>
      <c r="D3938" s="1">
        <v>118</v>
      </c>
      <c r="E3938" s="1">
        <v>1</v>
      </c>
      <c r="F3938" s="1">
        <v>16</v>
      </c>
      <c r="I3938" s="1">
        <v>1</v>
      </c>
      <c r="J3938" s="1">
        <v>1</v>
      </c>
    </row>
    <row r="3939" spans="1:14" x14ac:dyDescent="0.3">
      <c r="A3939" s="1" t="s">
        <v>57</v>
      </c>
      <c r="B3939" s="7">
        <v>40764</v>
      </c>
      <c r="C3939" s="1">
        <v>11.5</v>
      </c>
      <c r="D3939" s="1">
        <v>118</v>
      </c>
      <c r="E3939" s="1">
        <v>1</v>
      </c>
      <c r="F3939" s="1">
        <v>17</v>
      </c>
      <c r="J3939" s="1">
        <v>1</v>
      </c>
    </row>
    <row r="3940" spans="1:14" x14ac:dyDescent="0.3">
      <c r="A3940" s="1" t="s">
        <v>57</v>
      </c>
      <c r="B3940" s="7">
        <v>40764</v>
      </c>
      <c r="C3940" s="1">
        <v>11.5</v>
      </c>
      <c r="D3940" s="1">
        <v>118</v>
      </c>
      <c r="E3940" s="1">
        <v>1</v>
      </c>
      <c r="F3940" s="1">
        <v>18</v>
      </c>
      <c r="I3940" s="1">
        <v>1</v>
      </c>
    </row>
    <row r="3941" spans="1:14" x14ac:dyDescent="0.3">
      <c r="A3941" s="1" t="s">
        <v>57</v>
      </c>
      <c r="B3941" s="7">
        <v>40764</v>
      </c>
      <c r="C3941" s="1">
        <v>11.5</v>
      </c>
      <c r="D3941" s="1">
        <v>118</v>
      </c>
      <c r="E3941" s="1">
        <v>1</v>
      </c>
      <c r="F3941" s="1">
        <v>19</v>
      </c>
      <c r="J3941" s="1">
        <v>1</v>
      </c>
    </row>
    <row r="3942" spans="1:14" x14ac:dyDescent="0.3">
      <c r="A3942" s="1" t="s">
        <v>57</v>
      </c>
      <c r="B3942" s="7">
        <v>40764</v>
      </c>
      <c r="C3942" s="1">
        <v>11.5</v>
      </c>
      <c r="D3942" s="1">
        <v>118</v>
      </c>
      <c r="E3942" s="1">
        <v>1</v>
      </c>
      <c r="F3942" s="1">
        <v>20</v>
      </c>
      <c r="L3942" s="1">
        <v>1</v>
      </c>
    </row>
    <row r="3943" spans="1:14" x14ac:dyDescent="0.3">
      <c r="A3943" s="1" t="s">
        <v>57</v>
      </c>
      <c r="B3943" s="7">
        <v>40764</v>
      </c>
      <c r="C3943" s="1">
        <v>11.5</v>
      </c>
      <c r="D3943" s="1">
        <v>118</v>
      </c>
      <c r="E3943" s="1">
        <v>1</v>
      </c>
      <c r="F3943" s="1">
        <v>21</v>
      </c>
      <c r="I3943" s="1">
        <v>1</v>
      </c>
    </row>
    <row r="3944" spans="1:14" x14ac:dyDescent="0.3">
      <c r="A3944" s="1" t="s">
        <v>57</v>
      </c>
      <c r="B3944" s="7">
        <v>40764</v>
      </c>
      <c r="C3944" s="1">
        <v>11.5</v>
      </c>
      <c r="D3944" s="1">
        <v>118</v>
      </c>
      <c r="E3944" s="1">
        <v>1</v>
      </c>
      <c r="F3944" s="1">
        <v>22</v>
      </c>
      <c r="J3944" s="1">
        <v>1</v>
      </c>
    </row>
    <row r="3945" spans="1:14" x14ac:dyDescent="0.3">
      <c r="A3945" s="1" t="s">
        <v>57</v>
      </c>
      <c r="B3945" s="7">
        <v>40764</v>
      </c>
      <c r="C3945" s="1">
        <v>11.5</v>
      </c>
      <c r="D3945" s="1">
        <v>118</v>
      </c>
      <c r="E3945" s="1">
        <v>1</v>
      </c>
      <c r="F3945" s="1">
        <v>23</v>
      </c>
      <c r="I3945" s="1">
        <v>1</v>
      </c>
      <c r="J3945" s="1">
        <v>1</v>
      </c>
    </row>
    <row r="3946" spans="1:14" x14ac:dyDescent="0.3">
      <c r="A3946" s="1" t="s">
        <v>57</v>
      </c>
      <c r="B3946" s="7">
        <v>40764</v>
      </c>
      <c r="C3946" s="1">
        <v>11.5</v>
      </c>
      <c r="D3946" s="1">
        <v>118</v>
      </c>
      <c r="E3946" s="1">
        <v>1</v>
      </c>
      <c r="F3946" s="1">
        <v>24</v>
      </c>
      <c r="I3946" s="1">
        <v>1</v>
      </c>
      <c r="J3946" s="1">
        <v>1</v>
      </c>
    </row>
    <row r="3947" spans="1:14" x14ac:dyDescent="0.3">
      <c r="A3947" s="1" t="s">
        <v>57</v>
      </c>
      <c r="B3947" s="7">
        <v>40764</v>
      </c>
      <c r="C3947" s="1">
        <v>11.5</v>
      </c>
      <c r="D3947" s="1">
        <v>118</v>
      </c>
      <c r="E3947" s="1">
        <v>1</v>
      </c>
      <c r="F3947" s="1">
        <v>25</v>
      </c>
      <c r="J3947" s="3">
        <v>0</v>
      </c>
      <c r="K3947" s="3">
        <v>1</v>
      </c>
      <c r="L3947" s="8">
        <v>1</v>
      </c>
      <c r="M3947" s="8"/>
      <c r="N3947" s="1">
        <v>1</v>
      </c>
    </row>
    <row r="3948" spans="1:14" x14ac:dyDescent="0.3">
      <c r="A3948" s="1" t="s">
        <v>57</v>
      </c>
      <c r="B3948" s="7">
        <v>40764</v>
      </c>
      <c r="C3948" s="1">
        <v>11.5</v>
      </c>
      <c r="D3948" s="1">
        <v>118</v>
      </c>
      <c r="E3948" s="1">
        <v>1</v>
      </c>
      <c r="F3948" s="1">
        <v>26</v>
      </c>
      <c r="I3948" s="1">
        <v>1</v>
      </c>
      <c r="J3948" s="1">
        <v>1</v>
      </c>
    </row>
    <row r="3949" spans="1:14" x14ac:dyDescent="0.3">
      <c r="A3949" s="1" t="s">
        <v>57</v>
      </c>
      <c r="B3949" s="7">
        <v>40764</v>
      </c>
      <c r="C3949" s="1">
        <v>11.5</v>
      </c>
      <c r="D3949" s="1">
        <v>118</v>
      </c>
      <c r="E3949" s="1">
        <v>1</v>
      </c>
      <c r="F3949" s="1">
        <v>27</v>
      </c>
      <c r="J3949" s="1">
        <v>1</v>
      </c>
    </row>
    <row r="3950" spans="1:14" x14ac:dyDescent="0.3">
      <c r="A3950" s="1" t="s">
        <v>57</v>
      </c>
      <c r="B3950" s="7">
        <v>40764</v>
      </c>
      <c r="C3950" s="1">
        <v>11.5</v>
      </c>
      <c r="D3950" s="1">
        <v>118</v>
      </c>
      <c r="E3950" s="1">
        <v>1</v>
      </c>
      <c r="F3950" s="1">
        <v>28</v>
      </c>
      <c r="I3950" s="1">
        <v>1</v>
      </c>
      <c r="J3950" s="1">
        <v>1</v>
      </c>
      <c r="L3950" s="1">
        <v>1</v>
      </c>
    </row>
    <row r="3951" spans="1:14" x14ac:dyDescent="0.3">
      <c r="A3951" s="1" t="s">
        <v>57</v>
      </c>
      <c r="B3951" s="7">
        <v>40764</v>
      </c>
      <c r="C3951" s="1">
        <v>11.5</v>
      </c>
      <c r="D3951" s="1">
        <v>118</v>
      </c>
      <c r="E3951" s="1">
        <v>1</v>
      </c>
      <c r="F3951" s="1">
        <v>29</v>
      </c>
      <c r="I3951" s="1">
        <v>1</v>
      </c>
      <c r="L3951" s="1">
        <v>1</v>
      </c>
    </row>
    <row r="3952" spans="1:14" x14ac:dyDescent="0.3">
      <c r="A3952" s="1" t="s">
        <v>57</v>
      </c>
      <c r="B3952" s="7">
        <v>40764</v>
      </c>
      <c r="C3952" s="1">
        <v>11.5</v>
      </c>
      <c r="D3952" s="1">
        <v>118</v>
      </c>
      <c r="E3952" s="1">
        <v>1</v>
      </c>
      <c r="F3952" s="1">
        <v>30</v>
      </c>
      <c r="I3952" s="1">
        <v>1</v>
      </c>
      <c r="L3952" s="8">
        <v>1</v>
      </c>
      <c r="M3952" s="8"/>
    </row>
    <row r="3953" spans="1:18" x14ac:dyDescent="0.3">
      <c r="A3953" s="1" t="s">
        <v>57</v>
      </c>
      <c r="B3953" s="7">
        <v>40764</v>
      </c>
      <c r="C3953" s="1">
        <v>11.5</v>
      </c>
      <c r="D3953" s="1">
        <v>118</v>
      </c>
      <c r="E3953" s="1">
        <v>1</v>
      </c>
      <c r="F3953" s="1">
        <v>31</v>
      </c>
      <c r="L3953" s="1">
        <v>1</v>
      </c>
    </row>
    <row r="3954" spans="1:18" x14ac:dyDescent="0.3">
      <c r="A3954" s="1" t="s">
        <v>57</v>
      </c>
      <c r="B3954" s="7">
        <v>40764</v>
      </c>
      <c r="C3954" s="1">
        <v>11.5</v>
      </c>
      <c r="D3954" s="1">
        <v>118</v>
      </c>
      <c r="E3954" s="1">
        <v>1</v>
      </c>
      <c r="F3954" s="1">
        <v>32</v>
      </c>
      <c r="I3954" s="1">
        <v>1</v>
      </c>
    </row>
    <row r="3955" spans="1:18" x14ac:dyDescent="0.3">
      <c r="A3955" s="1" t="s">
        <v>57</v>
      </c>
      <c r="B3955" s="7">
        <v>40764</v>
      </c>
      <c r="C3955" s="1">
        <v>11.5</v>
      </c>
      <c r="D3955" s="1">
        <v>118</v>
      </c>
      <c r="E3955" s="1">
        <v>1</v>
      </c>
      <c r="F3955" s="1">
        <v>33</v>
      </c>
      <c r="H3955" s="1">
        <v>1</v>
      </c>
      <c r="I3955" s="1">
        <v>1</v>
      </c>
    </row>
    <row r="3956" spans="1:18" x14ac:dyDescent="0.3">
      <c r="A3956" s="1" t="s">
        <v>57</v>
      </c>
      <c r="B3956" s="7">
        <v>40764</v>
      </c>
      <c r="C3956" s="1">
        <v>11.5</v>
      </c>
      <c r="D3956" s="1">
        <v>118</v>
      </c>
      <c r="E3956" s="1">
        <v>1</v>
      </c>
      <c r="F3956" s="1">
        <v>34</v>
      </c>
      <c r="J3956" s="1">
        <v>1</v>
      </c>
      <c r="L3956" s="1">
        <v>1</v>
      </c>
    </row>
    <row r="3957" spans="1:18" x14ac:dyDescent="0.3">
      <c r="A3957" s="1" t="s">
        <v>57</v>
      </c>
      <c r="B3957" s="7">
        <v>40764</v>
      </c>
      <c r="C3957" s="1">
        <v>11.5</v>
      </c>
      <c r="D3957" s="1">
        <v>118</v>
      </c>
      <c r="E3957" s="1">
        <v>1</v>
      </c>
      <c r="F3957" s="1">
        <v>35</v>
      </c>
      <c r="J3957" s="1">
        <v>1</v>
      </c>
    </row>
    <row r="3958" spans="1:18" x14ac:dyDescent="0.3">
      <c r="A3958" s="1" t="s">
        <v>57</v>
      </c>
      <c r="B3958" s="7">
        <v>40764</v>
      </c>
      <c r="C3958" s="1">
        <v>11.5</v>
      </c>
      <c r="D3958" s="1">
        <v>118</v>
      </c>
      <c r="E3958" s="1">
        <v>1</v>
      </c>
      <c r="F3958" s="1">
        <v>36</v>
      </c>
      <c r="I3958" s="1">
        <v>1</v>
      </c>
      <c r="J3958" s="1">
        <v>1</v>
      </c>
    </row>
    <row r="3959" spans="1:18" x14ac:dyDescent="0.3">
      <c r="A3959" s="1" t="s">
        <v>57</v>
      </c>
      <c r="B3959" s="7">
        <v>40764</v>
      </c>
      <c r="C3959" s="1">
        <v>11.5</v>
      </c>
      <c r="D3959" s="1">
        <v>118</v>
      </c>
      <c r="E3959" s="1">
        <v>1</v>
      </c>
      <c r="F3959" s="1">
        <v>37</v>
      </c>
      <c r="H3959" s="1">
        <v>1</v>
      </c>
      <c r="I3959" s="1">
        <v>1</v>
      </c>
    </row>
    <row r="3960" spans="1:18" x14ac:dyDescent="0.3">
      <c r="A3960" s="1" t="s">
        <v>57</v>
      </c>
      <c r="B3960" s="7">
        <v>40764</v>
      </c>
      <c r="C3960" s="1">
        <v>11.5</v>
      </c>
      <c r="D3960" s="1">
        <v>118</v>
      </c>
      <c r="E3960" s="1">
        <v>1</v>
      </c>
      <c r="F3960" s="1">
        <v>38</v>
      </c>
      <c r="J3960" s="1">
        <v>1</v>
      </c>
    </row>
    <row r="3961" spans="1:18" x14ac:dyDescent="0.3">
      <c r="A3961" s="1" t="s">
        <v>57</v>
      </c>
      <c r="B3961" s="7">
        <v>40764</v>
      </c>
      <c r="C3961" s="1">
        <v>11.5</v>
      </c>
      <c r="D3961" s="1">
        <v>118</v>
      </c>
      <c r="E3961" s="1">
        <v>1</v>
      </c>
      <c r="F3961" s="1">
        <v>39</v>
      </c>
      <c r="H3961" s="1">
        <v>1</v>
      </c>
      <c r="I3961" s="1">
        <v>1</v>
      </c>
    </row>
    <row r="3962" spans="1:18" x14ac:dyDescent="0.3">
      <c r="A3962" s="1" t="s">
        <v>57</v>
      </c>
      <c r="B3962" s="7">
        <v>40764</v>
      </c>
      <c r="C3962" s="1">
        <v>11.5</v>
      </c>
      <c r="D3962" s="1">
        <v>118</v>
      </c>
      <c r="E3962" s="1">
        <v>1</v>
      </c>
      <c r="F3962" s="1">
        <v>40</v>
      </c>
      <c r="I3962" s="1">
        <v>1</v>
      </c>
    </row>
    <row r="3963" spans="1:18" x14ac:dyDescent="0.3">
      <c r="A3963" s="1" t="s">
        <v>57</v>
      </c>
      <c r="B3963" s="7">
        <v>40764</v>
      </c>
      <c r="C3963" s="1">
        <v>11.5</v>
      </c>
      <c r="D3963" s="1">
        <v>118</v>
      </c>
      <c r="E3963" s="1">
        <v>1</v>
      </c>
      <c r="F3963" s="1">
        <v>41</v>
      </c>
      <c r="H3963" s="1">
        <v>1</v>
      </c>
    </row>
    <row r="3964" spans="1:18" x14ac:dyDescent="0.3">
      <c r="A3964" s="1" t="s">
        <v>57</v>
      </c>
      <c r="B3964" s="7">
        <v>40764</v>
      </c>
      <c r="C3964" s="1">
        <v>11.5</v>
      </c>
      <c r="D3964" s="1">
        <v>118</v>
      </c>
      <c r="E3964" s="1">
        <v>1</v>
      </c>
      <c r="F3964" s="1">
        <v>42</v>
      </c>
    </row>
    <row r="3965" spans="1:18" x14ac:dyDescent="0.3">
      <c r="A3965" s="1" t="s">
        <v>57</v>
      </c>
      <c r="B3965" s="7">
        <v>40764</v>
      </c>
      <c r="C3965" s="1">
        <v>11.5</v>
      </c>
      <c r="D3965" s="1">
        <v>118</v>
      </c>
      <c r="E3965" s="1">
        <v>1</v>
      </c>
      <c r="F3965" s="1">
        <v>43</v>
      </c>
      <c r="R3965" s="1">
        <v>1</v>
      </c>
    </row>
    <row r="3966" spans="1:18" x14ac:dyDescent="0.3">
      <c r="A3966" s="1" t="s">
        <v>57</v>
      </c>
      <c r="B3966" s="7">
        <v>40764</v>
      </c>
      <c r="C3966" s="1">
        <v>11.5</v>
      </c>
      <c r="D3966" s="1">
        <v>118</v>
      </c>
      <c r="E3966" s="1">
        <v>1</v>
      </c>
      <c r="F3966" s="1">
        <v>44</v>
      </c>
      <c r="H3966" s="1">
        <v>1</v>
      </c>
      <c r="I3966" s="1">
        <v>1</v>
      </c>
      <c r="J3966" s="1">
        <v>1</v>
      </c>
    </row>
    <row r="3967" spans="1:18" x14ac:dyDescent="0.3">
      <c r="A3967" s="1" t="s">
        <v>57</v>
      </c>
      <c r="B3967" s="7">
        <v>40764</v>
      </c>
      <c r="C3967" s="1">
        <v>11.5</v>
      </c>
      <c r="D3967" s="1">
        <v>118</v>
      </c>
      <c r="E3967" s="1">
        <v>1</v>
      </c>
      <c r="F3967" s="1">
        <v>45</v>
      </c>
      <c r="J3967" s="1">
        <v>1</v>
      </c>
      <c r="L3967" s="1">
        <v>1</v>
      </c>
    </row>
    <row r="3968" spans="1:18" x14ac:dyDescent="0.3">
      <c r="A3968" s="1" t="s">
        <v>57</v>
      </c>
      <c r="B3968" s="7">
        <v>40764</v>
      </c>
      <c r="C3968" s="1">
        <v>11.5</v>
      </c>
      <c r="D3968" s="1">
        <v>118</v>
      </c>
      <c r="E3968" s="1">
        <v>1</v>
      </c>
      <c r="F3968" s="1">
        <v>46</v>
      </c>
      <c r="H3968" s="1">
        <v>1</v>
      </c>
      <c r="J3968" s="1">
        <v>1</v>
      </c>
    </row>
    <row r="3969" spans="1:62" x14ac:dyDescent="0.3">
      <c r="A3969" s="1" t="s">
        <v>57</v>
      </c>
      <c r="B3969" s="7">
        <v>40764</v>
      </c>
      <c r="C3969" s="1">
        <v>11.5</v>
      </c>
      <c r="D3969" s="1">
        <v>118</v>
      </c>
      <c r="E3969" s="1">
        <v>1</v>
      </c>
      <c r="F3969" s="1">
        <v>47</v>
      </c>
      <c r="H3969" s="1">
        <v>1</v>
      </c>
      <c r="I3969" s="1">
        <v>1</v>
      </c>
      <c r="J3969" s="1">
        <v>1</v>
      </c>
    </row>
    <row r="3970" spans="1:62" x14ac:dyDescent="0.3">
      <c r="A3970" s="1" t="s">
        <v>57</v>
      </c>
      <c r="B3970" s="7">
        <v>40764</v>
      </c>
      <c r="C3970" s="1">
        <v>11.5</v>
      </c>
      <c r="D3970" s="1">
        <v>118</v>
      </c>
      <c r="E3970" s="1">
        <v>1</v>
      </c>
      <c r="F3970" s="1">
        <v>48</v>
      </c>
      <c r="H3970" s="1">
        <v>1</v>
      </c>
      <c r="J3970" s="3">
        <v>0</v>
      </c>
      <c r="K3970" s="3">
        <v>1</v>
      </c>
    </row>
    <row r="3971" spans="1:62" x14ac:dyDescent="0.3">
      <c r="A3971" s="1" t="s">
        <v>57</v>
      </c>
      <c r="B3971" s="7">
        <v>40764</v>
      </c>
      <c r="C3971" s="1">
        <v>11.5</v>
      </c>
      <c r="D3971" s="1">
        <v>118</v>
      </c>
      <c r="E3971" s="1">
        <v>1</v>
      </c>
      <c r="F3971" s="1">
        <v>49</v>
      </c>
      <c r="H3971" s="1">
        <v>1</v>
      </c>
      <c r="J3971" s="1">
        <v>1</v>
      </c>
    </row>
    <row r="3972" spans="1:62" x14ac:dyDescent="0.3">
      <c r="A3972" s="1" t="s">
        <v>57</v>
      </c>
      <c r="B3972" s="7">
        <v>40764</v>
      </c>
      <c r="C3972" s="1">
        <v>11.5</v>
      </c>
      <c r="D3972" s="1">
        <v>118</v>
      </c>
      <c r="E3972" s="1">
        <v>1</v>
      </c>
      <c r="F3972" s="1">
        <v>50</v>
      </c>
      <c r="J3972" s="1">
        <v>1</v>
      </c>
    </row>
    <row r="3973" spans="1:62" x14ac:dyDescent="0.3">
      <c r="A3973" s="1" t="s">
        <v>57</v>
      </c>
      <c r="B3973" s="7">
        <v>40764</v>
      </c>
      <c r="C3973" s="1">
        <v>11.5</v>
      </c>
      <c r="D3973" s="1">
        <v>118</v>
      </c>
      <c r="E3973" s="1">
        <v>1</v>
      </c>
      <c r="F3973" s="1">
        <v>51</v>
      </c>
      <c r="H3973" s="1">
        <v>1</v>
      </c>
      <c r="I3973" s="1">
        <v>1</v>
      </c>
    </row>
    <row r="3974" spans="1:62" x14ac:dyDescent="0.3">
      <c r="A3974" s="1" t="s">
        <v>57</v>
      </c>
      <c r="B3974" s="7">
        <v>40764</v>
      </c>
      <c r="C3974" s="1">
        <v>11.5</v>
      </c>
      <c r="D3974" s="1">
        <v>118</v>
      </c>
      <c r="E3974" s="1">
        <v>1</v>
      </c>
      <c r="F3974" s="1">
        <v>52</v>
      </c>
      <c r="H3974" s="1">
        <v>1</v>
      </c>
      <c r="I3974" s="1">
        <v>1</v>
      </c>
    </row>
    <row r="3975" spans="1:62" x14ac:dyDescent="0.3">
      <c r="A3975" s="1" t="s">
        <v>57</v>
      </c>
      <c r="B3975" s="7">
        <v>40764</v>
      </c>
      <c r="C3975" s="1">
        <v>11.5</v>
      </c>
      <c r="D3975" s="1">
        <v>118</v>
      </c>
      <c r="E3975" s="1">
        <v>1</v>
      </c>
      <c r="F3975" s="1">
        <v>53</v>
      </c>
      <c r="H3975" s="1">
        <v>1</v>
      </c>
      <c r="J3975" s="1">
        <v>1</v>
      </c>
    </row>
    <row r="3976" spans="1:62" x14ac:dyDescent="0.3">
      <c r="A3976" s="1" t="s">
        <v>57</v>
      </c>
      <c r="B3976" s="7">
        <v>40764</v>
      </c>
      <c r="C3976" s="1">
        <v>11.5</v>
      </c>
      <c r="D3976" s="1">
        <v>118</v>
      </c>
      <c r="E3976" s="1">
        <v>1</v>
      </c>
      <c r="F3976" s="1">
        <v>54</v>
      </c>
      <c r="J3976" s="1">
        <v>1</v>
      </c>
    </row>
    <row r="3977" spans="1:62" x14ac:dyDescent="0.3">
      <c r="A3977" s="1" t="s">
        <v>57</v>
      </c>
      <c r="B3977" s="7">
        <v>40764</v>
      </c>
      <c r="C3977" s="1">
        <v>11.5</v>
      </c>
      <c r="D3977" s="1">
        <v>118</v>
      </c>
      <c r="E3977" s="1">
        <v>1</v>
      </c>
      <c r="F3977" s="1">
        <v>55</v>
      </c>
      <c r="H3977" s="1">
        <v>1</v>
      </c>
      <c r="J3977" s="1">
        <v>1</v>
      </c>
    </row>
    <row r="3978" spans="1:62" x14ac:dyDescent="0.3">
      <c r="A3978" s="1" t="s">
        <v>57</v>
      </c>
      <c r="B3978" s="7">
        <v>40764</v>
      </c>
      <c r="C3978" s="1">
        <v>11.5</v>
      </c>
      <c r="D3978" s="1">
        <v>118</v>
      </c>
      <c r="E3978" s="1">
        <v>1</v>
      </c>
      <c r="F3978" s="1">
        <v>56</v>
      </c>
      <c r="I3978" s="1">
        <v>1</v>
      </c>
      <c r="BI3978" s="3">
        <v>0</v>
      </c>
      <c r="BJ3978" s="3">
        <v>1</v>
      </c>
    </row>
    <row r="3979" spans="1:62" x14ac:dyDescent="0.3">
      <c r="A3979" s="1" t="s">
        <v>57</v>
      </c>
      <c r="B3979" s="7">
        <v>40764</v>
      </c>
      <c r="C3979" s="1">
        <v>11.5</v>
      </c>
      <c r="D3979" s="1">
        <v>118</v>
      </c>
      <c r="E3979" s="1">
        <v>1</v>
      </c>
      <c r="F3979" s="1">
        <v>57</v>
      </c>
      <c r="H3979" s="1">
        <v>1</v>
      </c>
    </row>
    <row r="3980" spans="1:62" x14ac:dyDescent="0.3">
      <c r="A3980" s="1" t="s">
        <v>57</v>
      </c>
      <c r="B3980" s="7">
        <v>40764</v>
      </c>
      <c r="C3980" s="1">
        <v>11.5</v>
      </c>
      <c r="D3980" s="1">
        <v>118</v>
      </c>
      <c r="E3980" s="1">
        <v>1</v>
      </c>
      <c r="F3980" s="1">
        <v>58</v>
      </c>
      <c r="I3980" s="1">
        <v>1</v>
      </c>
      <c r="J3980" s="3">
        <v>0</v>
      </c>
      <c r="K3980" s="3">
        <v>1</v>
      </c>
    </row>
    <row r="3981" spans="1:62" x14ac:dyDescent="0.3">
      <c r="A3981" s="1" t="s">
        <v>57</v>
      </c>
      <c r="B3981" s="7">
        <v>40764</v>
      </c>
      <c r="C3981" s="1">
        <v>11.5</v>
      </c>
      <c r="D3981" s="1">
        <v>118</v>
      </c>
      <c r="E3981" s="1">
        <v>1</v>
      </c>
      <c r="F3981" s="1">
        <v>59</v>
      </c>
      <c r="H3981" s="1">
        <v>1</v>
      </c>
      <c r="J3981" s="1">
        <v>1</v>
      </c>
    </row>
    <row r="3982" spans="1:62" x14ac:dyDescent="0.3">
      <c r="A3982" s="1" t="s">
        <v>57</v>
      </c>
      <c r="B3982" s="7">
        <v>40764</v>
      </c>
      <c r="C3982" s="1">
        <v>11.5</v>
      </c>
      <c r="D3982" s="1">
        <v>118</v>
      </c>
      <c r="E3982" s="1">
        <v>1</v>
      </c>
      <c r="F3982" s="1">
        <v>60</v>
      </c>
      <c r="J3982" s="1">
        <v>1</v>
      </c>
    </row>
    <row r="3983" spans="1:62" x14ac:dyDescent="0.3">
      <c r="A3983" s="1" t="s">
        <v>57</v>
      </c>
      <c r="B3983" s="7">
        <v>40764</v>
      </c>
      <c r="C3983" s="1">
        <v>11.5</v>
      </c>
      <c r="D3983" s="1">
        <v>118</v>
      </c>
      <c r="E3983" s="1">
        <v>1</v>
      </c>
      <c r="F3983" s="1">
        <v>61</v>
      </c>
      <c r="J3983" s="1">
        <v>1</v>
      </c>
      <c r="L3983" s="1">
        <v>1</v>
      </c>
    </row>
    <row r="3984" spans="1:62" x14ac:dyDescent="0.3">
      <c r="A3984" s="1" t="s">
        <v>57</v>
      </c>
      <c r="B3984" s="7">
        <v>40764</v>
      </c>
      <c r="C3984" s="1">
        <v>11.5</v>
      </c>
      <c r="D3984" s="1">
        <v>118</v>
      </c>
      <c r="E3984" s="1">
        <v>1</v>
      </c>
      <c r="F3984" s="1">
        <v>62</v>
      </c>
      <c r="J3984" s="1">
        <v>1</v>
      </c>
      <c r="L3984" s="1">
        <v>1</v>
      </c>
    </row>
    <row r="3985" spans="1:32" x14ac:dyDescent="0.3">
      <c r="A3985" s="1" t="s">
        <v>57</v>
      </c>
      <c r="B3985" s="7">
        <v>40764</v>
      </c>
      <c r="C3985" s="1">
        <v>11.5</v>
      </c>
      <c r="D3985" s="1">
        <v>118</v>
      </c>
      <c r="E3985" s="1">
        <v>1</v>
      </c>
      <c r="F3985" s="1">
        <v>63</v>
      </c>
      <c r="I3985" s="1">
        <v>1</v>
      </c>
      <c r="J3985" s="1">
        <v>1</v>
      </c>
    </row>
    <row r="3986" spans="1:32" x14ac:dyDescent="0.3">
      <c r="A3986" s="1" t="s">
        <v>57</v>
      </c>
      <c r="B3986" s="7">
        <v>40764</v>
      </c>
      <c r="C3986" s="1">
        <v>11.5</v>
      </c>
      <c r="D3986" s="1">
        <v>118</v>
      </c>
      <c r="E3986" s="1">
        <v>1</v>
      </c>
      <c r="F3986" s="1">
        <v>64</v>
      </c>
      <c r="J3986" s="1">
        <v>1</v>
      </c>
    </row>
    <row r="3987" spans="1:32" x14ac:dyDescent="0.3">
      <c r="A3987" s="1" t="s">
        <v>57</v>
      </c>
      <c r="B3987" s="7">
        <v>40764</v>
      </c>
      <c r="C3987" s="1">
        <v>11.5</v>
      </c>
      <c r="D3987" s="1">
        <v>118</v>
      </c>
      <c r="E3987" s="1">
        <v>1</v>
      </c>
      <c r="F3987" s="1">
        <v>65</v>
      </c>
      <c r="J3987" s="3">
        <v>0</v>
      </c>
      <c r="K3987" s="3">
        <v>1</v>
      </c>
    </row>
    <row r="3988" spans="1:32" x14ac:dyDescent="0.3">
      <c r="A3988" s="1" t="s">
        <v>57</v>
      </c>
      <c r="B3988" s="7">
        <v>40764</v>
      </c>
      <c r="C3988" s="1">
        <v>11.5</v>
      </c>
      <c r="D3988" s="1">
        <v>118</v>
      </c>
      <c r="E3988" s="1">
        <v>1</v>
      </c>
      <c r="F3988" s="1">
        <v>66</v>
      </c>
      <c r="I3988" s="1">
        <v>1</v>
      </c>
      <c r="L3988" s="1">
        <v>1</v>
      </c>
    </row>
    <row r="3989" spans="1:32" x14ac:dyDescent="0.3">
      <c r="A3989" s="1" t="s">
        <v>57</v>
      </c>
      <c r="B3989" s="7">
        <v>40764</v>
      </c>
      <c r="C3989" s="1">
        <v>11.5</v>
      </c>
      <c r="D3989" s="1">
        <v>118</v>
      </c>
      <c r="E3989" s="1">
        <v>1</v>
      </c>
      <c r="F3989" s="1">
        <v>67</v>
      </c>
      <c r="L3989" s="8">
        <v>1</v>
      </c>
      <c r="M3989" s="8"/>
      <c r="AF3989" s="8">
        <v>1</v>
      </c>
    </row>
    <row r="3990" spans="1:32" x14ac:dyDescent="0.3">
      <c r="A3990" s="1" t="s">
        <v>57</v>
      </c>
      <c r="B3990" s="7">
        <v>40764</v>
      </c>
      <c r="C3990" s="1">
        <v>11.5</v>
      </c>
      <c r="D3990" s="1">
        <v>118</v>
      </c>
      <c r="E3990" s="1">
        <v>1</v>
      </c>
      <c r="F3990" s="1">
        <v>68</v>
      </c>
      <c r="J3990" s="1">
        <v>1</v>
      </c>
    </row>
    <row r="3991" spans="1:32" x14ac:dyDescent="0.3">
      <c r="A3991" s="1" t="s">
        <v>57</v>
      </c>
      <c r="B3991" s="7">
        <v>40764</v>
      </c>
      <c r="C3991" s="1">
        <v>11.5</v>
      </c>
      <c r="D3991" s="1">
        <v>118</v>
      </c>
      <c r="E3991" s="1">
        <v>1</v>
      </c>
      <c r="F3991" s="1">
        <v>69</v>
      </c>
      <c r="J3991" s="1">
        <v>1</v>
      </c>
      <c r="AD3991" s="1">
        <v>1</v>
      </c>
    </row>
    <row r="3992" spans="1:32" x14ac:dyDescent="0.3">
      <c r="A3992" s="1" t="s">
        <v>57</v>
      </c>
      <c r="B3992" s="7">
        <v>40764</v>
      </c>
      <c r="C3992" s="1">
        <v>11.5</v>
      </c>
      <c r="D3992" s="1">
        <v>118</v>
      </c>
      <c r="E3992" s="1">
        <v>1</v>
      </c>
      <c r="F3992" s="1">
        <v>70</v>
      </c>
      <c r="H3992" s="1">
        <v>1</v>
      </c>
      <c r="J3992" s="1">
        <v>1</v>
      </c>
    </row>
    <row r="3993" spans="1:32" x14ac:dyDescent="0.3">
      <c r="A3993" s="1" t="s">
        <v>57</v>
      </c>
      <c r="B3993" s="7">
        <v>40764</v>
      </c>
      <c r="C3993" s="1">
        <v>11.5</v>
      </c>
      <c r="D3993" s="1">
        <v>118</v>
      </c>
      <c r="E3993" s="1">
        <v>1</v>
      </c>
      <c r="F3993" s="1">
        <v>71</v>
      </c>
      <c r="J3993" s="1">
        <v>1</v>
      </c>
      <c r="L3993" s="1">
        <v>1</v>
      </c>
    </row>
    <row r="3994" spans="1:32" x14ac:dyDescent="0.3">
      <c r="A3994" s="1" t="s">
        <v>57</v>
      </c>
      <c r="B3994" s="7">
        <v>40764</v>
      </c>
      <c r="C3994" s="1">
        <v>11.5</v>
      </c>
      <c r="D3994" s="1">
        <v>118</v>
      </c>
      <c r="E3994" s="1">
        <v>1</v>
      </c>
      <c r="F3994" s="1">
        <v>72</v>
      </c>
      <c r="H3994" s="1">
        <v>1</v>
      </c>
      <c r="J3994" s="1">
        <v>1</v>
      </c>
      <c r="L3994" s="1">
        <v>1</v>
      </c>
    </row>
    <row r="3995" spans="1:32" x14ac:dyDescent="0.3">
      <c r="A3995" s="1" t="s">
        <v>57</v>
      </c>
      <c r="B3995" s="7">
        <v>40764</v>
      </c>
      <c r="C3995" s="1">
        <v>11.5</v>
      </c>
      <c r="D3995" s="1">
        <v>118</v>
      </c>
      <c r="E3995" s="1">
        <v>1</v>
      </c>
      <c r="F3995" s="1">
        <v>73</v>
      </c>
      <c r="H3995" s="1">
        <v>1</v>
      </c>
    </row>
    <row r="3996" spans="1:32" x14ac:dyDescent="0.3">
      <c r="A3996" s="1" t="s">
        <v>57</v>
      </c>
      <c r="B3996" s="7">
        <v>40764</v>
      </c>
      <c r="C3996" s="1">
        <v>11.5</v>
      </c>
      <c r="D3996" s="1">
        <v>118</v>
      </c>
      <c r="E3996" s="1">
        <v>1</v>
      </c>
      <c r="F3996" s="1">
        <v>74</v>
      </c>
      <c r="L3996" s="1">
        <v>1</v>
      </c>
    </row>
    <row r="3997" spans="1:32" x14ac:dyDescent="0.3">
      <c r="A3997" s="1" t="s">
        <v>57</v>
      </c>
      <c r="B3997" s="7">
        <v>40764</v>
      </c>
      <c r="C3997" s="1">
        <v>11.5</v>
      </c>
      <c r="D3997" s="1">
        <v>118</v>
      </c>
      <c r="E3997" s="1">
        <v>1</v>
      </c>
      <c r="F3997" s="1">
        <v>75</v>
      </c>
    </row>
    <row r="3998" spans="1:32" x14ac:dyDescent="0.3">
      <c r="A3998" s="1" t="s">
        <v>57</v>
      </c>
      <c r="B3998" s="7">
        <v>40764</v>
      </c>
      <c r="C3998" s="1">
        <v>11.5</v>
      </c>
      <c r="D3998" s="1">
        <v>118</v>
      </c>
      <c r="E3998" s="1">
        <v>1</v>
      </c>
      <c r="F3998" s="1">
        <v>76</v>
      </c>
      <c r="J3998" s="1">
        <v>1</v>
      </c>
    </row>
    <row r="3999" spans="1:32" x14ac:dyDescent="0.3">
      <c r="A3999" s="1" t="s">
        <v>57</v>
      </c>
      <c r="B3999" s="7">
        <v>40764</v>
      </c>
      <c r="C3999" s="1">
        <v>11.5</v>
      </c>
      <c r="D3999" s="1">
        <v>118</v>
      </c>
      <c r="E3999" s="1">
        <v>1</v>
      </c>
      <c r="F3999" s="1">
        <v>77</v>
      </c>
    </row>
    <row r="4000" spans="1:32" x14ac:dyDescent="0.3">
      <c r="A4000" s="1" t="s">
        <v>57</v>
      </c>
      <c r="B4000" s="7">
        <v>40764</v>
      </c>
      <c r="C4000" s="1">
        <v>11.5</v>
      </c>
      <c r="D4000" s="1">
        <v>118</v>
      </c>
      <c r="E4000" s="1">
        <v>1</v>
      </c>
      <c r="F4000" s="1">
        <v>78</v>
      </c>
      <c r="H4000" s="1">
        <v>1</v>
      </c>
    </row>
    <row r="4001" spans="1:61" x14ac:dyDescent="0.3">
      <c r="A4001" s="1" t="s">
        <v>57</v>
      </c>
      <c r="B4001" s="7">
        <v>40764</v>
      </c>
      <c r="C4001" s="1">
        <v>11.5</v>
      </c>
      <c r="D4001" s="1">
        <v>118</v>
      </c>
      <c r="E4001" s="1">
        <v>1</v>
      </c>
      <c r="F4001" s="1">
        <v>79</v>
      </c>
      <c r="H4001" s="1">
        <v>1</v>
      </c>
      <c r="J4001" s="1">
        <v>1</v>
      </c>
    </row>
    <row r="4002" spans="1:61" x14ac:dyDescent="0.3">
      <c r="A4002" s="1" t="s">
        <v>57</v>
      </c>
      <c r="B4002" s="7">
        <v>40764</v>
      </c>
      <c r="C4002" s="1">
        <v>11.5</v>
      </c>
      <c r="D4002" s="1">
        <v>118</v>
      </c>
      <c r="E4002" s="1">
        <v>1</v>
      </c>
      <c r="F4002" s="1">
        <v>80</v>
      </c>
      <c r="J4002" s="1">
        <v>1</v>
      </c>
      <c r="R4002" s="3">
        <v>0</v>
      </c>
      <c r="S4002" s="3">
        <v>1</v>
      </c>
    </row>
    <row r="4003" spans="1:61" x14ac:dyDescent="0.3">
      <c r="A4003" s="1" t="s">
        <v>57</v>
      </c>
      <c r="B4003" s="7">
        <v>40764</v>
      </c>
      <c r="C4003" s="1">
        <v>11.5</v>
      </c>
      <c r="D4003" s="1">
        <v>118</v>
      </c>
      <c r="E4003" s="1">
        <v>1</v>
      </c>
      <c r="F4003" s="1">
        <v>81</v>
      </c>
      <c r="J4003" s="1">
        <v>1</v>
      </c>
    </row>
    <row r="4004" spans="1:61" x14ac:dyDescent="0.3">
      <c r="A4004" s="1" t="s">
        <v>57</v>
      </c>
      <c r="B4004" s="7">
        <v>40764</v>
      </c>
      <c r="C4004" s="1">
        <v>11.5</v>
      </c>
      <c r="D4004" s="1">
        <v>118</v>
      </c>
      <c r="E4004" s="1">
        <v>1</v>
      </c>
      <c r="F4004" s="1">
        <v>82</v>
      </c>
      <c r="J4004" s="1">
        <v>1</v>
      </c>
      <c r="L4004" s="1">
        <v>1</v>
      </c>
    </row>
    <row r="4005" spans="1:61" x14ac:dyDescent="0.3">
      <c r="A4005" s="1" t="s">
        <v>57</v>
      </c>
      <c r="B4005" s="7">
        <v>40764</v>
      </c>
      <c r="C4005" s="1">
        <v>11.5</v>
      </c>
      <c r="D4005" s="1">
        <v>118</v>
      </c>
      <c r="E4005" s="1">
        <v>1</v>
      </c>
      <c r="F4005" s="1">
        <v>83</v>
      </c>
      <c r="J4005" s="1">
        <v>1</v>
      </c>
      <c r="L4005" s="1">
        <v>1</v>
      </c>
    </row>
    <row r="4006" spans="1:61" x14ac:dyDescent="0.3">
      <c r="A4006" s="1" t="s">
        <v>57</v>
      </c>
      <c r="B4006" s="7">
        <v>40764</v>
      </c>
      <c r="C4006" s="1">
        <v>11.5</v>
      </c>
      <c r="D4006" s="1">
        <v>118</v>
      </c>
      <c r="E4006" s="1">
        <v>1</v>
      </c>
      <c r="F4006" s="1">
        <v>84</v>
      </c>
      <c r="I4006" s="1">
        <v>1</v>
      </c>
      <c r="J4006" s="1">
        <v>1</v>
      </c>
    </row>
    <row r="4007" spans="1:61" x14ac:dyDescent="0.3">
      <c r="A4007" s="1" t="s">
        <v>57</v>
      </c>
      <c r="B4007" s="7">
        <v>40764</v>
      </c>
      <c r="C4007" s="1">
        <v>11.5</v>
      </c>
      <c r="D4007" s="1">
        <v>118</v>
      </c>
      <c r="E4007" s="1">
        <v>1</v>
      </c>
      <c r="F4007" s="1">
        <v>85</v>
      </c>
      <c r="H4007" s="1">
        <v>1</v>
      </c>
      <c r="I4007" s="1">
        <v>1</v>
      </c>
    </row>
    <row r="4008" spans="1:61" x14ac:dyDescent="0.3">
      <c r="A4008" s="1" t="s">
        <v>57</v>
      </c>
      <c r="B4008" s="7">
        <v>40764</v>
      </c>
      <c r="C4008" s="1">
        <v>11.5</v>
      </c>
      <c r="D4008" s="1">
        <v>118</v>
      </c>
      <c r="E4008" s="1">
        <v>1</v>
      </c>
      <c r="F4008" s="1">
        <v>86</v>
      </c>
      <c r="I4008" s="1">
        <v>1</v>
      </c>
    </row>
    <row r="4009" spans="1:61" x14ac:dyDescent="0.3">
      <c r="A4009" s="1" t="s">
        <v>57</v>
      </c>
      <c r="B4009" s="7">
        <v>40764</v>
      </c>
      <c r="C4009" s="1">
        <v>11.5</v>
      </c>
      <c r="D4009" s="1">
        <v>118</v>
      </c>
      <c r="E4009" s="1">
        <v>1</v>
      </c>
      <c r="F4009" s="1">
        <v>87</v>
      </c>
      <c r="BI4009" s="1">
        <v>1</v>
      </c>
    </row>
    <row r="4010" spans="1:61" x14ac:dyDescent="0.3">
      <c r="A4010" s="1" t="s">
        <v>57</v>
      </c>
      <c r="B4010" s="7">
        <v>40764</v>
      </c>
      <c r="C4010" s="1">
        <v>11.5</v>
      </c>
      <c r="D4010" s="1">
        <v>118</v>
      </c>
      <c r="E4010" s="1">
        <v>1</v>
      </c>
      <c r="F4010" s="1">
        <v>88</v>
      </c>
      <c r="I4010" s="1">
        <v>1</v>
      </c>
      <c r="L4010" s="1">
        <v>1</v>
      </c>
    </row>
    <row r="4011" spans="1:61" x14ac:dyDescent="0.3">
      <c r="A4011" s="1" t="s">
        <v>57</v>
      </c>
      <c r="B4011" s="7">
        <v>40764</v>
      </c>
      <c r="C4011" s="1">
        <v>11.5</v>
      </c>
      <c r="D4011" s="1">
        <v>118</v>
      </c>
      <c r="E4011" s="1">
        <v>1</v>
      </c>
      <c r="F4011" s="1">
        <v>89</v>
      </c>
      <c r="J4011" s="1">
        <v>1</v>
      </c>
      <c r="L4011" s="1">
        <v>1</v>
      </c>
    </row>
    <row r="4012" spans="1:61" x14ac:dyDescent="0.3">
      <c r="A4012" s="1" t="s">
        <v>57</v>
      </c>
      <c r="B4012" s="7">
        <v>40764</v>
      </c>
      <c r="C4012" s="1">
        <v>11.5</v>
      </c>
      <c r="D4012" s="1">
        <v>118</v>
      </c>
      <c r="E4012" s="1">
        <v>1</v>
      </c>
      <c r="F4012" s="1">
        <v>90</v>
      </c>
      <c r="I4012" s="1">
        <v>1</v>
      </c>
      <c r="R4012" s="1">
        <v>1</v>
      </c>
    </row>
    <row r="4013" spans="1:61" x14ac:dyDescent="0.3">
      <c r="A4013" s="1" t="s">
        <v>57</v>
      </c>
      <c r="B4013" s="7">
        <v>40764</v>
      </c>
      <c r="C4013" s="1">
        <v>11.5</v>
      </c>
      <c r="D4013" s="1">
        <v>118</v>
      </c>
      <c r="E4013" s="1">
        <v>1</v>
      </c>
      <c r="F4013" s="1">
        <v>91</v>
      </c>
      <c r="I4013" s="1">
        <v>1</v>
      </c>
      <c r="J4013" s="1">
        <v>1</v>
      </c>
    </row>
    <row r="4014" spans="1:61" x14ac:dyDescent="0.3">
      <c r="A4014" s="1" t="s">
        <v>57</v>
      </c>
      <c r="B4014" s="7">
        <v>40764</v>
      </c>
      <c r="C4014" s="1">
        <v>11.5</v>
      </c>
      <c r="D4014" s="1">
        <v>118</v>
      </c>
      <c r="E4014" s="1">
        <v>1</v>
      </c>
      <c r="F4014" s="1">
        <v>92</v>
      </c>
      <c r="H4014" s="1">
        <v>1</v>
      </c>
      <c r="J4014" s="1">
        <v>1</v>
      </c>
    </row>
    <row r="4015" spans="1:61" x14ac:dyDescent="0.3">
      <c r="A4015" s="1" t="s">
        <v>57</v>
      </c>
      <c r="B4015" s="7">
        <v>40764</v>
      </c>
      <c r="C4015" s="1">
        <v>11.5</v>
      </c>
      <c r="D4015" s="1">
        <v>118</v>
      </c>
      <c r="E4015" s="1">
        <v>1</v>
      </c>
      <c r="F4015" s="1">
        <v>93</v>
      </c>
      <c r="I4015" s="1">
        <v>1</v>
      </c>
      <c r="J4015" s="1">
        <v>1</v>
      </c>
    </row>
    <row r="4016" spans="1:61" x14ac:dyDescent="0.3">
      <c r="A4016" s="1" t="s">
        <v>57</v>
      </c>
      <c r="B4016" s="7">
        <v>40764</v>
      </c>
      <c r="C4016" s="1">
        <v>11.5</v>
      </c>
      <c r="D4016" s="1">
        <v>118</v>
      </c>
      <c r="E4016" s="1">
        <v>1</v>
      </c>
      <c r="F4016" s="1">
        <v>94</v>
      </c>
      <c r="I4016" s="1">
        <v>1</v>
      </c>
      <c r="J4016" s="1">
        <v>1</v>
      </c>
    </row>
    <row r="4017" spans="1:84" x14ac:dyDescent="0.3">
      <c r="A4017" s="1" t="s">
        <v>57</v>
      </c>
      <c r="B4017" s="7">
        <v>40764</v>
      </c>
      <c r="C4017" s="1">
        <v>11.5</v>
      </c>
      <c r="D4017" s="1">
        <v>118</v>
      </c>
      <c r="E4017" s="1">
        <v>1</v>
      </c>
      <c r="F4017" s="1">
        <v>95</v>
      </c>
      <c r="J4017" s="1">
        <v>1</v>
      </c>
    </row>
    <row r="4018" spans="1:84" x14ac:dyDescent="0.3">
      <c r="A4018" s="1" t="s">
        <v>57</v>
      </c>
      <c r="B4018" s="7">
        <v>40764</v>
      </c>
      <c r="C4018" s="1">
        <v>11.5</v>
      </c>
      <c r="D4018" s="1">
        <v>118</v>
      </c>
      <c r="E4018" s="1">
        <v>1</v>
      </c>
      <c r="F4018" s="1">
        <v>96</v>
      </c>
      <c r="L4018" s="1">
        <v>1</v>
      </c>
    </row>
    <row r="4019" spans="1:84" x14ac:dyDescent="0.3">
      <c r="A4019" s="1" t="s">
        <v>57</v>
      </c>
      <c r="B4019" s="7">
        <v>40764</v>
      </c>
      <c r="C4019" s="1">
        <v>11.5</v>
      </c>
      <c r="D4019" s="1">
        <v>118</v>
      </c>
      <c r="E4019" s="1">
        <v>1</v>
      </c>
      <c r="F4019" s="1">
        <v>97</v>
      </c>
      <c r="J4019" s="1">
        <v>1</v>
      </c>
      <c r="L4019" s="1">
        <v>1</v>
      </c>
    </row>
    <row r="4020" spans="1:84" x14ac:dyDescent="0.3">
      <c r="A4020" s="1" t="s">
        <v>57</v>
      </c>
      <c r="B4020" s="7">
        <v>40764</v>
      </c>
      <c r="C4020" s="1">
        <v>11.5</v>
      </c>
      <c r="D4020" s="1">
        <v>118</v>
      </c>
      <c r="E4020" s="1">
        <v>1</v>
      </c>
      <c r="F4020" s="1">
        <v>98</v>
      </c>
      <c r="R4020" s="3">
        <v>0</v>
      </c>
      <c r="S4020" s="3">
        <v>1</v>
      </c>
    </row>
    <row r="4021" spans="1:84" x14ac:dyDescent="0.3">
      <c r="A4021" s="1" t="s">
        <v>57</v>
      </c>
      <c r="B4021" s="7">
        <v>40764</v>
      </c>
      <c r="C4021" s="1">
        <v>11.5</v>
      </c>
      <c r="D4021" s="1">
        <v>118</v>
      </c>
      <c r="E4021" s="1">
        <v>1</v>
      </c>
      <c r="F4021" s="1">
        <v>99</v>
      </c>
      <c r="I4021" s="1">
        <v>1</v>
      </c>
      <c r="BG4021" s="1">
        <v>1</v>
      </c>
    </row>
    <row r="4022" spans="1:84" x14ac:dyDescent="0.3">
      <c r="A4022" s="1" t="s">
        <v>57</v>
      </c>
      <c r="B4022" s="7">
        <v>40764</v>
      </c>
      <c r="C4022" s="1">
        <v>11.5</v>
      </c>
      <c r="D4022" s="1">
        <v>118</v>
      </c>
      <c r="E4022" s="1">
        <v>1</v>
      </c>
      <c r="F4022" s="1">
        <v>100</v>
      </c>
      <c r="I4022" s="1">
        <v>1</v>
      </c>
      <c r="R4022" s="1">
        <v>1</v>
      </c>
    </row>
    <row r="4023" spans="1:84" x14ac:dyDescent="0.3">
      <c r="A4023" s="1" t="s">
        <v>57</v>
      </c>
      <c r="B4023" s="7">
        <v>40764</v>
      </c>
      <c r="C4023" s="1">
        <v>15</v>
      </c>
      <c r="D4023" s="1">
        <v>319</v>
      </c>
      <c r="E4023" s="1">
        <v>2</v>
      </c>
      <c r="F4023" s="1">
        <v>1</v>
      </c>
      <c r="R4023" s="3">
        <v>0</v>
      </c>
      <c r="S4023" s="3">
        <v>1</v>
      </c>
      <c r="AA4023" s="1">
        <v>1</v>
      </c>
    </row>
    <row r="4024" spans="1:84" x14ac:dyDescent="0.3">
      <c r="A4024" s="1" t="s">
        <v>57</v>
      </c>
      <c r="B4024" s="7">
        <v>40764</v>
      </c>
      <c r="C4024" s="1">
        <v>15</v>
      </c>
      <c r="D4024" s="1">
        <v>319</v>
      </c>
      <c r="E4024" s="1">
        <v>2</v>
      </c>
      <c r="F4024" s="1">
        <v>2</v>
      </c>
      <c r="AA4024" s="1">
        <v>1</v>
      </c>
    </row>
    <row r="4025" spans="1:84" x14ac:dyDescent="0.3">
      <c r="A4025" s="1" t="s">
        <v>57</v>
      </c>
      <c r="B4025" s="7">
        <v>40764</v>
      </c>
      <c r="C4025" s="1">
        <v>15</v>
      </c>
      <c r="D4025" s="1">
        <v>319</v>
      </c>
      <c r="E4025" s="1">
        <v>2</v>
      </c>
      <c r="F4025" s="1">
        <v>3</v>
      </c>
      <c r="R4025" s="3">
        <v>0</v>
      </c>
      <c r="S4025" s="3">
        <v>1</v>
      </c>
      <c r="AF4025" s="1">
        <v>1</v>
      </c>
    </row>
    <row r="4026" spans="1:84" x14ac:dyDescent="0.3">
      <c r="A4026" s="1" t="s">
        <v>57</v>
      </c>
      <c r="B4026" s="7">
        <v>40764</v>
      </c>
      <c r="C4026" s="1">
        <v>15</v>
      </c>
      <c r="D4026" s="1">
        <v>319</v>
      </c>
      <c r="E4026" s="1">
        <v>2</v>
      </c>
      <c r="F4026" s="1">
        <v>4</v>
      </c>
      <c r="H4026" s="1">
        <v>1</v>
      </c>
    </row>
    <row r="4027" spans="1:84" x14ac:dyDescent="0.3">
      <c r="A4027" s="1" t="s">
        <v>57</v>
      </c>
      <c r="B4027" s="7">
        <v>40764</v>
      </c>
      <c r="C4027" s="1">
        <v>15</v>
      </c>
      <c r="D4027" s="1">
        <v>319</v>
      </c>
      <c r="E4027" s="1">
        <v>2</v>
      </c>
      <c r="F4027" s="1">
        <v>5</v>
      </c>
      <c r="R4027" s="1">
        <v>1</v>
      </c>
      <c r="AA4027" s="1">
        <v>1</v>
      </c>
      <c r="AF4027" s="1">
        <v>1</v>
      </c>
    </row>
    <row r="4028" spans="1:84" x14ac:dyDescent="0.3">
      <c r="A4028" s="1" t="s">
        <v>57</v>
      </c>
      <c r="B4028" s="7">
        <v>40764</v>
      </c>
      <c r="C4028" s="1">
        <v>15</v>
      </c>
      <c r="D4028" s="1">
        <v>319</v>
      </c>
      <c r="E4028" s="1">
        <v>2</v>
      </c>
      <c r="F4028" s="1">
        <v>6</v>
      </c>
      <c r="H4028" s="1">
        <v>1</v>
      </c>
      <c r="R4028" s="1">
        <v>1</v>
      </c>
      <c r="CF4028" s="1">
        <v>1</v>
      </c>
    </row>
    <row r="4029" spans="1:84" x14ac:dyDescent="0.3">
      <c r="A4029" s="1" t="s">
        <v>57</v>
      </c>
      <c r="B4029" s="7">
        <v>40764</v>
      </c>
      <c r="C4029" s="1">
        <v>15</v>
      </c>
      <c r="D4029" s="1">
        <v>319</v>
      </c>
      <c r="E4029" s="1">
        <v>2</v>
      </c>
      <c r="F4029" s="1">
        <v>7</v>
      </c>
      <c r="R4029" s="1">
        <v>1</v>
      </c>
      <c r="AA4029" s="1">
        <v>1</v>
      </c>
      <c r="BW4029" s="9">
        <v>0</v>
      </c>
      <c r="BX4029" s="9">
        <v>1</v>
      </c>
    </row>
    <row r="4030" spans="1:84" x14ac:dyDescent="0.3">
      <c r="A4030" s="1" t="s">
        <v>57</v>
      </c>
      <c r="B4030" s="7">
        <v>40764</v>
      </c>
      <c r="C4030" s="1">
        <v>15</v>
      </c>
      <c r="D4030" s="1">
        <v>319</v>
      </c>
      <c r="E4030" s="1">
        <v>2</v>
      </c>
      <c r="F4030" s="1">
        <v>8</v>
      </c>
      <c r="AA4030" s="1">
        <v>1</v>
      </c>
    </row>
    <row r="4031" spans="1:84" x14ac:dyDescent="0.3">
      <c r="A4031" s="1" t="s">
        <v>57</v>
      </c>
      <c r="B4031" s="7">
        <v>40764</v>
      </c>
      <c r="C4031" s="1">
        <v>15</v>
      </c>
      <c r="D4031" s="1">
        <v>319</v>
      </c>
      <c r="E4031" s="1">
        <v>2</v>
      </c>
      <c r="F4031" s="1">
        <v>9</v>
      </c>
      <c r="N4031" s="1">
        <v>1</v>
      </c>
      <c r="R4031" s="1">
        <v>1</v>
      </c>
      <c r="AA4031" s="1">
        <v>1</v>
      </c>
    </row>
    <row r="4032" spans="1:84" x14ac:dyDescent="0.3">
      <c r="A4032" s="1" t="s">
        <v>57</v>
      </c>
      <c r="B4032" s="7">
        <v>40764</v>
      </c>
      <c r="C4032" s="1">
        <v>15</v>
      </c>
      <c r="D4032" s="1">
        <v>319</v>
      </c>
      <c r="E4032" s="1">
        <v>2</v>
      </c>
      <c r="F4032" s="1">
        <v>10</v>
      </c>
      <c r="H4032" s="1">
        <v>1</v>
      </c>
      <c r="R4032" s="1">
        <v>1</v>
      </c>
    </row>
    <row r="4033" spans="1:84" x14ac:dyDescent="0.3">
      <c r="A4033" s="1" t="s">
        <v>57</v>
      </c>
      <c r="B4033" s="7">
        <v>40764</v>
      </c>
      <c r="C4033" s="1">
        <v>15</v>
      </c>
      <c r="D4033" s="1">
        <v>319</v>
      </c>
      <c r="E4033" s="1">
        <v>2</v>
      </c>
      <c r="F4033" s="1">
        <v>11</v>
      </c>
      <c r="R4033" s="3">
        <v>0</v>
      </c>
      <c r="S4033" s="3">
        <v>1</v>
      </c>
      <c r="AA4033" s="1">
        <v>1</v>
      </c>
    </row>
    <row r="4034" spans="1:84" x14ac:dyDescent="0.3">
      <c r="A4034" s="1" t="s">
        <v>57</v>
      </c>
      <c r="B4034" s="7">
        <v>40764</v>
      </c>
      <c r="C4034" s="1">
        <v>15</v>
      </c>
      <c r="D4034" s="1">
        <v>319</v>
      </c>
      <c r="E4034" s="1">
        <v>2</v>
      </c>
      <c r="F4034" s="1">
        <v>12</v>
      </c>
      <c r="R4034" s="1">
        <v>1</v>
      </c>
      <c r="AA4034" s="1">
        <v>1</v>
      </c>
    </row>
    <row r="4035" spans="1:84" x14ac:dyDescent="0.3">
      <c r="A4035" s="1" t="s">
        <v>57</v>
      </c>
      <c r="B4035" s="7">
        <v>40764</v>
      </c>
      <c r="C4035" s="1">
        <v>15</v>
      </c>
      <c r="D4035" s="1">
        <v>319</v>
      </c>
      <c r="E4035" s="1">
        <v>2</v>
      </c>
      <c r="F4035" s="1">
        <v>13</v>
      </c>
      <c r="AA4035" s="1">
        <v>1</v>
      </c>
    </row>
    <row r="4036" spans="1:84" x14ac:dyDescent="0.3">
      <c r="A4036" s="1" t="s">
        <v>57</v>
      </c>
      <c r="B4036" s="7">
        <v>40764</v>
      </c>
      <c r="C4036" s="1">
        <v>15</v>
      </c>
      <c r="D4036" s="1">
        <v>319</v>
      </c>
      <c r="E4036" s="1">
        <v>2</v>
      </c>
      <c r="F4036" s="1">
        <v>14</v>
      </c>
      <c r="H4036" s="1">
        <v>1</v>
      </c>
      <c r="R4036" s="1">
        <v>1</v>
      </c>
    </row>
    <row r="4037" spans="1:84" x14ac:dyDescent="0.3">
      <c r="A4037" s="1" t="s">
        <v>57</v>
      </c>
      <c r="B4037" s="7">
        <v>40764</v>
      </c>
      <c r="C4037" s="1">
        <v>15</v>
      </c>
      <c r="D4037" s="1">
        <v>319</v>
      </c>
      <c r="E4037" s="1">
        <v>2</v>
      </c>
      <c r="F4037" s="1">
        <v>15</v>
      </c>
      <c r="H4037" s="1">
        <v>1</v>
      </c>
      <c r="R4037" s="1">
        <v>1</v>
      </c>
      <c r="AA4037" s="1">
        <v>1</v>
      </c>
    </row>
    <row r="4038" spans="1:84" x14ac:dyDescent="0.3">
      <c r="A4038" s="1" t="s">
        <v>57</v>
      </c>
      <c r="B4038" s="7">
        <v>40764</v>
      </c>
      <c r="C4038" s="1">
        <v>15</v>
      </c>
      <c r="D4038" s="1">
        <v>319</v>
      </c>
      <c r="E4038" s="1">
        <v>2</v>
      </c>
      <c r="F4038" s="1">
        <v>16</v>
      </c>
      <c r="H4038" s="1">
        <v>1</v>
      </c>
    </row>
    <row r="4039" spans="1:84" x14ac:dyDescent="0.3">
      <c r="A4039" s="1" t="s">
        <v>57</v>
      </c>
      <c r="B4039" s="7">
        <v>40764</v>
      </c>
      <c r="C4039" s="1">
        <v>15</v>
      </c>
      <c r="D4039" s="1">
        <v>319</v>
      </c>
      <c r="E4039" s="1">
        <v>2</v>
      </c>
      <c r="F4039" s="1">
        <v>17</v>
      </c>
      <c r="H4039" s="1">
        <v>1</v>
      </c>
      <c r="BI4039" s="1">
        <v>1</v>
      </c>
    </row>
    <row r="4040" spans="1:84" x14ac:dyDescent="0.3">
      <c r="A4040" s="1" t="s">
        <v>57</v>
      </c>
      <c r="B4040" s="7">
        <v>40764</v>
      </c>
      <c r="C4040" s="1">
        <v>15</v>
      </c>
      <c r="D4040" s="1">
        <v>319</v>
      </c>
      <c r="E4040" s="1">
        <v>2</v>
      </c>
      <c r="F4040" s="1">
        <v>18</v>
      </c>
      <c r="R4040" s="3">
        <v>0</v>
      </c>
      <c r="S4040" s="3">
        <v>1</v>
      </c>
      <c r="CF4040" s="1">
        <v>1</v>
      </c>
    </row>
    <row r="4041" spans="1:84" x14ac:dyDescent="0.3">
      <c r="A4041" s="1" t="s">
        <v>57</v>
      </c>
      <c r="B4041" s="7">
        <v>40764</v>
      </c>
      <c r="C4041" s="1">
        <v>15</v>
      </c>
      <c r="D4041" s="1">
        <v>319</v>
      </c>
      <c r="E4041" s="1">
        <v>2</v>
      </c>
      <c r="F4041" s="1">
        <v>19</v>
      </c>
      <c r="R4041" s="3">
        <v>0</v>
      </c>
      <c r="S4041" s="3">
        <v>1</v>
      </c>
      <c r="CF4041" s="1">
        <v>1</v>
      </c>
    </row>
    <row r="4042" spans="1:84" x14ac:dyDescent="0.3">
      <c r="A4042" s="1" t="s">
        <v>57</v>
      </c>
      <c r="B4042" s="7">
        <v>40764</v>
      </c>
      <c r="C4042" s="1">
        <v>15</v>
      </c>
      <c r="D4042" s="1">
        <v>319</v>
      </c>
      <c r="E4042" s="1">
        <v>2</v>
      </c>
      <c r="F4042" s="1">
        <v>20</v>
      </c>
      <c r="R4042" s="3">
        <v>0</v>
      </c>
      <c r="S4042" s="3">
        <v>1</v>
      </c>
      <c r="CF4042" s="1">
        <v>1</v>
      </c>
    </row>
    <row r="4043" spans="1:84" x14ac:dyDescent="0.3">
      <c r="A4043" s="1" t="s">
        <v>57</v>
      </c>
      <c r="B4043" s="7">
        <v>40764</v>
      </c>
      <c r="C4043" s="1">
        <v>15</v>
      </c>
      <c r="D4043" s="1">
        <v>319</v>
      </c>
      <c r="E4043" s="1">
        <v>2</v>
      </c>
      <c r="F4043" s="1">
        <v>21</v>
      </c>
      <c r="R4043" s="3">
        <v>0</v>
      </c>
      <c r="S4043" s="3">
        <v>1</v>
      </c>
      <c r="AA4043" s="1">
        <v>1</v>
      </c>
    </row>
    <row r="4044" spans="1:84" x14ac:dyDescent="0.3">
      <c r="A4044" s="1" t="s">
        <v>57</v>
      </c>
      <c r="B4044" s="7">
        <v>40764</v>
      </c>
      <c r="C4044" s="1">
        <v>15</v>
      </c>
      <c r="D4044" s="1">
        <v>319</v>
      </c>
      <c r="E4044" s="1">
        <v>2</v>
      </c>
      <c r="F4044" s="1">
        <v>22</v>
      </c>
      <c r="R4044" s="1">
        <v>1</v>
      </c>
    </row>
    <row r="4045" spans="1:84" x14ac:dyDescent="0.3">
      <c r="A4045" s="1" t="s">
        <v>57</v>
      </c>
      <c r="B4045" s="7">
        <v>40764</v>
      </c>
      <c r="C4045" s="1">
        <v>15</v>
      </c>
      <c r="D4045" s="1">
        <v>319</v>
      </c>
      <c r="E4045" s="1">
        <v>2</v>
      </c>
      <c r="F4045" s="1">
        <v>23</v>
      </c>
      <c r="H4045" s="1">
        <v>1</v>
      </c>
    </row>
    <row r="4046" spans="1:84" x14ac:dyDescent="0.3">
      <c r="A4046" s="1" t="s">
        <v>57</v>
      </c>
      <c r="B4046" s="7">
        <v>40764</v>
      </c>
      <c r="C4046" s="1">
        <v>15</v>
      </c>
      <c r="D4046" s="1">
        <v>319</v>
      </c>
      <c r="E4046" s="1">
        <v>2</v>
      </c>
      <c r="F4046" s="1">
        <v>24</v>
      </c>
      <c r="H4046" s="1">
        <v>1</v>
      </c>
      <c r="AA4046" s="1">
        <v>1</v>
      </c>
    </row>
    <row r="4047" spans="1:84" x14ac:dyDescent="0.3">
      <c r="A4047" s="1" t="s">
        <v>57</v>
      </c>
      <c r="B4047" s="7">
        <v>40764</v>
      </c>
      <c r="C4047" s="1">
        <v>15</v>
      </c>
      <c r="D4047" s="1">
        <v>319</v>
      </c>
      <c r="E4047" s="1">
        <v>2</v>
      </c>
      <c r="F4047" s="1">
        <v>25</v>
      </c>
      <c r="H4047" s="1">
        <v>1</v>
      </c>
    </row>
    <row r="4048" spans="1:84" x14ac:dyDescent="0.3">
      <c r="A4048" s="1" t="s">
        <v>57</v>
      </c>
      <c r="B4048" s="7">
        <v>40764</v>
      </c>
      <c r="C4048" s="1">
        <v>15</v>
      </c>
      <c r="D4048" s="1">
        <v>319</v>
      </c>
      <c r="E4048" s="1">
        <v>2</v>
      </c>
      <c r="F4048" s="1">
        <v>26</v>
      </c>
      <c r="H4048" s="1">
        <v>1</v>
      </c>
      <c r="AA4048" s="1">
        <v>1</v>
      </c>
    </row>
    <row r="4049" spans="1:84" x14ac:dyDescent="0.3">
      <c r="A4049" s="1" t="s">
        <v>57</v>
      </c>
      <c r="B4049" s="7">
        <v>40764</v>
      </c>
      <c r="C4049" s="1">
        <v>15</v>
      </c>
      <c r="D4049" s="1">
        <v>319</v>
      </c>
      <c r="E4049" s="1">
        <v>2</v>
      </c>
      <c r="F4049" s="1">
        <v>27</v>
      </c>
      <c r="R4049" s="3">
        <v>0</v>
      </c>
      <c r="S4049" s="3">
        <v>1</v>
      </c>
      <c r="AA4049" s="1">
        <v>1</v>
      </c>
    </row>
    <row r="4050" spans="1:84" x14ac:dyDescent="0.3">
      <c r="A4050" s="1" t="s">
        <v>57</v>
      </c>
      <c r="B4050" s="7">
        <v>40764</v>
      </c>
      <c r="C4050" s="1">
        <v>15</v>
      </c>
      <c r="D4050" s="1">
        <v>319</v>
      </c>
      <c r="E4050" s="1">
        <v>2</v>
      </c>
      <c r="F4050" s="1">
        <v>28</v>
      </c>
      <c r="R4050" s="3">
        <v>0</v>
      </c>
      <c r="S4050" s="3">
        <v>1</v>
      </c>
    </row>
    <row r="4051" spans="1:84" x14ac:dyDescent="0.3">
      <c r="A4051" s="1" t="s">
        <v>57</v>
      </c>
      <c r="B4051" s="7">
        <v>40764</v>
      </c>
      <c r="C4051" s="1">
        <v>15</v>
      </c>
      <c r="D4051" s="1">
        <v>319</v>
      </c>
      <c r="E4051" s="1">
        <v>2</v>
      </c>
      <c r="F4051" s="1">
        <v>29</v>
      </c>
      <c r="R4051" s="1">
        <v>1</v>
      </c>
    </row>
    <row r="4052" spans="1:84" x14ac:dyDescent="0.3">
      <c r="A4052" s="1" t="s">
        <v>57</v>
      </c>
      <c r="B4052" s="7">
        <v>40764</v>
      </c>
      <c r="C4052" s="1">
        <v>15</v>
      </c>
      <c r="D4052" s="1">
        <v>319</v>
      </c>
      <c r="E4052" s="1">
        <v>2</v>
      </c>
      <c r="F4052" s="1">
        <v>30</v>
      </c>
      <c r="H4052" s="1">
        <v>1</v>
      </c>
      <c r="R4052" s="1">
        <v>1</v>
      </c>
    </row>
    <row r="4053" spans="1:84" x14ac:dyDescent="0.3">
      <c r="A4053" s="1" t="s">
        <v>57</v>
      </c>
      <c r="B4053" s="7">
        <v>40764</v>
      </c>
      <c r="C4053" s="1">
        <v>15</v>
      </c>
      <c r="D4053" s="1">
        <v>319</v>
      </c>
      <c r="E4053" s="1">
        <v>2</v>
      </c>
      <c r="F4053" s="1">
        <v>31</v>
      </c>
      <c r="AA4053" s="1">
        <v>1</v>
      </c>
    </row>
    <row r="4054" spans="1:84" x14ac:dyDescent="0.3">
      <c r="A4054" s="1" t="s">
        <v>57</v>
      </c>
      <c r="B4054" s="7">
        <v>40764</v>
      </c>
      <c r="C4054" s="1">
        <v>15</v>
      </c>
      <c r="D4054" s="1">
        <v>319</v>
      </c>
      <c r="E4054" s="1">
        <v>2</v>
      </c>
      <c r="F4054" s="1">
        <v>32</v>
      </c>
      <c r="H4054" s="1">
        <v>1</v>
      </c>
      <c r="R4054" s="3">
        <v>0</v>
      </c>
      <c r="S4054" s="3">
        <v>1</v>
      </c>
    </row>
    <row r="4055" spans="1:84" x14ac:dyDescent="0.3">
      <c r="A4055" s="1" t="s">
        <v>57</v>
      </c>
      <c r="B4055" s="7">
        <v>40764</v>
      </c>
      <c r="C4055" s="1">
        <v>15</v>
      </c>
      <c r="D4055" s="1">
        <v>319</v>
      </c>
      <c r="E4055" s="1">
        <v>2</v>
      </c>
      <c r="F4055" s="1">
        <v>33</v>
      </c>
      <c r="H4055" s="1">
        <v>1</v>
      </c>
    </row>
    <row r="4056" spans="1:84" x14ac:dyDescent="0.3">
      <c r="A4056" s="1" t="s">
        <v>57</v>
      </c>
      <c r="B4056" s="7">
        <v>40764</v>
      </c>
      <c r="C4056" s="1">
        <v>15</v>
      </c>
      <c r="D4056" s="1">
        <v>319</v>
      </c>
      <c r="E4056" s="1">
        <v>2</v>
      </c>
      <c r="F4056" s="1">
        <v>34</v>
      </c>
      <c r="H4056" s="1">
        <v>1</v>
      </c>
      <c r="CF4056" s="1">
        <v>1</v>
      </c>
    </row>
    <row r="4057" spans="1:84" x14ac:dyDescent="0.3">
      <c r="A4057" s="1" t="s">
        <v>57</v>
      </c>
      <c r="B4057" s="7">
        <v>40764</v>
      </c>
      <c r="C4057" s="1">
        <v>15</v>
      </c>
      <c r="D4057" s="1">
        <v>319</v>
      </c>
      <c r="E4057" s="1">
        <v>2</v>
      </c>
      <c r="F4057" s="1">
        <v>35</v>
      </c>
      <c r="R4057" s="3">
        <v>0</v>
      </c>
      <c r="S4057" s="3">
        <v>1</v>
      </c>
      <c r="CF4057" s="1">
        <v>1</v>
      </c>
    </row>
    <row r="4058" spans="1:84" x14ac:dyDescent="0.3">
      <c r="A4058" s="1" t="s">
        <v>57</v>
      </c>
      <c r="B4058" s="7">
        <v>40764</v>
      </c>
      <c r="C4058" s="1">
        <v>15</v>
      </c>
      <c r="D4058" s="1">
        <v>319</v>
      </c>
      <c r="E4058" s="1">
        <v>2</v>
      </c>
      <c r="F4058" s="1">
        <v>36</v>
      </c>
      <c r="R4058" s="1">
        <v>1</v>
      </c>
      <c r="AA4058" s="1">
        <v>1</v>
      </c>
    </row>
    <row r="4059" spans="1:84" x14ac:dyDescent="0.3">
      <c r="A4059" s="1" t="s">
        <v>57</v>
      </c>
      <c r="B4059" s="7">
        <v>40764</v>
      </c>
      <c r="C4059" s="1">
        <v>15</v>
      </c>
      <c r="D4059" s="1">
        <v>319</v>
      </c>
      <c r="E4059" s="1">
        <v>2</v>
      </c>
      <c r="F4059" s="1">
        <v>37</v>
      </c>
      <c r="H4059" s="1">
        <v>1</v>
      </c>
      <c r="R4059" s="1">
        <v>1</v>
      </c>
    </row>
    <row r="4060" spans="1:84" x14ac:dyDescent="0.3">
      <c r="A4060" s="1" t="s">
        <v>57</v>
      </c>
      <c r="B4060" s="7">
        <v>40764</v>
      </c>
      <c r="C4060" s="1">
        <v>15</v>
      </c>
      <c r="D4060" s="1">
        <v>319</v>
      </c>
      <c r="E4060" s="1">
        <v>2</v>
      </c>
      <c r="F4060" s="1">
        <v>38</v>
      </c>
      <c r="H4060" s="1">
        <v>1</v>
      </c>
      <c r="CF4060" s="1">
        <v>1</v>
      </c>
    </row>
    <row r="4061" spans="1:84" x14ac:dyDescent="0.3">
      <c r="A4061" s="1" t="s">
        <v>57</v>
      </c>
      <c r="B4061" s="7">
        <v>40764</v>
      </c>
      <c r="C4061" s="1">
        <v>15</v>
      </c>
      <c r="D4061" s="1">
        <v>319</v>
      </c>
      <c r="E4061" s="1">
        <v>2</v>
      </c>
      <c r="F4061" s="1">
        <v>39</v>
      </c>
      <c r="R4061" s="1">
        <v>1</v>
      </c>
      <c r="BW4061" s="1">
        <v>1</v>
      </c>
    </row>
    <row r="4062" spans="1:84" x14ac:dyDescent="0.3">
      <c r="A4062" s="1" t="s">
        <v>57</v>
      </c>
      <c r="B4062" s="7">
        <v>40764</v>
      </c>
      <c r="C4062" s="1">
        <v>15</v>
      </c>
      <c r="D4062" s="1">
        <v>319</v>
      </c>
      <c r="E4062" s="1">
        <v>2</v>
      </c>
      <c r="F4062" s="1">
        <v>40</v>
      </c>
      <c r="H4062" s="1">
        <v>1</v>
      </c>
      <c r="R4062" s="1">
        <v>1</v>
      </c>
      <c r="AA4062" s="1">
        <v>1</v>
      </c>
    </row>
    <row r="4063" spans="1:84" x14ac:dyDescent="0.3">
      <c r="A4063" s="1" t="s">
        <v>57</v>
      </c>
      <c r="B4063" s="7">
        <v>40764</v>
      </c>
      <c r="C4063" s="1">
        <v>15</v>
      </c>
      <c r="D4063" s="1">
        <v>319</v>
      </c>
      <c r="E4063" s="1">
        <v>2</v>
      </c>
      <c r="F4063" s="1">
        <v>41</v>
      </c>
      <c r="R4063" s="3">
        <v>0</v>
      </c>
      <c r="S4063" s="3">
        <v>1</v>
      </c>
    </row>
    <row r="4064" spans="1:84" x14ac:dyDescent="0.3">
      <c r="A4064" s="1" t="s">
        <v>57</v>
      </c>
      <c r="B4064" s="7">
        <v>40764</v>
      </c>
      <c r="C4064" s="1">
        <v>15</v>
      </c>
      <c r="D4064" s="1">
        <v>319</v>
      </c>
      <c r="E4064" s="1">
        <v>2</v>
      </c>
      <c r="F4064" s="1">
        <v>42</v>
      </c>
      <c r="R4064" s="3">
        <v>0</v>
      </c>
      <c r="S4064" s="3">
        <v>1</v>
      </c>
      <c r="AA4064" s="1">
        <v>1</v>
      </c>
    </row>
    <row r="4065" spans="1:84" x14ac:dyDescent="0.3">
      <c r="A4065" s="1" t="s">
        <v>57</v>
      </c>
      <c r="B4065" s="7">
        <v>40764</v>
      </c>
      <c r="C4065" s="1">
        <v>15</v>
      </c>
      <c r="D4065" s="1">
        <v>319</v>
      </c>
      <c r="E4065" s="1">
        <v>2</v>
      </c>
      <c r="F4065" s="1">
        <v>43</v>
      </c>
      <c r="AA4065" s="1">
        <v>1</v>
      </c>
    </row>
    <row r="4066" spans="1:84" x14ac:dyDescent="0.3">
      <c r="A4066" s="1" t="s">
        <v>57</v>
      </c>
      <c r="B4066" s="7">
        <v>40764</v>
      </c>
      <c r="C4066" s="1">
        <v>15</v>
      </c>
      <c r="D4066" s="1">
        <v>319</v>
      </c>
      <c r="E4066" s="1">
        <v>2</v>
      </c>
      <c r="F4066" s="1">
        <v>44</v>
      </c>
      <c r="AA4066" s="1">
        <v>1</v>
      </c>
    </row>
    <row r="4067" spans="1:84" x14ac:dyDescent="0.3">
      <c r="A4067" s="1" t="s">
        <v>57</v>
      </c>
      <c r="B4067" s="7">
        <v>40764</v>
      </c>
      <c r="C4067" s="1">
        <v>15</v>
      </c>
      <c r="D4067" s="1">
        <v>319</v>
      </c>
      <c r="E4067" s="1">
        <v>2</v>
      </c>
      <c r="F4067" s="1">
        <v>45</v>
      </c>
      <c r="H4067" s="1">
        <v>1</v>
      </c>
      <c r="R4067" s="1">
        <v>1</v>
      </c>
    </row>
    <row r="4068" spans="1:84" x14ac:dyDescent="0.3">
      <c r="A4068" s="1" t="s">
        <v>57</v>
      </c>
      <c r="B4068" s="7">
        <v>40764</v>
      </c>
      <c r="C4068" s="1">
        <v>15</v>
      </c>
      <c r="D4068" s="1">
        <v>319</v>
      </c>
      <c r="E4068" s="1">
        <v>2</v>
      </c>
      <c r="F4068" s="1">
        <v>46</v>
      </c>
      <c r="H4068" s="1">
        <v>1</v>
      </c>
      <c r="AA4068" s="1">
        <v>1</v>
      </c>
    </row>
    <row r="4069" spans="1:84" x14ac:dyDescent="0.3">
      <c r="A4069" s="1" t="s">
        <v>57</v>
      </c>
      <c r="B4069" s="7">
        <v>40764</v>
      </c>
      <c r="C4069" s="1">
        <v>15</v>
      </c>
      <c r="D4069" s="1">
        <v>319</v>
      </c>
      <c r="E4069" s="1">
        <v>2</v>
      </c>
      <c r="F4069" s="1">
        <v>47</v>
      </c>
      <c r="H4069" s="1">
        <v>1</v>
      </c>
      <c r="R4069" s="3">
        <v>0</v>
      </c>
      <c r="S4069" s="3">
        <v>1</v>
      </c>
    </row>
    <row r="4070" spans="1:84" x14ac:dyDescent="0.3">
      <c r="A4070" s="1" t="s">
        <v>57</v>
      </c>
      <c r="B4070" s="7">
        <v>40764</v>
      </c>
      <c r="C4070" s="1">
        <v>15</v>
      </c>
      <c r="D4070" s="1">
        <v>319</v>
      </c>
      <c r="E4070" s="1">
        <v>2</v>
      </c>
      <c r="F4070" s="1">
        <v>48</v>
      </c>
      <c r="H4070" s="1">
        <v>1</v>
      </c>
      <c r="AA4070" s="1">
        <v>1</v>
      </c>
    </row>
    <row r="4071" spans="1:84" x14ac:dyDescent="0.3">
      <c r="A4071" s="1" t="s">
        <v>57</v>
      </c>
      <c r="B4071" s="7">
        <v>40764</v>
      </c>
      <c r="C4071" s="1">
        <v>15</v>
      </c>
      <c r="D4071" s="1">
        <v>319</v>
      </c>
      <c r="E4071" s="1">
        <v>2</v>
      </c>
      <c r="F4071" s="1">
        <v>49</v>
      </c>
      <c r="R4071" s="3">
        <v>0</v>
      </c>
      <c r="S4071" s="3">
        <v>1</v>
      </c>
      <c r="AA4071" s="1">
        <v>1</v>
      </c>
    </row>
    <row r="4072" spans="1:84" x14ac:dyDescent="0.3">
      <c r="A4072" s="1" t="s">
        <v>57</v>
      </c>
      <c r="B4072" s="7">
        <v>40764</v>
      </c>
      <c r="C4072" s="1">
        <v>15</v>
      </c>
      <c r="D4072" s="1">
        <v>319</v>
      </c>
      <c r="E4072" s="1">
        <v>2</v>
      </c>
      <c r="F4072" s="1">
        <v>50</v>
      </c>
      <c r="H4072" s="1">
        <v>1</v>
      </c>
      <c r="R4072" s="1">
        <v>1</v>
      </c>
      <c r="CF4072" s="1">
        <v>1</v>
      </c>
    </row>
    <row r="4073" spans="1:84" x14ac:dyDescent="0.3">
      <c r="A4073" s="1" t="s">
        <v>57</v>
      </c>
      <c r="B4073" s="7">
        <v>40764</v>
      </c>
      <c r="C4073" s="1">
        <v>15</v>
      </c>
      <c r="D4073" s="1">
        <v>319</v>
      </c>
      <c r="E4073" s="1">
        <v>2</v>
      </c>
      <c r="F4073" s="1">
        <v>51</v>
      </c>
      <c r="AA4073" s="1">
        <v>1</v>
      </c>
    </row>
    <row r="4074" spans="1:84" x14ac:dyDescent="0.3">
      <c r="A4074" s="1" t="s">
        <v>57</v>
      </c>
      <c r="B4074" s="7">
        <v>40764</v>
      </c>
      <c r="C4074" s="1">
        <v>15</v>
      </c>
      <c r="D4074" s="1">
        <v>319</v>
      </c>
      <c r="E4074" s="1">
        <v>2</v>
      </c>
      <c r="F4074" s="1">
        <v>52</v>
      </c>
      <c r="AA4074" s="1">
        <v>1</v>
      </c>
    </row>
    <row r="4075" spans="1:84" x14ac:dyDescent="0.3">
      <c r="A4075" s="1" t="s">
        <v>57</v>
      </c>
      <c r="B4075" s="7">
        <v>40764</v>
      </c>
      <c r="C4075" s="1">
        <v>15</v>
      </c>
      <c r="D4075" s="1">
        <v>319</v>
      </c>
      <c r="E4075" s="1">
        <v>2</v>
      </c>
      <c r="F4075" s="1">
        <v>53</v>
      </c>
      <c r="AA4075" s="1">
        <v>1</v>
      </c>
    </row>
    <row r="4076" spans="1:84" x14ac:dyDescent="0.3">
      <c r="A4076" s="1" t="s">
        <v>57</v>
      </c>
      <c r="B4076" s="7">
        <v>40764</v>
      </c>
      <c r="C4076" s="1">
        <v>15</v>
      </c>
      <c r="D4076" s="1">
        <v>319</v>
      </c>
      <c r="E4076" s="1">
        <v>2</v>
      </c>
      <c r="F4076" s="1">
        <v>54</v>
      </c>
      <c r="AA4076" s="1">
        <v>1</v>
      </c>
      <c r="BW4076" s="1">
        <v>1</v>
      </c>
    </row>
    <row r="4077" spans="1:84" x14ac:dyDescent="0.3">
      <c r="A4077" s="1" t="s">
        <v>57</v>
      </c>
      <c r="B4077" s="7">
        <v>40764</v>
      </c>
      <c r="C4077" s="1">
        <v>15</v>
      </c>
      <c r="D4077" s="1">
        <v>319</v>
      </c>
      <c r="E4077" s="1">
        <v>2</v>
      </c>
      <c r="F4077" s="1">
        <v>55</v>
      </c>
      <c r="AA4077" s="1">
        <v>1</v>
      </c>
      <c r="CF4077" s="1">
        <v>1</v>
      </c>
    </row>
    <row r="4078" spans="1:84" x14ac:dyDescent="0.3">
      <c r="A4078" s="1" t="s">
        <v>57</v>
      </c>
      <c r="B4078" s="7">
        <v>40764</v>
      </c>
      <c r="C4078" s="1">
        <v>15</v>
      </c>
      <c r="D4078" s="1">
        <v>319</v>
      </c>
      <c r="E4078" s="1">
        <v>2</v>
      </c>
      <c r="F4078" s="1">
        <v>56</v>
      </c>
      <c r="AM4078" s="3">
        <v>0</v>
      </c>
      <c r="AN4078" s="3">
        <v>1</v>
      </c>
      <c r="CF4078" s="1">
        <v>1</v>
      </c>
    </row>
    <row r="4079" spans="1:84" x14ac:dyDescent="0.3">
      <c r="A4079" s="1" t="s">
        <v>57</v>
      </c>
      <c r="B4079" s="7">
        <v>40764</v>
      </c>
      <c r="C4079" s="1">
        <v>15</v>
      </c>
      <c r="D4079" s="1">
        <v>319</v>
      </c>
      <c r="E4079" s="1">
        <v>2</v>
      </c>
      <c r="F4079" s="1">
        <v>57</v>
      </c>
      <c r="AA4079" s="1">
        <v>1</v>
      </c>
      <c r="CF4079" s="1">
        <v>1</v>
      </c>
    </row>
    <row r="4080" spans="1:84" x14ac:dyDescent="0.3">
      <c r="A4080" s="1" t="s">
        <v>57</v>
      </c>
      <c r="B4080" s="7">
        <v>40764</v>
      </c>
      <c r="C4080" s="1">
        <v>15</v>
      </c>
      <c r="D4080" s="1">
        <v>319</v>
      </c>
      <c r="E4080" s="1">
        <v>2</v>
      </c>
      <c r="F4080" s="1">
        <v>58</v>
      </c>
      <c r="AA4080" s="1">
        <v>1</v>
      </c>
    </row>
    <row r="4081" spans="1:84" x14ac:dyDescent="0.3">
      <c r="A4081" s="1" t="s">
        <v>57</v>
      </c>
      <c r="B4081" s="7">
        <v>40764</v>
      </c>
      <c r="C4081" s="1">
        <v>15</v>
      </c>
      <c r="D4081" s="1">
        <v>319</v>
      </c>
      <c r="E4081" s="1">
        <v>2</v>
      </c>
      <c r="F4081" s="1">
        <v>59</v>
      </c>
      <c r="L4081" s="1">
        <v>1</v>
      </c>
      <c r="AA4081" s="1">
        <v>1</v>
      </c>
    </row>
    <row r="4082" spans="1:84" x14ac:dyDescent="0.3">
      <c r="A4082" s="1" t="s">
        <v>57</v>
      </c>
      <c r="B4082" s="7">
        <v>40764</v>
      </c>
      <c r="C4082" s="1">
        <v>15</v>
      </c>
      <c r="D4082" s="1">
        <v>319</v>
      </c>
      <c r="E4082" s="1">
        <v>2</v>
      </c>
      <c r="F4082" s="1">
        <v>60</v>
      </c>
      <c r="H4082" s="1">
        <v>1</v>
      </c>
      <c r="R4082" s="1">
        <v>1</v>
      </c>
      <c r="CF4082" s="1">
        <v>1</v>
      </c>
    </row>
    <row r="4083" spans="1:84" x14ac:dyDescent="0.3">
      <c r="A4083" s="1" t="s">
        <v>57</v>
      </c>
      <c r="B4083" s="7">
        <v>40764</v>
      </c>
      <c r="C4083" s="1">
        <v>15</v>
      </c>
      <c r="D4083" s="1">
        <v>319</v>
      </c>
      <c r="E4083" s="1">
        <v>2</v>
      </c>
      <c r="F4083" s="1">
        <v>61</v>
      </c>
      <c r="AA4083" s="1">
        <v>1</v>
      </c>
    </row>
    <row r="4084" spans="1:84" x14ac:dyDescent="0.3">
      <c r="A4084" s="1" t="s">
        <v>57</v>
      </c>
      <c r="B4084" s="7">
        <v>40764</v>
      </c>
      <c r="C4084" s="1">
        <v>15</v>
      </c>
      <c r="D4084" s="1">
        <v>319</v>
      </c>
      <c r="E4084" s="1">
        <v>2</v>
      </c>
      <c r="F4084" s="1">
        <v>62</v>
      </c>
      <c r="AA4084" s="1">
        <v>1</v>
      </c>
    </row>
    <row r="4085" spans="1:84" x14ac:dyDescent="0.3">
      <c r="A4085" s="1" t="s">
        <v>57</v>
      </c>
      <c r="B4085" s="7">
        <v>40764</v>
      </c>
      <c r="C4085" s="1">
        <v>15</v>
      </c>
      <c r="D4085" s="1">
        <v>319</v>
      </c>
      <c r="E4085" s="1">
        <v>2</v>
      </c>
      <c r="F4085" s="1">
        <v>63</v>
      </c>
      <c r="V4085" s="1">
        <v>1</v>
      </c>
      <c r="AA4085" s="1">
        <v>1</v>
      </c>
    </row>
    <row r="4086" spans="1:84" x14ac:dyDescent="0.3">
      <c r="A4086" s="1" t="s">
        <v>57</v>
      </c>
      <c r="B4086" s="7">
        <v>40764</v>
      </c>
      <c r="C4086" s="1">
        <v>15</v>
      </c>
      <c r="D4086" s="1">
        <v>319</v>
      </c>
      <c r="E4086" s="1">
        <v>2</v>
      </c>
      <c r="F4086" s="1">
        <v>64</v>
      </c>
      <c r="L4086" s="1">
        <v>1</v>
      </c>
      <c r="R4086" s="3">
        <v>0</v>
      </c>
      <c r="S4086" s="3">
        <v>1</v>
      </c>
      <c r="AB4086" s="1">
        <v>1</v>
      </c>
      <c r="BW4086" s="1">
        <v>1</v>
      </c>
    </row>
    <row r="4087" spans="1:84" x14ac:dyDescent="0.3">
      <c r="A4087" s="1" t="s">
        <v>57</v>
      </c>
      <c r="B4087" s="7">
        <v>40764</v>
      </c>
      <c r="C4087" s="1">
        <v>15</v>
      </c>
      <c r="D4087" s="1">
        <v>319</v>
      </c>
      <c r="E4087" s="1">
        <v>2</v>
      </c>
      <c r="F4087" s="1">
        <v>65</v>
      </c>
      <c r="H4087" s="1">
        <v>1</v>
      </c>
      <c r="R4087" s="1">
        <v>1</v>
      </c>
    </row>
    <row r="4088" spans="1:84" x14ac:dyDescent="0.3">
      <c r="A4088" s="1" t="s">
        <v>57</v>
      </c>
      <c r="B4088" s="7">
        <v>40764</v>
      </c>
      <c r="C4088" s="1">
        <v>15</v>
      </c>
      <c r="D4088" s="1">
        <v>319</v>
      </c>
      <c r="E4088" s="1">
        <v>2</v>
      </c>
      <c r="F4088" s="1">
        <v>66</v>
      </c>
      <c r="R4088" s="3">
        <v>0</v>
      </c>
      <c r="S4088" s="3">
        <v>1</v>
      </c>
      <c r="AM4088" s="1">
        <v>1</v>
      </c>
    </row>
    <row r="4089" spans="1:84" x14ac:dyDescent="0.3">
      <c r="A4089" s="1" t="s">
        <v>57</v>
      </c>
      <c r="B4089" s="7">
        <v>40764</v>
      </c>
      <c r="C4089" s="1">
        <v>15</v>
      </c>
      <c r="D4089" s="1">
        <v>319</v>
      </c>
      <c r="E4089" s="1">
        <v>2</v>
      </c>
      <c r="F4089" s="1">
        <v>67</v>
      </c>
      <c r="H4089" s="1">
        <v>1</v>
      </c>
      <c r="AA4089" s="1">
        <v>1</v>
      </c>
      <c r="CF4089" s="1">
        <v>1</v>
      </c>
    </row>
    <row r="4090" spans="1:84" x14ac:dyDescent="0.3">
      <c r="A4090" s="1" t="s">
        <v>57</v>
      </c>
      <c r="B4090" s="7">
        <v>40764</v>
      </c>
      <c r="C4090" s="1">
        <v>15</v>
      </c>
      <c r="D4090" s="1">
        <v>319</v>
      </c>
      <c r="E4090" s="1">
        <v>2</v>
      </c>
      <c r="F4090" s="1">
        <v>68</v>
      </c>
      <c r="L4090" s="1">
        <v>1</v>
      </c>
      <c r="AM4090" s="1">
        <v>1</v>
      </c>
    </row>
    <row r="4091" spans="1:84" x14ac:dyDescent="0.3">
      <c r="A4091" s="1" t="s">
        <v>57</v>
      </c>
      <c r="B4091" s="7">
        <v>40764</v>
      </c>
      <c r="C4091" s="1">
        <v>15</v>
      </c>
      <c r="D4091" s="1">
        <v>319</v>
      </c>
      <c r="E4091" s="1">
        <v>2</v>
      </c>
      <c r="F4091" s="1">
        <v>69</v>
      </c>
      <c r="H4091" s="1">
        <v>1</v>
      </c>
      <c r="L4091" s="1">
        <v>1</v>
      </c>
    </row>
    <row r="4092" spans="1:84" x14ac:dyDescent="0.3">
      <c r="A4092" s="1" t="s">
        <v>57</v>
      </c>
      <c r="B4092" s="7">
        <v>40764</v>
      </c>
      <c r="C4092" s="1">
        <v>15</v>
      </c>
      <c r="D4092" s="1">
        <v>319</v>
      </c>
      <c r="E4092" s="1">
        <v>2</v>
      </c>
      <c r="F4092" s="1">
        <v>70</v>
      </c>
      <c r="H4092" s="1">
        <v>1</v>
      </c>
      <c r="AM4092" s="1">
        <v>1</v>
      </c>
    </row>
    <row r="4093" spans="1:84" x14ac:dyDescent="0.3">
      <c r="A4093" s="1" t="s">
        <v>57</v>
      </c>
      <c r="B4093" s="7">
        <v>40764</v>
      </c>
      <c r="C4093" s="1">
        <v>15</v>
      </c>
      <c r="D4093" s="1">
        <v>319</v>
      </c>
      <c r="E4093" s="1">
        <v>2</v>
      </c>
      <c r="F4093" s="1">
        <v>71</v>
      </c>
      <c r="AA4093" s="1">
        <v>1</v>
      </c>
    </row>
    <row r="4094" spans="1:84" x14ac:dyDescent="0.3">
      <c r="A4094" s="1" t="s">
        <v>57</v>
      </c>
      <c r="B4094" s="7">
        <v>40764</v>
      </c>
      <c r="C4094" s="1">
        <v>15</v>
      </c>
      <c r="D4094" s="1">
        <v>319</v>
      </c>
      <c r="E4094" s="1">
        <v>2</v>
      </c>
      <c r="F4094" s="1">
        <v>72</v>
      </c>
      <c r="L4094" s="8">
        <v>1</v>
      </c>
      <c r="M4094" s="8"/>
      <c r="AA4094" s="1">
        <v>1</v>
      </c>
    </row>
    <row r="4095" spans="1:84" x14ac:dyDescent="0.3">
      <c r="A4095" s="1" t="s">
        <v>57</v>
      </c>
      <c r="B4095" s="7">
        <v>40764</v>
      </c>
      <c r="C4095" s="1">
        <v>15</v>
      </c>
      <c r="D4095" s="1">
        <v>319</v>
      </c>
      <c r="E4095" s="1">
        <v>2</v>
      </c>
      <c r="F4095" s="1">
        <v>73</v>
      </c>
      <c r="AM4095" s="1">
        <v>1</v>
      </c>
      <c r="CF4095" s="1">
        <v>1</v>
      </c>
    </row>
    <row r="4096" spans="1:84" x14ac:dyDescent="0.3">
      <c r="A4096" s="1" t="s">
        <v>57</v>
      </c>
      <c r="B4096" s="7">
        <v>40764</v>
      </c>
      <c r="C4096" s="1">
        <v>15</v>
      </c>
      <c r="D4096" s="1">
        <v>319</v>
      </c>
      <c r="E4096" s="1">
        <v>2</v>
      </c>
      <c r="F4096" s="1">
        <v>74</v>
      </c>
      <c r="V4096" s="1">
        <v>1</v>
      </c>
      <c r="BW4096" s="1">
        <v>1</v>
      </c>
    </row>
    <row r="4097" spans="1:84" x14ac:dyDescent="0.3">
      <c r="A4097" s="1" t="s">
        <v>57</v>
      </c>
      <c r="B4097" s="7">
        <v>40764</v>
      </c>
      <c r="C4097" s="1">
        <v>15</v>
      </c>
      <c r="D4097" s="1">
        <v>319</v>
      </c>
      <c r="E4097" s="1">
        <v>2</v>
      </c>
      <c r="F4097" s="1">
        <v>75</v>
      </c>
      <c r="R4097" s="3">
        <v>0</v>
      </c>
      <c r="S4097" s="3">
        <v>1</v>
      </c>
      <c r="AF4097" s="1">
        <v>1</v>
      </c>
      <c r="AM4097" s="1">
        <v>1</v>
      </c>
    </row>
    <row r="4098" spans="1:84" x14ac:dyDescent="0.3">
      <c r="A4098" s="1" t="s">
        <v>57</v>
      </c>
      <c r="B4098" s="7">
        <v>40764</v>
      </c>
      <c r="C4098" s="1">
        <v>15</v>
      </c>
      <c r="D4098" s="1">
        <v>319</v>
      </c>
      <c r="E4098" s="1">
        <v>2</v>
      </c>
      <c r="F4098" s="1">
        <v>76</v>
      </c>
      <c r="R4098" s="1">
        <v>1</v>
      </c>
      <c r="V4098" s="1">
        <v>1</v>
      </c>
    </row>
    <row r="4099" spans="1:84" x14ac:dyDescent="0.3">
      <c r="A4099" s="1" t="s">
        <v>57</v>
      </c>
      <c r="B4099" s="7">
        <v>40764</v>
      </c>
      <c r="C4099" s="1">
        <v>15</v>
      </c>
      <c r="D4099" s="1">
        <v>319</v>
      </c>
      <c r="E4099" s="1">
        <v>2</v>
      </c>
      <c r="F4099" s="1">
        <v>77</v>
      </c>
      <c r="H4099" s="1">
        <v>1</v>
      </c>
      <c r="L4099" s="1">
        <v>1</v>
      </c>
    </row>
    <row r="4100" spans="1:84" x14ac:dyDescent="0.3">
      <c r="A4100" s="1" t="s">
        <v>57</v>
      </c>
      <c r="B4100" s="7">
        <v>40764</v>
      </c>
      <c r="C4100" s="1">
        <v>15</v>
      </c>
      <c r="D4100" s="1">
        <v>319</v>
      </c>
      <c r="E4100" s="1">
        <v>2</v>
      </c>
      <c r="F4100" s="1">
        <v>78</v>
      </c>
      <c r="H4100" s="1">
        <v>1</v>
      </c>
      <c r="BW4100" s="9">
        <v>0</v>
      </c>
      <c r="BX4100" s="9">
        <v>1</v>
      </c>
    </row>
    <row r="4101" spans="1:84" x14ac:dyDescent="0.3">
      <c r="A4101" s="1" t="s">
        <v>57</v>
      </c>
      <c r="B4101" s="7">
        <v>40764</v>
      </c>
      <c r="C4101" s="1">
        <v>15</v>
      </c>
      <c r="D4101" s="1">
        <v>319</v>
      </c>
      <c r="E4101" s="1">
        <v>2</v>
      </c>
      <c r="F4101" s="1">
        <v>79</v>
      </c>
      <c r="H4101" s="1">
        <v>1</v>
      </c>
      <c r="AI4101" s="1">
        <v>1</v>
      </c>
    </row>
    <row r="4102" spans="1:84" x14ac:dyDescent="0.3">
      <c r="A4102" s="1" t="s">
        <v>57</v>
      </c>
      <c r="B4102" s="7">
        <v>40764</v>
      </c>
      <c r="C4102" s="1">
        <v>15</v>
      </c>
      <c r="D4102" s="1">
        <v>319</v>
      </c>
      <c r="E4102" s="1">
        <v>2</v>
      </c>
      <c r="F4102" s="1">
        <v>80</v>
      </c>
      <c r="H4102" s="1">
        <v>1</v>
      </c>
    </row>
    <row r="4103" spans="1:84" x14ac:dyDescent="0.3">
      <c r="A4103" s="1" t="s">
        <v>57</v>
      </c>
      <c r="B4103" s="7">
        <v>40764</v>
      </c>
      <c r="C4103" s="1">
        <v>15</v>
      </c>
      <c r="D4103" s="1">
        <v>319</v>
      </c>
      <c r="E4103" s="1">
        <v>2</v>
      </c>
      <c r="F4103" s="1">
        <v>81</v>
      </c>
      <c r="H4103" s="1">
        <v>1</v>
      </c>
      <c r="R4103" s="3">
        <v>0</v>
      </c>
      <c r="S4103" s="3">
        <v>1</v>
      </c>
    </row>
    <row r="4104" spans="1:84" x14ac:dyDescent="0.3">
      <c r="A4104" s="1" t="s">
        <v>57</v>
      </c>
      <c r="B4104" s="7">
        <v>40764</v>
      </c>
      <c r="C4104" s="1">
        <v>15</v>
      </c>
      <c r="D4104" s="1">
        <v>319</v>
      </c>
      <c r="E4104" s="1">
        <v>2</v>
      </c>
      <c r="F4104" s="1">
        <v>82</v>
      </c>
      <c r="L4104" s="1">
        <v>1</v>
      </c>
      <c r="AM4104" s="3">
        <v>0</v>
      </c>
      <c r="AN4104" s="3">
        <v>1</v>
      </c>
    </row>
    <row r="4105" spans="1:84" x14ac:dyDescent="0.3">
      <c r="A4105" s="1" t="s">
        <v>57</v>
      </c>
      <c r="B4105" s="7">
        <v>40764</v>
      </c>
      <c r="C4105" s="1">
        <v>15</v>
      </c>
      <c r="D4105" s="1">
        <v>319</v>
      </c>
      <c r="E4105" s="1">
        <v>2</v>
      </c>
      <c r="F4105" s="1">
        <v>83</v>
      </c>
      <c r="R4105" s="3">
        <v>0</v>
      </c>
      <c r="S4105" s="3">
        <v>1</v>
      </c>
      <c r="AM4105" s="3">
        <v>0</v>
      </c>
      <c r="AN4105" s="3">
        <v>1</v>
      </c>
    </row>
    <row r="4106" spans="1:84" x14ac:dyDescent="0.3">
      <c r="A4106" s="1" t="s">
        <v>57</v>
      </c>
      <c r="B4106" s="7">
        <v>40764</v>
      </c>
      <c r="C4106" s="1">
        <v>15</v>
      </c>
      <c r="D4106" s="1">
        <v>319</v>
      </c>
      <c r="E4106" s="1">
        <v>2</v>
      </c>
      <c r="F4106" s="1">
        <v>84</v>
      </c>
      <c r="H4106" s="1">
        <v>1</v>
      </c>
      <c r="L4106" s="1">
        <v>1</v>
      </c>
      <c r="AI4106" s="1">
        <v>1</v>
      </c>
    </row>
    <row r="4107" spans="1:84" x14ac:dyDescent="0.3">
      <c r="A4107" s="1" t="s">
        <v>57</v>
      </c>
      <c r="B4107" s="7">
        <v>40764</v>
      </c>
      <c r="C4107" s="1">
        <v>15</v>
      </c>
      <c r="D4107" s="1">
        <v>319</v>
      </c>
      <c r="E4107" s="1">
        <v>2</v>
      </c>
      <c r="F4107" s="1">
        <v>85</v>
      </c>
      <c r="H4107" s="1">
        <v>1</v>
      </c>
      <c r="AF4107" s="1">
        <v>1</v>
      </c>
    </row>
    <row r="4108" spans="1:84" x14ac:dyDescent="0.3">
      <c r="A4108" s="1" t="s">
        <v>57</v>
      </c>
      <c r="B4108" s="7">
        <v>40764</v>
      </c>
      <c r="C4108" s="1">
        <v>15</v>
      </c>
      <c r="D4108" s="1">
        <v>319</v>
      </c>
      <c r="E4108" s="1">
        <v>2</v>
      </c>
      <c r="F4108" s="1">
        <v>86</v>
      </c>
      <c r="H4108" s="1">
        <v>1</v>
      </c>
      <c r="AF4108" s="1">
        <v>1</v>
      </c>
    </row>
    <row r="4109" spans="1:84" x14ac:dyDescent="0.3">
      <c r="A4109" s="1" t="s">
        <v>57</v>
      </c>
      <c r="B4109" s="7">
        <v>40764</v>
      </c>
      <c r="C4109" s="1">
        <v>15</v>
      </c>
      <c r="D4109" s="1">
        <v>319</v>
      </c>
      <c r="E4109" s="1">
        <v>2</v>
      </c>
      <c r="F4109" s="1">
        <v>87</v>
      </c>
      <c r="AF4109" s="1">
        <v>1</v>
      </c>
      <c r="AM4109" s="1">
        <v>1</v>
      </c>
      <c r="BI4109" s="1">
        <v>1</v>
      </c>
    </row>
    <row r="4110" spans="1:84" x14ac:dyDescent="0.3">
      <c r="A4110" s="1" t="s">
        <v>57</v>
      </c>
      <c r="B4110" s="7">
        <v>40764</v>
      </c>
      <c r="C4110" s="1">
        <v>15</v>
      </c>
      <c r="D4110" s="1">
        <v>319</v>
      </c>
      <c r="E4110" s="1">
        <v>2</v>
      </c>
      <c r="F4110" s="1">
        <v>88</v>
      </c>
      <c r="AA4110" s="1">
        <v>1</v>
      </c>
      <c r="AM4110" s="1">
        <v>1</v>
      </c>
    </row>
    <row r="4111" spans="1:84" x14ac:dyDescent="0.3">
      <c r="A4111" s="1" t="s">
        <v>57</v>
      </c>
      <c r="B4111" s="7">
        <v>40764</v>
      </c>
      <c r="C4111" s="1">
        <v>15</v>
      </c>
      <c r="D4111" s="1">
        <v>319</v>
      </c>
      <c r="E4111" s="1">
        <v>2</v>
      </c>
      <c r="F4111" s="1">
        <v>89</v>
      </c>
      <c r="L4111" s="1">
        <v>1</v>
      </c>
      <c r="AA4111" s="1">
        <v>1</v>
      </c>
    </row>
    <row r="4112" spans="1:84" x14ac:dyDescent="0.3">
      <c r="A4112" s="1" t="s">
        <v>57</v>
      </c>
      <c r="B4112" s="7">
        <v>40764</v>
      </c>
      <c r="C4112" s="1">
        <v>15</v>
      </c>
      <c r="D4112" s="1">
        <v>319</v>
      </c>
      <c r="E4112" s="1">
        <v>2</v>
      </c>
      <c r="F4112" s="1">
        <v>90</v>
      </c>
      <c r="H4112" s="1">
        <v>1</v>
      </c>
      <c r="CF4112" s="1">
        <v>1</v>
      </c>
    </row>
    <row r="4113" spans="1:90" x14ac:dyDescent="0.3">
      <c r="A4113" s="1" t="s">
        <v>57</v>
      </c>
      <c r="B4113" s="7">
        <v>40764</v>
      </c>
      <c r="C4113" s="1">
        <v>15</v>
      </c>
      <c r="D4113" s="1">
        <v>319</v>
      </c>
      <c r="E4113" s="1">
        <v>2</v>
      </c>
      <c r="F4113" s="1">
        <v>91</v>
      </c>
      <c r="L4113" s="1">
        <v>1</v>
      </c>
      <c r="AA4113" s="1">
        <v>1</v>
      </c>
      <c r="AI4113" s="3">
        <v>0</v>
      </c>
      <c r="AJ4113" s="3">
        <v>1</v>
      </c>
    </row>
    <row r="4114" spans="1:90" x14ac:dyDescent="0.3">
      <c r="A4114" s="1" t="s">
        <v>57</v>
      </c>
      <c r="B4114" s="7">
        <v>40764</v>
      </c>
      <c r="C4114" s="1">
        <v>15</v>
      </c>
      <c r="D4114" s="1">
        <v>319</v>
      </c>
      <c r="E4114" s="1">
        <v>2</v>
      </c>
      <c r="F4114" s="1">
        <v>92</v>
      </c>
      <c r="H4114" s="1">
        <v>1</v>
      </c>
    </row>
    <row r="4115" spans="1:90" x14ac:dyDescent="0.3">
      <c r="A4115" s="1" t="s">
        <v>57</v>
      </c>
      <c r="B4115" s="7">
        <v>40764</v>
      </c>
      <c r="C4115" s="1">
        <v>15</v>
      </c>
      <c r="D4115" s="1">
        <v>319</v>
      </c>
      <c r="E4115" s="1">
        <v>2</v>
      </c>
      <c r="F4115" s="1">
        <v>93</v>
      </c>
      <c r="H4115" s="1">
        <v>1</v>
      </c>
      <c r="L4115" s="1">
        <v>1</v>
      </c>
    </row>
    <row r="4116" spans="1:90" x14ac:dyDescent="0.3">
      <c r="A4116" s="1" t="s">
        <v>57</v>
      </c>
      <c r="B4116" s="7">
        <v>40764</v>
      </c>
      <c r="C4116" s="1">
        <v>15</v>
      </c>
      <c r="D4116" s="1">
        <v>319</v>
      </c>
      <c r="E4116" s="1">
        <v>2</v>
      </c>
      <c r="F4116" s="1">
        <v>94</v>
      </c>
      <c r="H4116" s="1">
        <v>1</v>
      </c>
      <c r="AI4116" s="1">
        <v>1</v>
      </c>
    </row>
    <row r="4117" spans="1:90" x14ac:dyDescent="0.3">
      <c r="A4117" s="1" t="s">
        <v>57</v>
      </c>
      <c r="B4117" s="7">
        <v>40764</v>
      </c>
      <c r="C4117" s="1">
        <v>15</v>
      </c>
      <c r="D4117" s="1">
        <v>319</v>
      </c>
      <c r="E4117" s="1">
        <v>2</v>
      </c>
      <c r="F4117" s="1">
        <v>95</v>
      </c>
      <c r="L4117" s="1">
        <v>1</v>
      </c>
      <c r="AB4117" s="1">
        <v>1</v>
      </c>
    </row>
    <row r="4118" spans="1:90" x14ac:dyDescent="0.3">
      <c r="A4118" s="1" t="s">
        <v>57</v>
      </c>
      <c r="B4118" s="7">
        <v>40764</v>
      </c>
      <c r="C4118" s="1">
        <v>15</v>
      </c>
      <c r="D4118" s="1">
        <v>319</v>
      </c>
      <c r="E4118" s="1">
        <v>2</v>
      </c>
      <c r="F4118" s="1">
        <v>96</v>
      </c>
      <c r="R4118" s="3">
        <v>0</v>
      </c>
      <c r="S4118" s="3">
        <v>1</v>
      </c>
    </row>
    <row r="4119" spans="1:90" x14ac:dyDescent="0.3">
      <c r="A4119" s="1" t="s">
        <v>57</v>
      </c>
      <c r="B4119" s="7">
        <v>40764</v>
      </c>
      <c r="C4119" s="1">
        <v>15</v>
      </c>
      <c r="D4119" s="1">
        <v>319</v>
      </c>
      <c r="E4119" s="1">
        <v>2</v>
      </c>
      <c r="F4119" s="1">
        <v>97</v>
      </c>
      <c r="L4119" s="1">
        <v>1</v>
      </c>
      <c r="R4119" s="1">
        <v>1</v>
      </c>
      <c r="AF4119" s="1">
        <v>1</v>
      </c>
    </row>
    <row r="4120" spans="1:90" x14ac:dyDescent="0.3">
      <c r="A4120" s="1" t="s">
        <v>57</v>
      </c>
      <c r="B4120" s="7">
        <v>40764</v>
      </c>
      <c r="C4120" s="1">
        <v>15</v>
      </c>
      <c r="D4120" s="1">
        <v>319</v>
      </c>
      <c r="E4120" s="1">
        <v>2</v>
      </c>
      <c r="F4120" s="1">
        <v>98</v>
      </c>
      <c r="L4120" s="1">
        <v>1</v>
      </c>
      <c r="N4120" s="1">
        <v>1</v>
      </c>
      <c r="BI4120" s="1">
        <v>1</v>
      </c>
      <c r="BW4120" s="9">
        <v>0</v>
      </c>
      <c r="BX4120" s="9">
        <v>1</v>
      </c>
    </row>
    <row r="4121" spans="1:90" x14ac:dyDescent="0.3">
      <c r="A4121" s="1" t="s">
        <v>57</v>
      </c>
      <c r="B4121" s="7">
        <v>40764</v>
      </c>
      <c r="C4121" s="1">
        <v>15</v>
      </c>
      <c r="D4121" s="1">
        <v>319</v>
      </c>
      <c r="E4121" s="1">
        <v>2</v>
      </c>
      <c r="F4121" s="1">
        <v>99</v>
      </c>
      <c r="L4121" s="1">
        <v>1</v>
      </c>
      <c r="AA4121" s="1">
        <v>1</v>
      </c>
    </row>
    <row r="4122" spans="1:90" x14ac:dyDescent="0.3">
      <c r="A4122" s="1" t="s">
        <v>57</v>
      </c>
      <c r="B4122" s="7">
        <v>40764</v>
      </c>
      <c r="C4122" s="1">
        <v>15</v>
      </c>
      <c r="D4122" s="1">
        <v>319</v>
      </c>
      <c r="E4122" s="1">
        <v>2</v>
      </c>
      <c r="F4122" s="1">
        <v>100</v>
      </c>
      <c r="H4122" s="1">
        <v>1</v>
      </c>
    </row>
    <row r="4123" spans="1:90" s="12" customFormat="1" x14ac:dyDescent="0.3">
      <c r="A4123" s="14" t="s">
        <v>57</v>
      </c>
      <c r="B4123" s="13"/>
      <c r="G4123" s="12">
        <f>SUM(G3923:G4122)</f>
        <v>0</v>
      </c>
      <c r="H4123" s="12">
        <f t="shared" ref="H4123" si="1525">SUM(H3923:H4122)</f>
        <v>66</v>
      </c>
      <c r="I4123" s="12">
        <f t="shared" ref="I4123" si="1526">SUM(I3923:I4122)</f>
        <v>36</v>
      </c>
      <c r="J4123" s="12">
        <f t="shared" ref="J4123" si="1527">SUM(J3923:J4122)</f>
        <v>59</v>
      </c>
      <c r="K4123" s="12">
        <f t="shared" ref="K4123" si="1528">SUM(K3923:K4122)</f>
        <v>4</v>
      </c>
      <c r="L4123" s="12">
        <f t="shared" ref="L4123" si="1529">SUM(L3923:L4122)</f>
        <v>38</v>
      </c>
      <c r="M4123" s="12">
        <f t="shared" ref="M4123" si="1530">SUM(M3923:M4122)</f>
        <v>0</v>
      </c>
      <c r="N4123" s="12">
        <f t="shared" ref="N4123" si="1531">SUM(N3923:N4122)</f>
        <v>5</v>
      </c>
      <c r="O4123" s="12">
        <f t="shared" ref="O4123" si="1532">SUM(O3923:O4122)</f>
        <v>0</v>
      </c>
      <c r="P4123" s="12">
        <f t="shared" ref="P4123" si="1533">SUM(P3923:P4122)</f>
        <v>0</v>
      </c>
      <c r="Q4123" s="12">
        <f t="shared" ref="Q4123" si="1534">SUM(Q3923:Q4122)</f>
        <v>0</v>
      </c>
      <c r="R4123" s="12">
        <f t="shared" ref="R4123" si="1535">SUM(R3923:R4122)</f>
        <v>24</v>
      </c>
      <c r="S4123" s="12">
        <f t="shared" ref="S4123" si="1536">SUM(S3923:S4122)</f>
        <v>23</v>
      </c>
      <c r="T4123" s="12">
        <f t="shared" ref="T4123" si="1537">SUM(T3923:T4122)</f>
        <v>0</v>
      </c>
      <c r="U4123" s="12">
        <f t="shared" ref="U4123" si="1538">SUM(U3923:U4122)</f>
        <v>0</v>
      </c>
      <c r="V4123" s="12">
        <f t="shared" ref="V4123" si="1539">SUM(V3923:V4122)</f>
        <v>4</v>
      </c>
      <c r="W4123" s="12">
        <f t="shared" ref="W4123" si="1540">SUM(W3923:W4122)</f>
        <v>0</v>
      </c>
      <c r="X4123" s="12">
        <f t="shared" ref="X4123" si="1541">SUM(X3923:X4122)</f>
        <v>0</v>
      </c>
      <c r="Y4123" s="12">
        <f t="shared" ref="Y4123" si="1542">SUM(Y3923:Y4122)</f>
        <v>0</v>
      </c>
      <c r="Z4123" s="12">
        <f t="shared" ref="Z4123" si="1543">SUM(Z3923:Z4122)</f>
        <v>0</v>
      </c>
      <c r="AA4123" s="12">
        <f t="shared" ref="AA4123" si="1544">SUM(AA3923:AA4122)</f>
        <v>41</v>
      </c>
      <c r="AB4123" s="12">
        <f t="shared" ref="AB4123" si="1545">SUM(AB3923:AB4122)</f>
        <v>2</v>
      </c>
      <c r="AC4123" s="12">
        <f t="shared" ref="AC4123" si="1546">SUM(AC3923:AC4122)</f>
        <v>0</v>
      </c>
      <c r="AD4123" s="12">
        <f t="shared" ref="AD4123" si="1547">SUM(AD3923:AD4122)</f>
        <v>2</v>
      </c>
      <c r="AE4123" s="12">
        <f t="shared" ref="AE4123" si="1548">SUM(AE3923:AE4122)</f>
        <v>0</v>
      </c>
      <c r="AF4123" s="12">
        <f t="shared" ref="AF4123" si="1549">SUM(AF3923:AF4122)</f>
        <v>8</v>
      </c>
      <c r="AG4123" s="12">
        <f t="shared" ref="AG4123" si="1550">SUM(AG3923:AG4122)</f>
        <v>0</v>
      </c>
      <c r="AH4123" s="12">
        <f t="shared" ref="AH4123" si="1551">SUM(AH3923:AH4122)</f>
        <v>0</v>
      </c>
      <c r="AI4123" s="12">
        <f t="shared" ref="AI4123" si="1552">SUM(AI3923:AI4122)</f>
        <v>3</v>
      </c>
      <c r="AJ4123" s="12">
        <f t="shared" ref="AJ4123" si="1553">SUM(AJ3923:AJ4122)</f>
        <v>1</v>
      </c>
      <c r="AK4123" s="12">
        <f t="shared" ref="AK4123" si="1554">SUM(AK3923:AK4122)</f>
        <v>0</v>
      </c>
      <c r="AL4123" s="12">
        <f t="shared" ref="AL4123" si="1555">SUM(AL3923:AL4122)</f>
        <v>0</v>
      </c>
      <c r="AM4123" s="12">
        <f t="shared" ref="AM4123" si="1556">SUM(AM3923:AM4122)</f>
        <v>7</v>
      </c>
      <c r="AN4123" s="12">
        <f t="shared" ref="AN4123" si="1557">SUM(AN3923:AN4122)</f>
        <v>3</v>
      </c>
      <c r="AO4123" s="12">
        <f t="shared" ref="AO4123" si="1558">SUM(AO3923:AO4122)</f>
        <v>0</v>
      </c>
      <c r="AP4123" s="12">
        <f t="shared" ref="AP4123" si="1559">SUM(AP3923:AP4122)</f>
        <v>0</v>
      </c>
      <c r="AQ4123" s="12">
        <f t="shared" ref="AQ4123" si="1560">SUM(AQ3923:AQ4122)</f>
        <v>0</v>
      </c>
      <c r="AR4123" s="12">
        <f t="shared" ref="AR4123" si="1561">SUM(AR3923:AR4122)</f>
        <v>0</v>
      </c>
      <c r="AS4123" s="12">
        <f t="shared" ref="AS4123" si="1562">SUM(AS3923:AS4122)</f>
        <v>0</v>
      </c>
      <c r="AT4123" s="12">
        <f t="shared" ref="AT4123" si="1563">SUM(AT3923:AT4122)</f>
        <v>0</v>
      </c>
      <c r="AU4123" s="12">
        <f t="shared" ref="AU4123" si="1564">SUM(AU3923:AU4122)</f>
        <v>0</v>
      </c>
      <c r="AV4123" s="12">
        <f t="shared" ref="AV4123" si="1565">SUM(AV3923:AV4122)</f>
        <v>0</v>
      </c>
      <c r="AW4123" s="12">
        <f t="shared" ref="AW4123" si="1566">SUM(AW3923:AW4122)</f>
        <v>0</v>
      </c>
      <c r="AX4123" s="12">
        <f t="shared" ref="AX4123" si="1567">SUM(AX3923:AX4122)</f>
        <v>0</v>
      </c>
      <c r="AY4123" s="12">
        <f t="shared" ref="AY4123" si="1568">SUM(AY3923:AY4122)</f>
        <v>0</v>
      </c>
      <c r="AZ4123" s="12">
        <f t="shared" ref="AZ4123" si="1569">SUM(AZ3923:AZ4122)</f>
        <v>0</v>
      </c>
      <c r="BA4123" s="12">
        <f t="shared" ref="BA4123" si="1570">SUM(BA3923:BA4122)</f>
        <v>0</v>
      </c>
      <c r="BB4123" s="12">
        <f t="shared" ref="BB4123" si="1571">SUM(BB3923:BB4122)</f>
        <v>0</v>
      </c>
      <c r="BC4123" s="12">
        <f t="shared" ref="BC4123" si="1572">SUM(BC3923:BC4122)</f>
        <v>0</v>
      </c>
      <c r="BD4123" s="12">
        <f t="shared" ref="BD4123" si="1573">SUM(BD3923:BD4122)</f>
        <v>0</v>
      </c>
      <c r="BE4123" s="12">
        <f t="shared" ref="BE4123" si="1574">SUM(BE3923:BE4122)</f>
        <v>0</v>
      </c>
      <c r="BF4123" s="12">
        <f t="shared" ref="BF4123" si="1575">SUM(BF3923:BF4122)</f>
        <v>0</v>
      </c>
      <c r="BG4123" s="12">
        <f t="shared" ref="BG4123" si="1576">SUM(BG3923:BG4122)</f>
        <v>1</v>
      </c>
      <c r="BH4123" s="12">
        <f t="shared" ref="BH4123" si="1577">SUM(BH3923:BH4122)</f>
        <v>0</v>
      </c>
      <c r="BI4123" s="12">
        <f t="shared" ref="BI4123" si="1578">SUM(BI3923:BI4122)</f>
        <v>4</v>
      </c>
      <c r="BJ4123" s="12">
        <f t="shared" ref="BJ4123" si="1579">SUM(BJ3923:BJ4122)</f>
        <v>1</v>
      </c>
      <c r="BK4123" s="12">
        <f t="shared" ref="BK4123" si="1580">SUM(BK3923:BK4122)</f>
        <v>0</v>
      </c>
      <c r="BL4123" s="12">
        <f t="shared" ref="BL4123" si="1581">SUM(BL3923:BL4122)</f>
        <v>0</v>
      </c>
      <c r="BM4123" s="12">
        <f t="shared" ref="BM4123" si="1582">SUM(BM3923:BM4122)</f>
        <v>0</v>
      </c>
      <c r="BN4123" s="12">
        <f t="shared" ref="BN4123" si="1583">SUM(BN3923:BN4122)</f>
        <v>0</v>
      </c>
      <c r="BO4123" s="12">
        <f t="shared" ref="BO4123" si="1584">SUM(BO3923:BO4122)</f>
        <v>0</v>
      </c>
      <c r="BP4123" s="12">
        <f t="shared" ref="BP4123" si="1585">SUM(BP3923:BP4122)</f>
        <v>0</v>
      </c>
      <c r="BQ4123" s="12">
        <f t="shared" ref="BQ4123" si="1586">SUM(BQ3923:BQ4122)</f>
        <v>0</v>
      </c>
      <c r="BR4123" s="12">
        <f t="shared" ref="BR4123" si="1587">SUM(BR3923:BR4122)</f>
        <v>0</v>
      </c>
      <c r="BS4123" s="12">
        <f t="shared" ref="BS4123" si="1588">SUM(BS3923:BS4122)</f>
        <v>0</v>
      </c>
      <c r="BT4123" s="12">
        <f t="shared" ref="BT4123" si="1589">SUM(BT3923:BT4122)</f>
        <v>0</v>
      </c>
      <c r="BU4123" s="12">
        <f t="shared" ref="BU4123" si="1590">SUM(BU3923:BU4122)</f>
        <v>0</v>
      </c>
      <c r="BV4123" s="12">
        <f t="shared" ref="BV4123" si="1591">SUM(BV3923:BV4122)</f>
        <v>0</v>
      </c>
      <c r="BW4123" s="12">
        <f t="shared" ref="BW4123" si="1592">SUM(BW3923:BW4122)</f>
        <v>4</v>
      </c>
      <c r="BX4123" s="12">
        <f t="shared" ref="BX4123" si="1593">SUM(BX3923:BX4122)</f>
        <v>3</v>
      </c>
      <c r="BY4123" s="12">
        <f t="shared" ref="BY4123" si="1594">SUM(BY3923:BY4122)</f>
        <v>0</v>
      </c>
      <c r="BZ4123" s="12">
        <f t="shared" ref="BZ4123" si="1595">SUM(BZ3923:BZ4122)</f>
        <v>0</v>
      </c>
      <c r="CA4123" s="12">
        <f t="shared" ref="CA4123" si="1596">SUM(CA3923:CA4122)</f>
        <v>0</v>
      </c>
      <c r="CB4123" s="12">
        <f t="shared" ref="CB4123" si="1597">SUM(CB3923:CB4122)</f>
        <v>0</v>
      </c>
      <c r="CC4123" s="12">
        <f t="shared" ref="CC4123" si="1598">SUM(CC3923:CC4122)</f>
        <v>0</v>
      </c>
      <c r="CD4123" s="12">
        <f t="shared" ref="CD4123" si="1599">SUM(CD3923:CD4122)</f>
        <v>0</v>
      </c>
      <c r="CE4123" s="12">
        <f t="shared" ref="CE4123" si="1600">SUM(CE3923:CE4122)</f>
        <v>0</v>
      </c>
      <c r="CF4123" s="12">
        <f t="shared" ref="CF4123" si="1601">SUM(CF3923:CF4122)</f>
        <v>15</v>
      </c>
      <c r="CG4123" s="12">
        <f t="shared" ref="CG4123" si="1602">SUM(CG3923:CG4122)</f>
        <v>0</v>
      </c>
      <c r="CH4123" s="12">
        <f t="shared" ref="CH4123" si="1603">SUM(CH3923:CH4122)</f>
        <v>0</v>
      </c>
      <c r="CI4123" s="12">
        <f t="shared" ref="CI4123" si="1604">SUM(CI3923:CI4122)</f>
        <v>0</v>
      </c>
      <c r="CJ4123" s="12">
        <f t="shared" ref="CJ4123" si="1605">SUM(CJ3923:CJ4122)</f>
        <v>0</v>
      </c>
      <c r="CK4123" s="12">
        <f t="shared" ref="CK4123" si="1606">SUM(CK3923:CK4122)</f>
        <v>0</v>
      </c>
      <c r="CL4123" s="12">
        <f t="shared" ref="CL4123" si="1607">SUM(CL3923:CL4122)</f>
        <v>0</v>
      </c>
    </row>
    <row r="4124" spans="1:90" x14ac:dyDescent="0.3">
      <c r="A4124" s="1" t="s">
        <v>63</v>
      </c>
      <c r="B4124" s="7">
        <v>40766</v>
      </c>
      <c r="C4124" s="1">
        <v>9</v>
      </c>
      <c r="D4124" s="1">
        <v>303</v>
      </c>
      <c r="E4124" s="1">
        <v>1.5</v>
      </c>
      <c r="F4124" s="1">
        <v>1</v>
      </c>
      <c r="J4124" s="1">
        <v>1</v>
      </c>
    </row>
    <row r="4125" spans="1:90" x14ac:dyDescent="0.3">
      <c r="A4125" s="1" t="s">
        <v>63</v>
      </c>
      <c r="B4125" s="7">
        <v>40766</v>
      </c>
      <c r="C4125" s="1">
        <v>9</v>
      </c>
      <c r="D4125" s="1">
        <v>303</v>
      </c>
      <c r="E4125" s="1">
        <v>1.5</v>
      </c>
      <c r="F4125" s="1">
        <v>2</v>
      </c>
      <c r="J4125" s="1">
        <v>1</v>
      </c>
    </row>
    <row r="4126" spans="1:90" x14ac:dyDescent="0.3">
      <c r="A4126" s="1" t="s">
        <v>63</v>
      </c>
      <c r="B4126" s="7">
        <v>40766</v>
      </c>
      <c r="C4126" s="1">
        <v>9</v>
      </c>
      <c r="D4126" s="1">
        <v>303</v>
      </c>
      <c r="E4126" s="1">
        <v>1.5</v>
      </c>
      <c r="F4126" s="1">
        <v>3</v>
      </c>
      <c r="J4126" s="1">
        <v>1</v>
      </c>
    </row>
    <row r="4127" spans="1:90" x14ac:dyDescent="0.3">
      <c r="A4127" s="1" t="s">
        <v>63</v>
      </c>
      <c r="B4127" s="7">
        <v>40766</v>
      </c>
      <c r="C4127" s="1">
        <v>9</v>
      </c>
      <c r="D4127" s="1">
        <v>303</v>
      </c>
      <c r="E4127" s="1">
        <v>1.5</v>
      </c>
      <c r="F4127" s="1">
        <v>4</v>
      </c>
      <c r="J4127" s="3">
        <v>0</v>
      </c>
      <c r="K4127" s="3">
        <v>1</v>
      </c>
    </row>
    <row r="4128" spans="1:90" x14ac:dyDescent="0.3">
      <c r="A4128" s="1" t="s">
        <v>63</v>
      </c>
      <c r="B4128" s="7">
        <v>40766</v>
      </c>
      <c r="C4128" s="1">
        <v>9</v>
      </c>
      <c r="D4128" s="1">
        <v>303</v>
      </c>
      <c r="E4128" s="1">
        <v>1.5</v>
      </c>
      <c r="F4128" s="1">
        <v>5</v>
      </c>
      <c r="J4128" s="1">
        <v>1</v>
      </c>
    </row>
    <row r="4129" spans="1:35" x14ac:dyDescent="0.3">
      <c r="A4129" s="1" t="s">
        <v>63</v>
      </c>
      <c r="B4129" s="7">
        <v>40766</v>
      </c>
      <c r="C4129" s="1">
        <v>9</v>
      </c>
      <c r="D4129" s="1">
        <v>303</v>
      </c>
      <c r="E4129" s="1">
        <v>1.5</v>
      </c>
      <c r="F4129" s="1">
        <v>6</v>
      </c>
    </row>
    <row r="4130" spans="1:35" x14ac:dyDescent="0.3">
      <c r="A4130" s="1" t="s">
        <v>63</v>
      </c>
      <c r="B4130" s="7">
        <v>40766</v>
      </c>
      <c r="C4130" s="1">
        <v>9</v>
      </c>
      <c r="D4130" s="1">
        <v>303</v>
      </c>
      <c r="E4130" s="1">
        <v>1.5</v>
      </c>
      <c r="F4130" s="1">
        <v>7</v>
      </c>
      <c r="H4130" s="1">
        <v>1</v>
      </c>
    </row>
    <row r="4131" spans="1:35" x14ac:dyDescent="0.3">
      <c r="A4131" s="1" t="s">
        <v>63</v>
      </c>
      <c r="B4131" s="7">
        <v>40766</v>
      </c>
      <c r="C4131" s="1">
        <v>9</v>
      </c>
      <c r="D4131" s="1">
        <v>303</v>
      </c>
      <c r="E4131" s="1">
        <v>1.5</v>
      </c>
      <c r="F4131" s="1">
        <v>8</v>
      </c>
      <c r="J4131" s="1">
        <v>1</v>
      </c>
      <c r="N4131" s="1">
        <v>1</v>
      </c>
    </row>
    <row r="4132" spans="1:35" x14ac:dyDescent="0.3">
      <c r="A4132" s="1" t="s">
        <v>63</v>
      </c>
      <c r="B4132" s="7">
        <v>40766</v>
      </c>
      <c r="C4132" s="1">
        <v>9</v>
      </c>
      <c r="D4132" s="1">
        <v>303</v>
      </c>
      <c r="E4132" s="1">
        <v>1.5</v>
      </c>
      <c r="F4132" s="1">
        <v>9</v>
      </c>
      <c r="J4132" s="1">
        <v>1</v>
      </c>
    </row>
    <row r="4133" spans="1:35" x14ac:dyDescent="0.3">
      <c r="A4133" s="1" t="s">
        <v>63</v>
      </c>
      <c r="B4133" s="7">
        <v>40766</v>
      </c>
      <c r="C4133" s="1">
        <v>9</v>
      </c>
      <c r="D4133" s="1">
        <v>303</v>
      </c>
      <c r="E4133" s="1">
        <v>1.5</v>
      </c>
      <c r="F4133" s="1">
        <v>10</v>
      </c>
      <c r="J4133" s="1">
        <v>1</v>
      </c>
    </row>
    <row r="4134" spans="1:35" x14ac:dyDescent="0.3">
      <c r="A4134" s="1" t="s">
        <v>63</v>
      </c>
      <c r="B4134" s="7">
        <v>40766</v>
      </c>
      <c r="C4134" s="1">
        <v>9</v>
      </c>
      <c r="D4134" s="1">
        <v>303</v>
      </c>
      <c r="E4134" s="1">
        <v>1.5</v>
      </c>
      <c r="F4134" s="1">
        <v>11</v>
      </c>
      <c r="J4134" s="1">
        <v>1</v>
      </c>
    </row>
    <row r="4135" spans="1:35" x14ac:dyDescent="0.3">
      <c r="A4135" s="1" t="s">
        <v>63</v>
      </c>
      <c r="B4135" s="7">
        <v>40766</v>
      </c>
      <c r="C4135" s="1">
        <v>9</v>
      </c>
      <c r="D4135" s="1">
        <v>303</v>
      </c>
      <c r="E4135" s="1">
        <v>1.5</v>
      </c>
      <c r="F4135" s="1">
        <v>12</v>
      </c>
      <c r="J4135" s="1">
        <v>1</v>
      </c>
    </row>
    <row r="4136" spans="1:35" x14ac:dyDescent="0.3">
      <c r="A4136" s="1" t="s">
        <v>63</v>
      </c>
      <c r="B4136" s="7">
        <v>40766</v>
      </c>
      <c r="C4136" s="1">
        <v>9</v>
      </c>
      <c r="D4136" s="1">
        <v>303</v>
      </c>
      <c r="E4136" s="1">
        <v>1.5</v>
      </c>
      <c r="F4136" s="1">
        <v>13</v>
      </c>
      <c r="J4136" s="1">
        <v>1</v>
      </c>
    </row>
    <row r="4137" spans="1:35" x14ac:dyDescent="0.3">
      <c r="A4137" s="1" t="s">
        <v>63</v>
      </c>
      <c r="B4137" s="7">
        <v>40766</v>
      </c>
      <c r="C4137" s="1">
        <v>9</v>
      </c>
      <c r="D4137" s="1">
        <v>303</v>
      </c>
      <c r="E4137" s="1">
        <v>1.5</v>
      </c>
      <c r="F4137" s="1">
        <v>14</v>
      </c>
      <c r="H4137" s="1">
        <v>1</v>
      </c>
      <c r="I4137" s="1">
        <v>1</v>
      </c>
      <c r="AI4137" s="1">
        <v>1</v>
      </c>
    </row>
    <row r="4138" spans="1:35" x14ac:dyDescent="0.3">
      <c r="A4138" s="1" t="s">
        <v>63</v>
      </c>
      <c r="B4138" s="7">
        <v>40766</v>
      </c>
      <c r="C4138" s="1">
        <v>9</v>
      </c>
      <c r="D4138" s="1">
        <v>303</v>
      </c>
      <c r="E4138" s="1">
        <v>1.5</v>
      </c>
      <c r="F4138" s="1">
        <v>15</v>
      </c>
      <c r="J4138" s="1">
        <v>1</v>
      </c>
    </row>
    <row r="4139" spans="1:35" x14ac:dyDescent="0.3">
      <c r="A4139" s="1" t="s">
        <v>63</v>
      </c>
      <c r="B4139" s="7">
        <v>40766</v>
      </c>
      <c r="C4139" s="1">
        <v>9</v>
      </c>
      <c r="D4139" s="1">
        <v>303</v>
      </c>
      <c r="E4139" s="1">
        <v>1.5</v>
      </c>
      <c r="F4139" s="1">
        <v>16</v>
      </c>
      <c r="G4139" s="1">
        <v>1</v>
      </c>
    </row>
    <row r="4140" spans="1:35" x14ac:dyDescent="0.3">
      <c r="A4140" s="1" t="s">
        <v>63</v>
      </c>
      <c r="B4140" s="7">
        <v>40766</v>
      </c>
      <c r="C4140" s="1">
        <v>9</v>
      </c>
      <c r="D4140" s="1">
        <v>303</v>
      </c>
      <c r="E4140" s="1">
        <v>1.5</v>
      </c>
      <c r="F4140" s="1">
        <v>17</v>
      </c>
      <c r="J4140" s="1">
        <v>1</v>
      </c>
    </row>
    <row r="4141" spans="1:35" x14ac:dyDescent="0.3">
      <c r="A4141" s="1" t="s">
        <v>63</v>
      </c>
      <c r="B4141" s="7">
        <v>40766</v>
      </c>
      <c r="C4141" s="1">
        <v>9</v>
      </c>
      <c r="D4141" s="1">
        <v>303</v>
      </c>
      <c r="E4141" s="1">
        <v>1.5</v>
      </c>
      <c r="F4141" s="1">
        <v>18</v>
      </c>
      <c r="J4141" s="1">
        <v>1</v>
      </c>
    </row>
    <row r="4142" spans="1:35" x14ac:dyDescent="0.3">
      <c r="A4142" s="1" t="s">
        <v>63</v>
      </c>
      <c r="B4142" s="7">
        <v>40766</v>
      </c>
      <c r="C4142" s="1">
        <v>9</v>
      </c>
      <c r="D4142" s="1">
        <v>303</v>
      </c>
      <c r="E4142" s="1">
        <v>1.5</v>
      </c>
      <c r="F4142" s="1">
        <v>19</v>
      </c>
      <c r="J4142" s="8">
        <v>1</v>
      </c>
      <c r="K4142" s="8"/>
    </row>
    <row r="4143" spans="1:35" x14ac:dyDescent="0.3">
      <c r="A4143" s="1" t="s">
        <v>63</v>
      </c>
      <c r="B4143" s="7">
        <v>40766</v>
      </c>
      <c r="C4143" s="1">
        <v>9</v>
      </c>
      <c r="D4143" s="1">
        <v>303</v>
      </c>
      <c r="E4143" s="1">
        <v>1.5</v>
      </c>
      <c r="F4143" s="1">
        <v>20</v>
      </c>
      <c r="J4143" s="1">
        <v>1</v>
      </c>
    </row>
    <row r="4144" spans="1:35" x14ac:dyDescent="0.3">
      <c r="A4144" s="1" t="s">
        <v>63</v>
      </c>
      <c r="B4144" s="7">
        <v>40766</v>
      </c>
      <c r="C4144" s="1">
        <v>9</v>
      </c>
      <c r="D4144" s="1">
        <v>303</v>
      </c>
      <c r="E4144" s="1">
        <v>1.5</v>
      </c>
      <c r="F4144" s="1">
        <v>21</v>
      </c>
      <c r="I4144" s="1">
        <v>1</v>
      </c>
    </row>
    <row r="4145" spans="1:30" x14ac:dyDescent="0.3">
      <c r="A4145" s="1" t="s">
        <v>63</v>
      </c>
      <c r="B4145" s="7">
        <v>40766</v>
      </c>
      <c r="C4145" s="1">
        <v>9</v>
      </c>
      <c r="D4145" s="1">
        <v>303</v>
      </c>
      <c r="E4145" s="1">
        <v>1.5</v>
      </c>
      <c r="F4145" s="1">
        <v>22</v>
      </c>
      <c r="J4145" s="3">
        <v>0</v>
      </c>
      <c r="K4145" s="3">
        <v>1</v>
      </c>
    </row>
    <row r="4146" spans="1:30" x14ac:dyDescent="0.3">
      <c r="A4146" s="1" t="s">
        <v>63</v>
      </c>
      <c r="B4146" s="7">
        <v>40766</v>
      </c>
      <c r="C4146" s="1">
        <v>9</v>
      </c>
      <c r="D4146" s="1">
        <v>303</v>
      </c>
      <c r="E4146" s="1">
        <v>1.5</v>
      </c>
      <c r="F4146" s="1">
        <v>23</v>
      </c>
      <c r="J4146" s="1">
        <v>1</v>
      </c>
    </row>
    <row r="4147" spans="1:30" x14ac:dyDescent="0.3">
      <c r="A4147" s="1" t="s">
        <v>63</v>
      </c>
      <c r="B4147" s="7">
        <v>40766</v>
      </c>
      <c r="C4147" s="1">
        <v>9</v>
      </c>
      <c r="D4147" s="1">
        <v>303</v>
      </c>
      <c r="E4147" s="1">
        <v>1.5</v>
      </c>
      <c r="F4147" s="1">
        <v>24</v>
      </c>
      <c r="J4147" s="1">
        <v>1</v>
      </c>
      <c r="AD4147" s="1">
        <v>1</v>
      </c>
    </row>
    <row r="4148" spans="1:30" x14ac:dyDescent="0.3">
      <c r="A4148" s="1" t="s">
        <v>63</v>
      </c>
      <c r="B4148" s="7">
        <v>40766</v>
      </c>
      <c r="C4148" s="1">
        <v>9</v>
      </c>
      <c r="D4148" s="1">
        <v>303</v>
      </c>
      <c r="E4148" s="1">
        <v>1.5</v>
      </c>
      <c r="F4148" s="1">
        <v>25</v>
      </c>
      <c r="J4148" s="1">
        <v>1</v>
      </c>
    </row>
    <row r="4149" spans="1:30" x14ac:dyDescent="0.3">
      <c r="A4149" s="1" t="s">
        <v>63</v>
      </c>
      <c r="B4149" s="7">
        <v>40766</v>
      </c>
      <c r="C4149" s="1">
        <v>9</v>
      </c>
      <c r="D4149" s="1">
        <v>303</v>
      </c>
      <c r="E4149" s="1">
        <v>1.5</v>
      </c>
      <c r="F4149" s="1">
        <v>26</v>
      </c>
      <c r="J4149" s="3">
        <v>0</v>
      </c>
      <c r="K4149" s="3">
        <v>1</v>
      </c>
    </row>
    <row r="4150" spans="1:30" x14ac:dyDescent="0.3">
      <c r="A4150" s="1" t="s">
        <v>63</v>
      </c>
      <c r="B4150" s="7">
        <v>40766</v>
      </c>
      <c r="C4150" s="1">
        <v>9</v>
      </c>
      <c r="D4150" s="1">
        <v>303</v>
      </c>
      <c r="E4150" s="1">
        <v>1.5</v>
      </c>
      <c r="F4150" s="1">
        <v>27</v>
      </c>
      <c r="J4150" s="1">
        <v>1</v>
      </c>
    </row>
    <row r="4151" spans="1:30" x14ac:dyDescent="0.3">
      <c r="A4151" s="1" t="s">
        <v>63</v>
      </c>
      <c r="B4151" s="7">
        <v>40766</v>
      </c>
      <c r="C4151" s="1">
        <v>9</v>
      </c>
      <c r="D4151" s="1">
        <v>303</v>
      </c>
      <c r="E4151" s="1">
        <v>1.5</v>
      </c>
      <c r="F4151" s="1">
        <v>28</v>
      </c>
      <c r="J4151" s="1">
        <v>1</v>
      </c>
    </row>
    <row r="4152" spans="1:30" x14ac:dyDescent="0.3">
      <c r="A4152" s="1" t="s">
        <v>63</v>
      </c>
      <c r="B4152" s="7">
        <v>40766</v>
      </c>
      <c r="C4152" s="1">
        <v>9</v>
      </c>
      <c r="D4152" s="1">
        <v>303</v>
      </c>
      <c r="E4152" s="1">
        <v>1.5</v>
      </c>
      <c r="F4152" s="1">
        <v>29</v>
      </c>
      <c r="I4152" s="1">
        <v>1</v>
      </c>
      <c r="J4152" s="1">
        <v>1</v>
      </c>
    </row>
    <row r="4153" spans="1:30" x14ac:dyDescent="0.3">
      <c r="A4153" s="1" t="s">
        <v>63</v>
      </c>
      <c r="B4153" s="7">
        <v>40766</v>
      </c>
      <c r="C4153" s="1">
        <v>9</v>
      </c>
      <c r="D4153" s="1">
        <v>303</v>
      </c>
      <c r="E4153" s="1">
        <v>1.5</v>
      </c>
      <c r="F4153" s="1">
        <v>30</v>
      </c>
      <c r="J4153" s="3">
        <v>0</v>
      </c>
      <c r="K4153" s="3">
        <v>1</v>
      </c>
    </row>
    <row r="4154" spans="1:30" x14ac:dyDescent="0.3">
      <c r="A4154" s="1" t="s">
        <v>63</v>
      </c>
      <c r="B4154" s="7">
        <v>40766</v>
      </c>
      <c r="C4154" s="1">
        <v>9</v>
      </c>
      <c r="D4154" s="1">
        <v>303</v>
      </c>
      <c r="E4154" s="1">
        <v>1.5</v>
      </c>
      <c r="F4154" s="1">
        <v>31</v>
      </c>
      <c r="I4154" s="1">
        <v>1</v>
      </c>
    </row>
    <row r="4155" spans="1:30" x14ac:dyDescent="0.3">
      <c r="A4155" s="1" t="s">
        <v>63</v>
      </c>
      <c r="B4155" s="7">
        <v>40766</v>
      </c>
      <c r="C4155" s="1">
        <v>9</v>
      </c>
      <c r="D4155" s="1">
        <v>303</v>
      </c>
      <c r="E4155" s="1">
        <v>1.5</v>
      </c>
      <c r="F4155" s="1">
        <v>32</v>
      </c>
      <c r="J4155" s="3">
        <v>0</v>
      </c>
      <c r="K4155" s="3">
        <v>1</v>
      </c>
    </row>
    <row r="4156" spans="1:30" x14ac:dyDescent="0.3">
      <c r="A4156" s="1" t="s">
        <v>63</v>
      </c>
      <c r="B4156" s="7">
        <v>40766</v>
      </c>
      <c r="C4156" s="1">
        <v>9</v>
      </c>
      <c r="D4156" s="1">
        <v>303</v>
      </c>
      <c r="E4156" s="1">
        <v>1.5</v>
      </c>
      <c r="F4156" s="1">
        <v>33</v>
      </c>
      <c r="I4156" s="1">
        <v>1</v>
      </c>
      <c r="J4156" s="1">
        <v>1</v>
      </c>
    </row>
    <row r="4157" spans="1:30" x14ac:dyDescent="0.3">
      <c r="A4157" s="1" t="s">
        <v>63</v>
      </c>
      <c r="B4157" s="7">
        <v>40766</v>
      </c>
      <c r="C4157" s="1">
        <v>9</v>
      </c>
      <c r="D4157" s="1">
        <v>303</v>
      </c>
      <c r="E4157" s="1">
        <v>1.5</v>
      </c>
      <c r="F4157" s="1">
        <v>34</v>
      </c>
      <c r="J4157" s="1">
        <v>1</v>
      </c>
    </row>
    <row r="4158" spans="1:30" x14ac:dyDescent="0.3">
      <c r="A4158" s="1" t="s">
        <v>63</v>
      </c>
      <c r="B4158" s="7">
        <v>40766</v>
      </c>
      <c r="C4158" s="1">
        <v>9</v>
      </c>
      <c r="D4158" s="1">
        <v>303</v>
      </c>
      <c r="E4158" s="1">
        <v>1.5</v>
      </c>
      <c r="F4158" s="1">
        <v>35</v>
      </c>
      <c r="I4158" s="1">
        <v>1</v>
      </c>
    </row>
    <row r="4159" spans="1:30" x14ac:dyDescent="0.3">
      <c r="A4159" s="1" t="s">
        <v>63</v>
      </c>
      <c r="B4159" s="7">
        <v>40766</v>
      </c>
      <c r="C4159" s="1">
        <v>9</v>
      </c>
      <c r="D4159" s="1">
        <v>303</v>
      </c>
      <c r="E4159" s="1">
        <v>1.5</v>
      </c>
      <c r="F4159" s="1">
        <v>36</v>
      </c>
      <c r="J4159" s="1">
        <v>1</v>
      </c>
    </row>
    <row r="4160" spans="1:30" x14ac:dyDescent="0.3">
      <c r="A4160" s="1" t="s">
        <v>63</v>
      </c>
      <c r="B4160" s="7">
        <v>40766</v>
      </c>
      <c r="C4160" s="1">
        <v>9</v>
      </c>
      <c r="D4160" s="1">
        <v>303</v>
      </c>
      <c r="E4160" s="1">
        <v>1.5</v>
      </c>
      <c r="F4160" s="1">
        <v>37</v>
      </c>
      <c r="J4160" s="1">
        <v>1</v>
      </c>
    </row>
    <row r="4161" spans="1:19" x14ac:dyDescent="0.3">
      <c r="A4161" s="1" t="s">
        <v>63</v>
      </c>
      <c r="B4161" s="7">
        <v>40766</v>
      </c>
      <c r="C4161" s="1">
        <v>9</v>
      </c>
      <c r="D4161" s="1">
        <v>303</v>
      </c>
      <c r="E4161" s="1">
        <v>1.5</v>
      </c>
      <c r="F4161" s="1">
        <v>38</v>
      </c>
      <c r="J4161" s="1">
        <v>1</v>
      </c>
    </row>
    <row r="4162" spans="1:19" x14ac:dyDescent="0.3">
      <c r="A4162" s="1" t="s">
        <v>63</v>
      </c>
      <c r="B4162" s="7">
        <v>40766</v>
      </c>
      <c r="C4162" s="1">
        <v>9</v>
      </c>
      <c r="D4162" s="1">
        <v>303</v>
      </c>
      <c r="E4162" s="1">
        <v>1.5</v>
      </c>
      <c r="F4162" s="1">
        <v>39</v>
      </c>
      <c r="J4162" s="1">
        <v>1</v>
      </c>
    </row>
    <row r="4163" spans="1:19" x14ac:dyDescent="0.3">
      <c r="A4163" s="1" t="s">
        <v>63</v>
      </c>
      <c r="B4163" s="7">
        <v>40766</v>
      </c>
      <c r="C4163" s="1">
        <v>9</v>
      </c>
      <c r="D4163" s="1">
        <v>303</v>
      </c>
      <c r="E4163" s="1">
        <v>1.5</v>
      </c>
      <c r="F4163" s="1">
        <v>40</v>
      </c>
      <c r="J4163" s="1">
        <v>1</v>
      </c>
      <c r="R4163" s="3">
        <v>0</v>
      </c>
      <c r="S4163" s="3">
        <v>1</v>
      </c>
    </row>
    <row r="4164" spans="1:19" x14ac:dyDescent="0.3">
      <c r="A4164" s="1" t="s">
        <v>63</v>
      </c>
      <c r="B4164" s="7">
        <v>40766</v>
      </c>
      <c r="C4164" s="1">
        <v>9</v>
      </c>
      <c r="D4164" s="1">
        <v>303</v>
      </c>
      <c r="E4164" s="1">
        <v>1.5</v>
      </c>
      <c r="F4164" s="1">
        <v>41</v>
      </c>
      <c r="I4164" s="1">
        <v>1</v>
      </c>
      <c r="J4164" s="1">
        <v>1</v>
      </c>
    </row>
    <row r="4165" spans="1:19" x14ac:dyDescent="0.3">
      <c r="A4165" s="1" t="s">
        <v>63</v>
      </c>
      <c r="B4165" s="7">
        <v>40766</v>
      </c>
      <c r="C4165" s="1">
        <v>9</v>
      </c>
      <c r="D4165" s="1">
        <v>303</v>
      </c>
      <c r="E4165" s="1">
        <v>1.5</v>
      </c>
      <c r="F4165" s="1">
        <v>42</v>
      </c>
      <c r="J4165" s="1">
        <v>1</v>
      </c>
    </row>
    <row r="4166" spans="1:19" x14ac:dyDescent="0.3">
      <c r="A4166" s="1" t="s">
        <v>63</v>
      </c>
      <c r="B4166" s="7">
        <v>40766</v>
      </c>
      <c r="C4166" s="1">
        <v>9</v>
      </c>
      <c r="D4166" s="1">
        <v>303</v>
      </c>
      <c r="E4166" s="1">
        <v>1.5</v>
      </c>
      <c r="F4166" s="1">
        <v>43</v>
      </c>
      <c r="J4166" s="1">
        <v>1</v>
      </c>
    </row>
    <row r="4167" spans="1:19" x14ac:dyDescent="0.3">
      <c r="A4167" s="1" t="s">
        <v>63</v>
      </c>
      <c r="B4167" s="7">
        <v>40766</v>
      </c>
      <c r="C4167" s="1">
        <v>9</v>
      </c>
      <c r="D4167" s="1">
        <v>303</v>
      </c>
      <c r="E4167" s="1">
        <v>1.5</v>
      </c>
      <c r="F4167" s="1">
        <v>44</v>
      </c>
      <c r="J4167" s="1">
        <v>1</v>
      </c>
    </row>
    <row r="4168" spans="1:19" x14ac:dyDescent="0.3">
      <c r="A4168" s="1" t="s">
        <v>63</v>
      </c>
      <c r="B4168" s="7">
        <v>40766</v>
      </c>
      <c r="C4168" s="1">
        <v>9</v>
      </c>
      <c r="D4168" s="1">
        <v>303</v>
      </c>
      <c r="E4168" s="1">
        <v>1.5</v>
      </c>
      <c r="F4168" s="1">
        <v>45</v>
      </c>
      <c r="J4168" s="3">
        <v>0</v>
      </c>
      <c r="K4168" s="3">
        <v>1</v>
      </c>
    </row>
    <row r="4169" spans="1:19" x14ac:dyDescent="0.3">
      <c r="A4169" s="1" t="s">
        <v>63</v>
      </c>
      <c r="B4169" s="7">
        <v>40766</v>
      </c>
      <c r="C4169" s="1">
        <v>9</v>
      </c>
      <c r="D4169" s="1">
        <v>303</v>
      </c>
      <c r="E4169" s="1">
        <v>1.5</v>
      </c>
      <c r="F4169" s="1">
        <v>46</v>
      </c>
      <c r="J4169" s="1">
        <v>1</v>
      </c>
    </row>
    <row r="4170" spans="1:19" x14ac:dyDescent="0.3">
      <c r="A4170" s="1" t="s">
        <v>63</v>
      </c>
      <c r="B4170" s="7">
        <v>40766</v>
      </c>
      <c r="C4170" s="1">
        <v>9</v>
      </c>
      <c r="D4170" s="1">
        <v>303</v>
      </c>
      <c r="E4170" s="1">
        <v>1.5</v>
      </c>
      <c r="F4170" s="1">
        <v>47</v>
      </c>
      <c r="H4170" s="1">
        <v>1</v>
      </c>
      <c r="I4170" s="1">
        <v>1</v>
      </c>
    </row>
    <row r="4171" spans="1:19" x14ac:dyDescent="0.3">
      <c r="A4171" s="1" t="s">
        <v>63</v>
      </c>
      <c r="B4171" s="7">
        <v>40766</v>
      </c>
      <c r="C4171" s="1">
        <v>9</v>
      </c>
      <c r="D4171" s="1">
        <v>303</v>
      </c>
      <c r="E4171" s="1">
        <v>1.5</v>
      </c>
      <c r="F4171" s="1">
        <v>48</v>
      </c>
      <c r="J4171" s="1">
        <v>1</v>
      </c>
    </row>
    <row r="4172" spans="1:19" x14ac:dyDescent="0.3">
      <c r="A4172" s="1" t="s">
        <v>63</v>
      </c>
      <c r="B4172" s="7">
        <v>40766</v>
      </c>
      <c r="C4172" s="1">
        <v>9</v>
      </c>
      <c r="D4172" s="1">
        <v>303</v>
      </c>
      <c r="E4172" s="1">
        <v>1.5</v>
      </c>
      <c r="F4172" s="1">
        <v>49</v>
      </c>
      <c r="J4172" s="1">
        <v>1</v>
      </c>
    </row>
    <row r="4173" spans="1:19" x14ac:dyDescent="0.3">
      <c r="A4173" s="1" t="s">
        <v>63</v>
      </c>
      <c r="B4173" s="7">
        <v>40766</v>
      </c>
      <c r="C4173" s="1">
        <v>9</v>
      </c>
      <c r="D4173" s="1">
        <v>303</v>
      </c>
      <c r="E4173" s="1">
        <v>1.5</v>
      </c>
      <c r="F4173" s="1">
        <v>50</v>
      </c>
      <c r="J4173" s="3">
        <v>0</v>
      </c>
      <c r="K4173" s="3">
        <v>1</v>
      </c>
      <c r="R4173" s="1">
        <v>1</v>
      </c>
    </row>
    <row r="4174" spans="1:19" x14ac:dyDescent="0.3">
      <c r="A4174" s="1" t="s">
        <v>63</v>
      </c>
      <c r="B4174" s="7">
        <v>40766</v>
      </c>
      <c r="C4174" s="1">
        <v>9</v>
      </c>
      <c r="D4174" s="1">
        <v>303</v>
      </c>
      <c r="E4174" s="1">
        <v>1.5</v>
      </c>
      <c r="F4174" s="1">
        <v>51</v>
      </c>
      <c r="H4174" s="1">
        <v>1</v>
      </c>
      <c r="I4174" s="1">
        <v>1</v>
      </c>
    </row>
    <row r="4175" spans="1:19" x14ac:dyDescent="0.3">
      <c r="A4175" s="1" t="s">
        <v>63</v>
      </c>
      <c r="B4175" s="7">
        <v>40766</v>
      </c>
      <c r="C4175" s="1">
        <v>9</v>
      </c>
      <c r="D4175" s="1">
        <v>303</v>
      </c>
      <c r="E4175" s="1">
        <v>1.5</v>
      </c>
      <c r="F4175" s="1">
        <v>52</v>
      </c>
      <c r="J4175" s="1">
        <v>1</v>
      </c>
    </row>
    <row r="4176" spans="1:19" x14ac:dyDescent="0.3">
      <c r="A4176" s="1" t="s">
        <v>63</v>
      </c>
      <c r="B4176" s="7">
        <v>40766</v>
      </c>
      <c r="C4176" s="1">
        <v>9</v>
      </c>
      <c r="D4176" s="1">
        <v>303</v>
      </c>
      <c r="E4176" s="1">
        <v>1.5</v>
      </c>
      <c r="F4176" s="1">
        <v>53</v>
      </c>
      <c r="J4176" s="1">
        <v>1</v>
      </c>
    </row>
    <row r="4177" spans="1:18" x14ac:dyDescent="0.3">
      <c r="A4177" s="1" t="s">
        <v>63</v>
      </c>
      <c r="B4177" s="7">
        <v>40766</v>
      </c>
      <c r="C4177" s="1">
        <v>9</v>
      </c>
      <c r="D4177" s="1">
        <v>303</v>
      </c>
      <c r="E4177" s="1">
        <v>1.5</v>
      </c>
      <c r="F4177" s="1">
        <v>54</v>
      </c>
      <c r="I4177" s="1">
        <v>1</v>
      </c>
      <c r="J4177" s="1">
        <v>1</v>
      </c>
    </row>
    <row r="4178" spans="1:18" x14ac:dyDescent="0.3">
      <c r="A4178" s="1" t="s">
        <v>63</v>
      </c>
      <c r="B4178" s="7">
        <v>40766</v>
      </c>
      <c r="C4178" s="1">
        <v>9</v>
      </c>
      <c r="D4178" s="1">
        <v>303</v>
      </c>
      <c r="E4178" s="1">
        <v>1.5</v>
      </c>
      <c r="F4178" s="1">
        <v>55</v>
      </c>
      <c r="J4178" s="3">
        <v>0</v>
      </c>
      <c r="K4178" s="3">
        <v>1</v>
      </c>
    </row>
    <row r="4179" spans="1:18" x14ac:dyDescent="0.3">
      <c r="A4179" s="1" t="s">
        <v>63</v>
      </c>
      <c r="B4179" s="7">
        <v>40766</v>
      </c>
      <c r="C4179" s="1">
        <v>9</v>
      </c>
      <c r="D4179" s="1">
        <v>303</v>
      </c>
      <c r="E4179" s="1">
        <v>1.5</v>
      </c>
      <c r="F4179" s="1">
        <v>56</v>
      </c>
      <c r="J4179" s="1">
        <v>1</v>
      </c>
    </row>
    <row r="4180" spans="1:18" x14ac:dyDescent="0.3">
      <c r="A4180" s="1" t="s">
        <v>63</v>
      </c>
      <c r="B4180" s="7">
        <v>40766</v>
      </c>
      <c r="C4180" s="1">
        <v>9</v>
      </c>
      <c r="D4180" s="1">
        <v>303</v>
      </c>
      <c r="E4180" s="1">
        <v>1.5</v>
      </c>
      <c r="F4180" s="1">
        <v>57</v>
      </c>
      <c r="J4180" s="1">
        <v>1</v>
      </c>
    </row>
    <row r="4181" spans="1:18" x14ac:dyDescent="0.3">
      <c r="A4181" s="1" t="s">
        <v>63</v>
      </c>
      <c r="B4181" s="7">
        <v>40766</v>
      </c>
      <c r="C4181" s="1">
        <v>9</v>
      </c>
      <c r="D4181" s="1">
        <v>303</v>
      </c>
      <c r="E4181" s="1">
        <v>1.5</v>
      </c>
      <c r="F4181" s="1">
        <v>58</v>
      </c>
      <c r="I4181" s="1">
        <v>1</v>
      </c>
      <c r="J4181" s="1">
        <v>1</v>
      </c>
    </row>
    <row r="4182" spans="1:18" x14ac:dyDescent="0.3">
      <c r="A4182" s="1" t="s">
        <v>63</v>
      </c>
      <c r="B4182" s="7">
        <v>40766</v>
      </c>
      <c r="C4182" s="1">
        <v>9</v>
      </c>
      <c r="D4182" s="1">
        <v>303</v>
      </c>
      <c r="E4182" s="1">
        <v>1.5</v>
      </c>
      <c r="F4182" s="1">
        <v>59</v>
      </c>
      <c r="J4182" s="1">
        <v>1</v>
      </c>
    </row>
    <row r="4183" spans="1:18" x14ac:dyDescent="0.3">
      <c r="A4183" s="1" t="s">
        <v>63</v>
      </c>
      <c r="B4183" s="7">
        <v>40766</v>
      </c>
      <c r="C4183" s="1">
        <v>9</v>
      </c>
      <c r="D4183" s="1">
        <v>303</v>
      </c>
      <c r="E4183" s="1">
        <v>1.5</v>
      </c>
      <c r="F4183" s="1">
        <v>60</v>
      </c>
      <c r="I4183" s="1">
        <v>1</v>
      </c>
      <c r="R4183" s="1">
        <v>1</v>
      </c>
    </row>
    <row r="4184" spans="1:18" x14ac:dyDescent="0.3">
      <c r="A4184" s="1" t="s">
        <v>63</v>
      </c>
      <c r="B4184" s="7">
        <v>40766</v>
      </c>
      <c r="C4184" s="1">
        <v>9</v>
      </c>
      <c r="D4184" s="1">
        <v>303</v>
      </c>
      <c r="E4184" s="1">
        <v>1.5</v>
      </c>
      <c r="F4184" s="1">
        <v>61</v>
      </c>
      <c r="I4184" s="1">
        <v>1</v>
      </c>
      <c r="J4184" s="1">
        <v>1</v>
      </c>
    </row>
    <row r="4185" spans="1:18" x14ac:dyDescent="0.3">
      <c r="A4185" s="1" t="s">
        <v>63</v>
      </c>
      <c r="B4185" s="7">
        <v>40766</v>
      </c>
      <c r="C4185" s="1">
        <v>9</v>
      </c>
      <c r="D4185" s="1">
        <v>303</v>
      </c>
      <c r="E4185" s="1">
        <v>1.5</v>
      </c>
      <c r="F4185" s="1">
        <v>62</v>
      </c>
      <c r="H4185" s="1">
        <v>1</v>
      </c>
      <c r="I4185" s="1">
        <v>1</v>
      </c>
    </row>
    <row r="4186" spans="1:18" x14ac:dyDescent="0.3">
      <c r="A4186" s="1" t="s">
        <v>63</v>
      </c>
      <c r="B4186" s="7">
        <v>40766</v>
      </c>
      <c r="C4186" s="1">
        <v>9</v>
      </c>
      <c r="D4186" s="1">
        <v>303</v>
      </c>
      <c r="E4186" s="1">
        <v>1.5</v>
      </c>
      <c r="F4186" s="1">
        <v>63</v>
      </c>
      <c r="I4186" s="1">
        <v>1</v>
      </c>
      <c r="J4186" s="1">
        <v>1</v>
      </c>
    </row>
    <row r="4187" spans="1:18" x14ac:dyDescent="0.3">
      <c r="A4187" s="1" t="s">
        <v>63</v>
      </c>
      <c r="B4187" s="7">
        <v>40766</v>
      </c>
      <c r="C4187" s="1">
        <v>9</v>
      </c>
      <c r="D4187" s="1">
        <v>303</v>
      </c>
      <c r="E4187" s="1">
        <v>1.5</v>
      </c>
      <c r="F4187" s="1">
        <v>64</v>
      </c>
      <c r="I4187" s="1">
        <v>1</v>
      </c>
      <c r="J4187" s="3">
        <v>0</v>
      </c>
      <c r="K4187" s="3">
        <v>1</v>
      </c>
    </row>
    <row r="4188" spans="1:18" x14ac:dyDescent="0.3">
      <c r="A4188" s="1" t="s">
        <v>63</v>
      </c>
      <c r="B4188" s="7">
        <v>40766</v>
      </c>
      <c r="C4188" s="1">
        <v>9</v>
      </c>
      <c r="D4188" s="1">
        <v>303</v>
      </c>
      <c r="E4188" s="1">
        <v>1.5</v>
      </c>
      <c r="F4188" s="1">
        <v>65</v>
      </c>
      <c r="J4188" s="1">
        <v>1</v>
      </c>
    </row>
    <row r="4189" spans="1:18" x14ac:dyDescent="0.3">
      <c r="A4189" s="1" t="s">
        <v>63</v>
      </c>
      <c r="B4189" s="7">
        <v>40766</v>
      </c>
      <c r="C4189" s="1">
        <v>9</v>
      </c>
      <c r="D4189" s="1">
        <v>303</v>
      </c>
      <c r="E4189" s="1">
        <v>1.5</v>
      </c>
      <c r="F4189" s="1">
        <v>66</v>
      </c>
      <c r="J4189" s="1">
        <v>1</v>
      </c>
    </row>
    <row r="4190" spans="1:18" x14ac:dyDescent="0.3">
      <c r="A4190" s="1" t="s">
        <v>63</v>
      </c>
      <c r="B4190" s="7">
        <v>40766</v>
      </c>
      <c r="C4190" s="1">
        <v>9</v>
      </c>
      <c r="D4190" s="1">
        <v>303</v>
      </c>
      <c r="E4190" s="1">
        <v>1.5</v>
      </c>
      <c r="F4190" s="1">
        <v>67</v>
      </c>
      <c r="J4190" s="3">
        <v>0</v>
      </c>
      <c r="K4190" s="3">
        <v>1</v>
      </c>
    </row>
    <row r="4191" spans="1:18" x14ac:dyDescent="0.3">
      <c r="A4191" s="1" t="s">
        <v>63</v>
      </c>
      <c r="B4191" s="7">
        <v>40766</v>
      </c>
      <c r="C4191" s="1">
        <v>9</v>
      </c>
      <c r="D4191" s="1">
        <v>303</v>
      </c>
      <c r="E4191" s="1">
        <v>1.5</v>
      </c>
      <c r="F4191" s="1">
        <v>68</v>
      </c>
      <c r="J4191" s="3">
        <v>0</v>
      </c>
      <c r="K4191" s="3">
        <v>1</v>
      </c>
    </row>
    <row r="4192" spans="1:18" x14ac:dyDescent="0.3">
      <c r="A4192" s="1" t="s">
        <v>63</v>
      </c>
      <c r="B4192" s="7">
        <v>40766</v>
      </c>
      <c r="C4192" s="1">
        <v>9</v>
      </c>
      <c r="D4192" s="1">
        <v>303</v>
      </c>
      <c r="E4192" s="1">
        <v>1.5</v>
      </c>
      <c r="F4192" s="1">
        <v>69</v>
      </c>
      <c r="I4192" s="1">
        <v>1</v>
      </c>
      <c r="R4192" s="1">
        <v>1</v>
      </c>
    </row>
    <row r="4193" spans="1:18" x14ac:dyDescent="0.3">
      <c r="A4193" s="1" t="s">
        <v>63</v>
      </c>
      <c r="B4193" s="7">
        <v>40766</v>
      </c>
      <c r="C4193" s="1">
        <v>9</v>
      </c>
      <c r="D4193" s="1">
        <v>303</v>
      </c>
      <c r="E4193" s="1">
        <v>1.5</v>
      </c>
      <c r="F4193" s="1">
        <v>70</v>
      </c>
      <c r="J4193" s="1">
        <v>1</v>
      </c>
    </row>
    <row r="4194" spans="1:18" x14ac:dyDescent="0.3">
      <c r="A4194" s="1" t="s">
        <v>63</v>
      </c>
      <c r="B4194" s="7">
        <v>40766</v>
      </c>
      <c r="C4194" s="1">
        <v>9</v>
      </c>
      <c r="D4194" s="1">
        <v>303</v>
      </c>
      <c r="E4194" s="1">
        <v>1.5</v>
      </c>
      <c r="F4194" s="1">
        <v>71</v>
      </c>
      <c r="J4194" s="1">
        <v>1</v>
      </c>
    </row>
    <row r="4195" spans="1:18" x14ac:dyDescent="0.3">
      <c r="A4195" s="1" t="s">
        <v>63</v>
      </c>
      <c r="B4195" s="7">
        <v>40766</v>
      </c>
      <c r="C4195" s="1">
        <v>9</v>
      </c>
      <c r="D4195" s="1">
        <v>303</v>
      </c>
      <c r="E4195" s="1">
        <v>1.5</v>
      </c>
      <c r="F4195" s="1">
        <v>72</v>
      </c>
      <c r="J4195" s="1">
        <v>1</v>
      </c>
    </row>
    <row r="4196" spans="1:18" x14ac:dyDescent="0.3">
      <c r="A4196" s="1" t="s">
        <v>63</v>
      </c>
      <c r="B4196" s="7">
        <v>40766</v>
      </c>
      <c r="C4196" s="1">
        <v>9</v>
      </c>
      <c r="D4196" s="1">
        <v>303</v>
      </c>
      <c r="E4196" s="1">
        <v>1.5</v>
      </c>
      <c r="F4196" s="1">
        <v>73</v>
      </c>
      <c r="I4196" s="1">
        <v>1</v>
      </c>
      <c r="J4196" s="1">
        <v>1</v>
      </c>
    </row>
    <row r="4197" spans="1:18" x14ac:dyDescent="0.3">
      <c r="A4197" s="1" t="s">
        <v>63</v>
      </c>
      <c r="B4197" s="7">
        <v>40766</v>
      </c>
      <c r="C4197" s="1">
        <v>9</v>
      </c>
      <c r="D4197" s="1">
        <v>303</v>
      </c>
      <c r="E4197" s="1">
        <v>1.5</v>
      </c>
      <c r="F4197" s="1">
        <v>74</v>
      </c>
      <c r="I4197" s="1">
        <v>1</v>
      </c>
    </row>
    <row r="4198" spans="1:18" x14ac:dyDescent="0.3">
      <c r="A4198" s="1" t="s">
        <v>63</v>
      </c>
      <c r="B4198" s="7">
        <v>40766</v>
      </c>
      <c r="C4198" s="1">
        <v>9</v>
      </c>
      <c r="D4198" s="1">
        <v>303</v>
      </c>
      <c r="E4198" s="1">
        <v>1.5</v>
      </c>
      <c r="F4198" s="1">
        <v>75</v>
      </c>
      <c r="G4198" s="1">
        <v>1</v>
      </c>
      <c r="J4198" s="1">
        <v>1</v>
      </c>
    </row>
    <row r="4199" spans="1:18" x14ac:dyDescent="0.3">
      <c r="A4199" s="1" t="s">
        <v>63</v>
      </c>
      <c r="B4199" s="7">
        <v>40766</v>
      </c>
      <c r="C4199" s="1">
        <v>9</v>
      </c>
      <c r="D4199" s="1">
        <v>303</v>
      </c>
      <c r="E4199" s="1">
        <v>1.5</v>
      </c>
      <c r="F4199" s="1">
        <v>76</v>
      </c>
      <c r="J4199" s="1">
        <v>1</v>
      </c>
    </row>
    <row r="4200" spans="1:18" x14ac:dyDescent="0.3">
      <c r="A4200" s="1" t="s">
        <v>63</v>
      </c>
      <c r="B4200" s="7">
        <v>40766</v>
      </c>
      <c r="C4200" s="1">
        <v>9</v>
      </c>
      <c r="D4200" s="1">
        <v>303</v>
      </c>
      <c r="E4200" s="1">
        <v>1.5</v>
      </c>
      <c r="F4200" s="1">
        <v>77</v>
      </c>
      <c r="J4200" s="1">
        <v>1</v>
      </c>
    </row>
    <row r="4201" spans="1:18" x14ac:dyDescent="0.3">
      <c r="A4201" s="1" t="s">
        <v>63</v>
      </c>
      <c r="B4201" s="7">
        <v>40766</v>
      </c>
      <c r="C4201" s="1">
        <v>9</v>
      </c>
      <c r="D4201" s="1">
        <v>303</v>
      </c>
      <c r="E4201" s="1">
        <v>1.5</v>
      </c>
      <c r="F4201" s="1">
        <v>78</v>
      </c>
      <c r="J4201" s="1">
        <v>1</v>
      </c>
      <c r="N4201" s="1">
        <v>1</v>
      </c>
    </row>
    <row r="4202" spans="1:18" x14ac:dyDescent="0.3">
      <c r="A4202" s="1" t="s">
        <v>63</v>
      </c>
      <c r="B4202" s="7">
        <v>40766</v>
      </c>
      <c r="C4202" s="1">
        <v>9</v>
      </c>
      <c r="D4202" s="1">
        <v>303</v>
      </c>
      <c r="E4202" s="1">
        <v>1.5</v>
      </c>
      <c r="F4202" s="1">
        <v>79</v>
      </c>
      <c r="H4202" s="1">
        <v>1</v>
      </c>
      <c r="J4202" s="1">
        <v>1</v>
      </c>
    </row>
    <row r="4203" spans="1:18" x14ac:dyDescent="0.3">
      <c r="A4203" s="1" t="s">
        <v>63</v>
      </c>
      <c r="B4203" s="7">
        <v>40766</v>
      </c>
      <c r="C4203" s="1">
        <v>9</v>
      </c>
      <c r="D4203" s="1">
        <v>303</v>
      </c>
      <c r="E4203" s="1">
        <v>1.5</v>
      </c>
      <c r="F4203" s="1">
        <v>80</v>
      </c>
      <c r="J4203" s="1">
        <v>1</v>
      </c>
      <c r="R4203" s="1">
        <v>1</v>
      </c>
    </row>
    <row r="4204" spans="1:18" x14ac:dyDescent="0.3">
      <c r="A4204" s="1" t="s">
        <v>63</v>
      </c>
      <c r="B4204" s="7">
        <v>40766</v>
      </c>
      <c r="C4204" s="1">
        <v>9</v>
      </c>
      <c r="D4204" s="1">
        <v>303</v>
      </c>
      <c r="E4204" s="1">
        <v>1.5</v>
      </c>
      <c r="F4204" s="1">
        <v>81</v>
      </c>
      <c r="G4204" s="1">
        <v>1</v>
      </c>
      <c r="I4204" s="1">
        <v>1</v>
      </c>
    </row>
    <row r="4205" spans="1:18" x14ac:dyDescent="0.3">
      <c r="A4205" s="1" t="s">
        <v>63</v>
      </c>
      <c r="B4205" s="7">
        <v>40766</v>
      </c>
      <c r="C4205" s="1">
        <v>9</v>
      </c>
      <c r="D4205" s="1">
        <v>303</v>
      </c>
      <c r="E4205" s="1">
        <v>1.5</v>
      </c>
      <c r="F4205" s="1">
        <v>82</v>
      </c>
      <c r="I4205" s="1">
        <v>1</v>
      </c>
    </row>
    <row r="4206" spans="1:18" x14ac:dyDescent="0.3">
      <c r="A4206" s="1" t="s">
        <v>63</v>
      </c>
      <c r="B4206" s="7">
        <v>40766</v>
      </c>
      <c r="C4206" s="1">
        <v>9</v>
      </c>
      <c r="D4206" s="1">
        <v>303</v>
      </c>
      <c r="E4206" s="1">
        <v>1.5</v>
      </c>
      <c r="F4206" s="1">
        <v>83</v>
      </c>
      <c r="R4206" s="1">
        <v>1</v>
      </c>
    </row>
    <row r="4207" spans="1:18" x14ac:dyDescent="0.3">
      <c r="A4207" s="1" t="s">
        <v>63</v>
      </c>
      <c r="B4207" s="7">
        <v>40766</v>
      </c>
      <c r="C4207" s="1">
        <v>9</v>
      </c>
      <c r="D4207" s="1">
        <v>303</v>
      </c>
      <c r="E4207" s="1">
        <v>1.5</v>
      </c>
      <c r="F4207" s="1">
        <v>84</v>
      </c>
      <c r="I4207" s="1">
        <v>1</v>
      </c>
      <c r="J4207" s="1">
        <v>1</v>
      </c>
    </row>
    <row r="4208" spans="1:18" x14ac:dyDescent="0.3">
      <c r="A4208" s="1" t="s">
        <v>63</v>
      </c>
      <c r="B4208" s="7">
        <v>40766</v>
      </c>
      <c r="C4208" s="1">
        <v>9</v>
      </c>
      <c r="D4208" s="1">
        <v>303</v>
      </c>
      <c r="E4208" s="1">
        <v>1.5</v>
      </c>
      <c r="F4208" s="1">
        <v>85</v>
      </c>
      <c r="J4208" s="1">
        <v>1</v>
      </c>
      <c r="N4208" s="1">
        <v>1</v>
      </c>
    </row>
    <row r="4209" spans="1:30" x14ac:dyDescent="0.3">
      <c r="A4209" s="1" t="s">
        <v>63</v>
      </c>
      <c r="B4209" s="7">
        <v>40766</v>
      </c>
      <c r="C4209" s="1">
        <v>9</v>
      </c>
      <c r="D4209" s="1">
        <v>303</v>
      </c>
      <c r="E4209" s="1">
        <v>1.5</v>
      </c>
      <c r="F4209" s="1">
        <v>86</v>
      </c>
      <c r="H4209" s="1">
        <v>1</v>
      </c>
      <c r="J4209" s="1">
        <v>1</v>
      </c>
    </row>
    <row r="4210" spans="1:30" x14ac:dyDescent="0.3">
      <c r="A4210" s="1" t="s">
        <v>63</v>
      </c>
      <c r="B4210" s="7">
        <v>40766</v>
      </c>
      <c r="C4210" s="1">
        <v>9</v>
      </c>
      <c r="D4210" s="1">
        <v>303</v>
      </c>
      <c r="E4210" s="1">
        <v>1.5</v>
      </c>
      <c r="F4210" s="1">
        <v>87</v>
      </c>
      <c r="J4210" s="1">
        <v>1</v>
      </c>
      <c r="L4210" s="1">
        <v>1</v>
      </c>
      <c r="AD4210" s="1">
        <v>1</v>
      </c>
    </row>
    <row r="4211" spans="1:30" x14ac:dyDescent="0.3">
      <c r="A4211" s="1" t="s">
        <v>63</v>
      </c>
      <c r="B4211" s="7">
        <v>40766</v>
      </c>
      <c r="C4211" s="1">
        <v>9</v>
      </c>
      <c r="D4211" s="1">
        <v>303</v>
      </c>
      <c r="E4211" s="1">
        <v>1.5</v>
      </c>
      <c r="F4211" s="1">
        <v>88</v>
      </c>
      <c r="J4211" s="1">
        <v>1</v>
      </c>
      <c r="N4211" s="1">
        <v>1</v>
      </c>
      <c r="R4211" s="1">
        <v>1</v>
      </c>
    </row>
    <row r="4212" spans="1:30" x14ac:dyDescent="0.3">
      <c r="A4212" s="1" t="s">
        <v>63</v>
      </c>
      <c r="B4212" s="7">
        <v>40766</v>
      </c>
      <c r="C4212" s="1">
        <v>9</v>
      </c>
      <c r="D4212" s="1">
        <v>303</v>
      </c>
      <c r="E4212" s="1">
        <v>1.5</v>
      </c>
      <c r="F4212" s="1">
        <v>89</v>
      </c>
      <c r="I4212" s="1">
        <v>1</v>
      </c>
      <c r="J4212" s="1">
        <v>1</v>
      </c>
    </row>
    <row r="4213" spans="1:30" x14ac:dyDescent="0.3">
      <c r="A4213" s="1" t="s">
        <v>63</v>
      </c>
      <c r="B4213" s="7">
        <v>40766</v>
      </c>
      <c r="C4213" s="1">
        <v>9</v>
      </c>
      <c r="D4213" s="1">
        <v>303</v>
      </c>
      <c r="E4213" s="1">
        <v>1.5</v>
      </c>
      <c r="F4213" s="1">
        <v>90</v>
      </c>
      <c r="J4213" s="1">
        <v>1</v>
      </c>
    </row>
    <row r="4214" spans="1:30" x14ac:dyDescent="0.3">
      <c r="A4214" s="1" t="s">
        <v>63</v>
      </c>
      <c r="B4214" s="7">
        <v>40766</v>
      </c>
      <c r="C4214" s="1">
        <v>9</v>
      </c>
      <c r="D4214" s="1">
        <v>303</v>
      </c>
      <c r="E4214" s="1">
        <v>1.5</v>
      </c>
      <c r="F4214" s="1">
        <v>91</v>
      </c>
      <c r="I4214" s="1">
        <v>1</v>
      </c>
    </row>
    <row r="4215" spans="1:30" x14ac:dyDescent="0.3">
      <c r="A4215" s="1" t="s">
        <v>63</v>
      </c>
      <c r="B4215" s="7">
        <v>40766</v>
      </c>
      <c r="C4215" s="1">
        <v>9</v>
      </c>
      <c r="D4215" s="1">
        <v>303</v>
      </c>
      <c r="E4215" s="1">
        <v>1.5</v>
      </c>
      <c r="F4215" s="1">
        <v>92</v>
      </c>
      <c r="I4215" s="1">
        <v>1</v>
      </c>
    </row>
    <row r="4216" spans="1:30" x14ac:dyDescent="0.3">
      <c r="A4216" s="1" t="s">
        <v>63</v>
      </c>
      <c r="B4216" s="7">
        <v>40766</v>
      </c>
      <c r="C4216" s="1">
        <v>9</v>
      </c>
      <c r="D4216" s="1">
        <v>303</v>
      </c>
      <c r="E4216" s="1">
        <v>1.5</v>
      </c>
      <c r="F4216" s="1">
        <v>93</v>
      </c>
      <c r="I4216" s="1">
        <v>1</v>
      </c>
      <c r="J4216" s="1">
        <v>1</v>
      </c>
    </row>
    <row r="4217" spans="1:30" x14ac:dyDescent="0.3">
      <c r="A4217" s="1" t="s">
        <v>63</v>
      </c>
      <c r="B4217" s="7">
        <v>40766</v>
      </c>
      <c r="C4217" s="1">
        <v>9</v>
      </c>
      <c r="D4217" s="1">
        <v>303</v>
      </c>
      <c r="E4217" s="1">
        <v>1.5</v>
      </c>
      <c r="F4217" s="1">
        <v>94</v>
      </c>
      <c r="I4217" s="1">
        <v>1</v>
      </c>
      <c r="J4217" s="1">
        <v>1</v>
      </c>
    </row>
    <row r="4218" spans="1:30" x14ac:dyDescent="0.3">
      <c r="A4218" s="1" t="s">
        <v>63</v>
      </c>
      <c r="B4218" s="7">
        <v>40766</v>
      </c>
      <c r="C4218" s="1">
        <v>9</v>
      </c>
      <c r="D4218" s="1">
        <v>303</v>
      </c>
      <c r="E4218" s="1">
        <v>1.5</v>
      </c>
      <c r="F4218" s="1">
        <v>95</v>
      </c>
      <c r="I4218" s="1">
        <v>1</v>
      </c>
      <c r="J4218" s="1">
        <v>1</v>
      </c>
    </row>
    <row r="4219" spans="1:30" x14ac:dyDescent="0.3">
      <c r="A4219" s="1" t="s">
        <v>63</v>
      </c>
      <c r="B4219" s="7">
        <v>40766</v>
      </c>
      <c r="C4219" s="1">
        <v>9</v>
      </c>
      <c r="D4219" s="1">
        <v>303</v>
      </c>
      <c r="E4219" s="1">
        <v>1.5</v>
      </c>
      <c r="F4219" s="1">
        <v>96</v>
      </c>
      <c r="J4219" s="1">
        <v>1</v>
      </c>
    </row>
    <row r="4220" spans="1:30" x14ac:dyDescent="0.3">
      <c r="A4220" s="1" t="s">
        <v>63</v>
      </c>
      <c r="B4220" s="7">
        <v>40766</v>
      </c>
      <c r="C4220" s="1">
        <v>9</v>
      </c>
      <c r="D4220" s="1">
        <v>303</v>
      </c>
      <c r="E4220" s="1">
        <v>1.5</v>
      </c>
      <c r="F4220" s="1">
        <v>97</v>
      </c>
      <c r="AD4220" s="1">
        <v>1</v>
      </c>
    </row>
    <row r="4221" spans="1:30" x14ac:dyDescent="0.3">
      <c r="A4221" s="1" t="s">
        <v>63</v>
      </c>
      <c r="B4221" s="7">
        <v>40766</v>
      </c>
      <c r="C4221" s="1">
        <v>9</v>
      </c>
      <c r="D4221" s="1">
        <v>303</v>
      </c>
      <c r="E4221" s="1">
        <v>1.5</v>
      </c>
      <c r="F4221" s="1">
        <v>98</v>
      </c>
      <c r="J4221" s="1">
        <v>1</v>
      </c>
    </row>
    <row r="4222" spans="1:30" x14ac:dyDescent="0.3">
      <c r="A4222" s="1" t="s">
        <v>63</v>
      </c>
      <c r="B4222" s="7">
        <v>40766</v>
      </c>
      <c r="C4222" s="1">
        <v>9</v>
      </c>
      <c r="D4222" s="1">
        <v>303</v>
      </c>
      <c r="E4222" s="1">
        <v>1.5</v>
      </c>
      <c r="F4222" s="1">
        <v>99</v>
      </c>
      <c r="H4222" s="1">
        <v>1</v>
      </c>
      <c r="I4222" s="1">
        <v>1</v>
      </c>
    </row>
    <row r="4223" spans="1:30" x14ac:dyDescent="0.3">
      <c r="A4223" s="1" t="s">
        <v>63</v>
      </c>
      <c r="B4223" s="7">
        <v>40766</v>
      </c>
      <c r="C4223" s="1">
        <v>9</v>
      </c>
      <c r="D4223" s="1">
        <v>303</v>
      </c>
      <c r="E4223" s="1">
        <v>1.5</v>
      </c>
      <c r="F4223" s="1">
        <v>100</v>
      </c>
      <c r="J4223" s="1">
        <v>1</v>
      </c>
    </row>
    <row r="4224" spans="1:30" x14ac:dyDescent="0.3">
      <c r="A4224" s="1" t="s">
        <v>63</v>
      </c>
      <c r="B4224" s="7">
        <v>40766</v>
      </c>
      <c r="C4224" s="1">
        <v>16.5</v>
      </c>
      <c r="D4224" s="1">
        <v>348</v>
      </c>
      <c r="E4224" s="1">
        <v>1</v>
      </c>
      <c r="F4224" s="1">
        <v>1</v>
      </c>
      <c r="R4224" s="1">
        <v>1</v>
      </c>
    </row>
    <row r="4225" spans="1:37" x14ac:dyDescent="0.3">
      <c r="A4225" s="1" t="s">
        <v>63</v>
      </c>
      <c r="B4225" s="7">
        <v>40766</v>
      </c>
      <c r="C4225" s="1">
        <v>16.5</v>
      </c>
      <c r="D4225" s="1">
        <v>348</v>
      </c>
      <c r="E4225" s="1">
        <v>1</v>
      </c>
      <c r="F4225" s="1">
        <v>2</v>
      </c>
      <c r="I4225" s="1">
        <v>1</v>
      </c>
    </row>
    <row r="4226" spans="1:37" x14ac:dyDescent="0.3">
      <c r="A4226" s="1" t="s">
        <v>63</v>
      </c>
      <c r="B4226" s="7">
        <v>40766</v>
      </c>
      <c r="C4226" s="1">
        <v>16.5</v>
      </c>
      <c r="D4226" s="1">
        <v>348</v>
      </c>
      <c r="E4226" s="1">
        <v>1</v>
      </c>
      <c r="F4226" s="1">
        <v>3</v>
      </c>
      <c r="I4226" s="1">
        <v>1</v>
      </c>
    </row>
    <row r="4227" spans="1:37" x14ac:dyDescent="0.3">
      <c r="A4227" s="1" t="s">
        <v>63</v>
      </c>
      <c r="B4227" s="7">
        <v>40766</v>
      </c>
      <c r="C4227" s="1">
        <v>16.5</v>
      </c>
      <c r="D4227" s="1">
        <v>348</v>
      </c>
      <c r="E4227" s="1">
        <v>1</v>
      </c>
      <c r="F4227" s="1">
        <v>4</v>
      </c>
      <c r="L4227" s="1">
        <v>1</v>
      </c>
    </row>
    <row r="4228" spans="1:37" x14ac:dyDescent="0.3">
      <c r="A4228" s="1" t="s">
        <v>63</v>
      </c>
      <c r="B4228" s="7">
        <v>40766</v>
      </c>
      <c r="C4228" s="1">
        <v>16.5</v>
      </c>
      <c r="D4228" s="1">
        <v>348</v>
      </c>
      <c r="E4228" s="1">
        <v>1</v>
      </c>
      <c r="F4228" s="1">
        <v>5</v>
      </c>
      <c r="H4228" s="1">
        <v>1</v>
      </c>
      <c r="I4228" s="1">
        <v>1</v>
      </c>
    </row>
    <row r="4229" spans="1:37" x14ac:dyDescent="0.3">
      <c r="A4229" s="1" t="s">
        <v>63</v>
      </c>
      <c r="B4229" s="7">
        <v>40766</v>
      </c>
      <c r="C4229" s="1">
        <v>16.5</v>
      </c>
      <c r="D4229" s="1">
        <v>348</v>
      </c>
      <c r="E4229" s="1">
        <v>1</v>
      </c>
      <c r="F4229" s="1">
        <v>6</v>
      </c>
      <c r="R4229" s="1">
        <v>1</v>
      </c>
      <c r="AD4229" s="1">
        <v>1</v>
      </c>
    </row>
    <row r="4230" spans="1:37" x14ac:dyDescent="0.3">
      <c r="A4230" s="1" t="s">
        <v>63</v>
      </c>
      <c r="B4230" s="7">
        <v>40766</v>
      </c>
      <c r="C4230" s="1">
        <v>16.5</v>
      </c>
      <c r="D4230" s="1">
        <v>348</v>
      </c>
      <c r="E4230" s="1">
        <v>1</v>
      </c>
      <c r="F4230" s="1">
        <v>7</v>
      </c>
      <c r="R4230" s="3">
        <v>0</v>
      </c>
      <c r="S4230" s="3">
        <v>1</v>
      </c>
    </row>
    <row r="4231" spans="1:37" x14ac:dyDescent="0.3">
      <c r="A4231" s="1" t="s">
        <v>63</v>
      </c>
      <c r="B4231" s="7">
        <v>40766</v>
      </c>
      <c r="C4231" s="1">
        <v>16.5</v>
      </c>
      <c r="D4231" s="1">
        <v>348</v>
      </c>
      <c r="E4231" s="1">
        <v>1</v>
      </c>
      <c r="F4231" s="1">
        <v>8</v>
      </c>
      <c r="R4231" s="3">
        <v>0</v>
      </c>
      <c r="S4231" s="3">
        <v>1</v>
      </c>
      <c r="AD4231" s="1">
        <v>1</v>
      </c>
    </row>
    <row r="4232" spans="1:37" x14ac:dyDescent="0.3">
      <c r="A4232" s="1" t="s">
        <v>63</v>
      </c>
      <c r="B4232" s="7">
        <v>40766</v>
      </c>
      <c r="C4232" s="1">
        <v>16.5</v>
      </c>
      <c r="D4232" s="1">
        <v>348</v>
      </c>
      <c r="E4232" s="1">
        <v>1</v>
      </c>
      <c r="F4232" s="1">
        <v>9</v>
      </c>
      <c r="AD4232" s="1">
        <v>1</v>
      </c>
    </row>
    <row r="4233" spans="1:37" x14ac:dyDescent="0.3">
      <c r="A4233" s="1" t="s">
        <v>63</v>
      </c>
      <c r="B4233" s="7">
        <v>40766</v>
      </c>
      <c r="C4233" s="1">
        <v>16.5</v>
      </c>
      <c r="D4233" s="1">
        <v>348</v>
      </c>
      <c r="E4233" s="1">
        <v>1</v>
      </c>
      <c r="F4233" s="1">
        <v>10</v>
      </c>
      <c r="R4233" s="3">
        <v>0</v>
      </c>
      <c r="S4233" s="3">
        <v>1</v>
      </c>
    </row>
    <row r="4234" spans="1:37" x14ac:dyDescent="0.3">
      <c r="A4234" s="1" t="s">
        <v>63</v>
      </c>
      <c r="B4234" s="7">
        <v>40766</v>
      </c>
      <c r="C4234" s="1">
        <v>16.5</v>
      </c>
      <c r="D4234" s="1">
        <v>348</v>
      </c>
      <c r="E4234" s="1">
        <v>1</v>
      </c>
      <c r="F4234" s="1">
        <v>11</v>
      </c>
      <c r="AD4234" s="1">
        <v>1</v>
      </c>
    </row>
    <row r="4235" spans="1:37" x14ac:dyDescent="0.3">
      <c r="A4235" s="1" t="s">
        <v>63</v>
      </c>
      <c r="B4235" s="7">
        <v>40766</v>
      </c>
      <c r="C4235" s="1">
        <v>16.5</v>
      </c>
      <c r="D4235" s="1">
        <v>348</v>
      </c>
      <c r="E4235" s="1">
        <v>1</v>
      </c>
      <c r="F4235" s="1">
        <v>12</v>
      </c>
      <c r="H4235" s="1">
        <v>1</v>
      </c>
      <c r="I4235" s="1">
        <v>1</v>
      </c>
    </row>
    <row r="4236" spans="1:37" x14ac:dyDescent="0.3">
      <c r="A4236" s="1" t="s">
        <v>63</v>
      </c>
      <c r="B4236" s="7">
        <v>40766</v>
      </c>
      <c r="C4236" s="1">
        <v>16.5</v>
      </c>
      <c r="D4236" s="1">
        <v>348</v>
      </c>
      <c r="E4236" s="1">
        <v>1</v>
      </c>
      <c r="F4236" s="1">
        <v>13</v>
      </c>
      <c r="R4236" s="1">
        <v>1</v>
      </c>
    </row>
    <row r="4237" spans="1:37" x14ac:dyDescent="0.3">
      <c r="A4237" s="1" t="s">
        <v>63</v>
      </c>
      <c r="B4237" s="7">
        <v>40766</v>
      </c>
      <c r="C4237" s="1">
        <v>16.5</v>
      </c>
      <c r="D4237" s="1">
        <v>348</v>
      </c>
      <c r="E4237" s="1">
        <v>1</v>
      </c>
      <c r="F4237" s="1">
        <v>14</v>
      </c>
      <c r="R4237" s="3">
        <v>0</v>
      </c>
      <c r="S4237" s="3">
        <v>1</v>
      </c>
    </row>
    <row r="4238" spans="1:37" x14ac:dyDescent="0.3">
      <c r="A4238" s="1" t="s">
        <v>63</v>
      </c>
      <c r="B4238" s="7">
        <v>40766</v>
      </c>
      <c r="C4238" s="1">
        <v>16.5</v>
      </c>
      <c r="D4238" s="1">
        <v>348</v>
      </c>
      <c r="E4238" s="1">
        <v>1</v>
      </c>
      <c r="F4238" s="1">
        <v>15</v>
      </c>
      <c r="H4238" s="1">
        <v>1</v>
      </c>
    </row>
    <row r="4239" spans="1:37" x14ac:dyDescent="0.3">
      <c r="A4239" s="1" t="s">
        <v>63</v>
      </c>
      <c r="B4239" s="7">
        <v>40766</v>
      </c>
      <c r="C4239" s="1">
        <v>16.5</v>
      </c>
      <c r="D4239" s="1">
        <v>348</v>
      </c>
      <c r="E4239" s="1">
        <v>1</v>
      </c>
      <c r="F4239" s="1">
        <v>16</v>
      </c>
      <c r="AK4239" s="1">
        <v>1</v>
      </c>
    </row>
    <row r="4240" spans="1:37" x14ac:dyDescent="0.3">
      <c r="A4240" s="1" t="s">
        <v>63</v>
      </c>
      <c r="B4240" s="7">
        <v>40766</v>
      </c>
      <c r="C4240" s="1">
        <v>16.5</v>
      </c>
      <c r="D4240" s="1">
        <v>348</v>
      </c>
      <c r="E4240" s="1">
        <v>1</v>
      </c>
      <c r="F4240" s="1">
        <v>17</v>
      </c>
      <c r="L4240" s="1">
        <v>1</v>
      </c>
      <c r="R4240" s="1">
        <v>1</v>
      </c>
    </row>
    <row r="4241" spans="1:38" x14ac:dyDescent="0.3">
      <c r="A4241" s="1" t="s">
        <v>63</v>
      </c>
      <c r="B4241" s="7">
        <v>40766</v>
      </c>
      <c r="C4241" s="1">
        <v>16.5</v>
      </c>
      <c r="D4241" s="1">
        <v>348</v>
      </c>
      <c r="E4241" s="1">
        <v>1</v>
      </c>
      <c r="F4241" s="1">
        <v>18</v>
      </c>
      <c r="I4241" s="1">
        <v>1</v>
      </c>
      <c r="L4241" s="1">
        <v>1</v>
      </c>
      <c r="AK4241" s="3">
        <v>0</v>
      </c>
      <c r="AL4241" s="3">
        <v>1</v>
      </c>
    </row>
    <row r="4242" spans="1:38" x14ac:dyDescent="0.3">
      <c r="A4242" s="1" t="s">
        <v>63</v>
      </c>
      <c r="B4242" s="7">
        <v>40766</v>
      </c>
      <c r="C4242" s="1">
        <v>16.5</v>
      </c>
      <c r="D4242" s="1">
        <v>348</v>
      </c>
      <c r="E4242" s="1">
        <v>1</v>
      </c>
      <c r="F4242" s="1">
        <v>19</v>
      </c>
      <c r="R4242" s="1">
        <v>1</v>
      </c>
      <c r="AK4242" s="1">
        <v>1</v>
      </c>
    </row>
    <row r="4243" spans="1:38" x14ac:dyDescent="0.3">
      <c r="A4243" s="1" t="s">
        <v>63</v>
      </c>
      <c r="B4243" s="7">
        <v>40766</v>
      </c>
      <c r="C4243" s="1">
        <v>16.5</v>
      </c>
      <c r="D4243" s="1">
        <v>348</v>
      </c>
      <c r="E4243" s="1">
        <v>1</v>
      </c>
      <c r="F4243" s="1">
        <v>20</v>
      </c>
      <c r="AK4243" s="1">
        <v>1</v>
      </c>
    </row>
    <row r="4244" spans="1:38" x14ac:dyDescent="0.3">
      <c r="A4244" s="1" t="s">
        <v>63</v>
      </c>
      <c r="B4244" s="7">
        <v>40766</v>
      </c>
      <c r="C4244" s="1">
        <v>16.5</v>
      </c>
      <c r="D4244" s="1">
        <v>348</v>
      </c>
      <c r="E4244" s="1">
        <v>1</v>
      </c>
      <c r="F4244" s="1">
        <v>21</v>
      </c>
      <c r="R4244" s="1">
        <v>1</v>
      </c>
    </row>
    <row r="4245" spans="1:38" x14ac:dyDescent="0.3">
      <c r="A4245" s="1" t="s">
        <v>63</v>
      </c>
      <c r="B4245" s="7">
        <v>40766</v>
      </c>
      <c r="C4245" s="1">
        <v>16.5</v>
      </c>
      <c r="D4245" s="1">
        <v>348</v>
      </c>
      <c r="E4245" s="1">
        <v>1</v>
      </c>
      <c r="F4245" s="1">
        <v>22</v>
      </c>
      <c r="L4245" s="1">
        <v>1</v>
      </c>
    </row>
    <row r="4246" spans="1:38" x14ac:dyDescent="0.3">
      <c r="A4246" s="1" t="s">
        <v>63</v>
      </c>
      <c r="B4246" s="7">
        <v>40766</v>
      </c>
      <c r="C4246" s="1">
        <v>16.5</v>
      </c>
      <c r="D4246" s="1">
        <v>348</v>
      </c>
      <c r="E4246" s="1">
        <v>1</v>
      </c>
      <c r="F4246" s="1">
        <v>23</v>
      </c>
      <c r="I4246" s="1">
        <v>1</v>
      </c>
    </row>
    <row r="4247" spans="1:38" x14ac:dyDescent="0.3">
      <c r="A4247" s="1" t="s">
        <v>63</v>
      </c>
      <c r="B4247" s="7">
        <v>40766</v>
      </c>
      <c r="C4247" s="1">
        <v>16.5</v>
      </c>
      <c r="D4247" s="1">
        <v>348</v>
      </c>
      <c r="E4247" s="1">
        <v>1</v>
      </c>
      <c r="F4247" s="1">
        <v>24</v>
      </c>
      <c r="R4247" s="1">
        <v>1</v>
      </c>
      <c r="AI4247" s="1">
        <v>1</v>
      </c>
    </row>
    <row r="4248" spans="1:38" x14ac:dyDescent="0.3">
      <c r="A4248" s="1" t="s">
        <v>63</v>
      </c>
      <c r="B4248" s="7">
        <v>40766</v>
      </c>
      <c r="C4248" s="1">
        <v>16.5</v>
      </c>
      <c r="D4248" s="1">
        <v>348</v>
      </c>
      <c r="E4248" s="1">
        <v>1</v>
      </c>
      <c r="F4248" s="1">
        <v>25</v>
      </c>
      <c r="R4248" s="3">
        <v>0</v>
      </c>
      <c r="S4248" s="3">
        <v>1</v>
      </c>
    </row>
    <row r="4249" spans="1:38" x14ac:dyDescent="0.3">
      <c r="A4249" s="1" t="s">
        <v>63</v>
      </c>
      <c r="B4249" s="7">
        <v>40766</v>
      </c>
      <c r="C4249" s="1">
        <v>16.5</v>
      </c>
      <c r="D4249" s="1">
        <v>348</v>
      </c>
      <c r="E4249" s="1">
        <v>1</v>
      </c>
      <c r="F4249" s="1">
        <v>26</v>
      </c>
      <c r="I4249" s="1">
        <v>1</v>
      </c>
      <c r="L4249" s="3">
        <v>0</v>
      </c>
      <c r="M4249" s="3">
        <v>1</v>
      </c>
    </row>
    <row r="4250" spans="1:38" x14ac:dyDescent="0.3">
      <c r="A4250" s="1" t="s">
        <v>63</v>
      </c>
      <c r="B4250" s="7">
        <v>40766</v>
      </c>
      <c r="C4250" s="1">
        <v>16.5</v>
      </c>
      <c r="D4250" s="1">
        <v>348</v>
      </c>
      <c r="E4250" s="1">
        <v>1</v>
      </c>
      <c r="F4250" s="1">
        <v>27</v>
      </c>
      <c r="R4250" s="3">
        <v>0</v>
      </c>
      <c r="S4250" s="3">
        <v>1</v>
      </c>
    </row>
    <row r="4251" spans="1:38" x14ac:dyDescent="0.3">
      <c r="A4251" s="1" t="s">
        <v>63</v>
      </c>
      <c r="B4251" s="7">
        <v>40766</v>
      </c>
      <c r="C4251" s="1">
        <v>16.5</v>
      </c>
      <c r="D4251" s="1">
        <v>348</v>
      </c>
      <c r="E4251" s="1">
        <v>1</v>
      </c>
      <c r="F4251" s="1">
        <v>28</v>
      </c>
      <c r="R4251" s="1">
        <v>1</v>
      </c>
      <c r="AK4251" s="1">
        <v>1</v>
      </c>
    </row>
    <row r="4252" spans="1:38" x14ac:dyDescent="0.3">
      <c r="A4252" s="1" t="s">
        <v>63</v>
      </c>
      <c r="B4252" s="7">
        <v>40766</v>
      </c>
      <c r="C4252" s="1">
        <v>16.5</v>
      </c>
      <c r="D4252" s="1">
        <v>348</v>
      </c>
      <c r="E4252" s="1">
        <v>1</v>
      </c>
      <c r="F4252" s="1">
        <v>29</v>
      </c>
      <c r="R4252" s="1">
        <v>1</v>
      </c>
    </row>
    <row r="4253" spans="1:38" x14ac:dyDescent="0.3">
      <c r="A4253" s="1" t="s">
        <v>63</v>
      </c>
      <c r="B4253" s="7">
        <v>40766</v>
      </c>
      <c r="C4253" s="1">
        <v>16.5</v>
      </c>
      <c r="D4253" s="1">
        <v>348</v>
      </c>
      <c r="E4253" s="1">
        <v>1</v>
      </c>
      <c r="F4253" s="1">
        <v>30</v>
      </c>
      <c r="L4253" s="1">
        <v>1</v>
      </c>
      <c r="R4253" s="1">
        <v>1</v>
      </c>
    </row>
    <row r="4254" spans="1:38" x14ac:dyDescent="0.3">
      <c r="A4254" s="1" t="s">
        <v>63</v>
      </c>
      <c r="B4254" s="7">
        <v>40766</v>
      </c>
      <c r="C4254" s="1">
        <v>16.5</v>
      </c>
      <c r="D4254" s="1">
        <v>348</v>
      </c>
      <c r="E4254" s="1">
        <v>1</v>
      </c>
      <c r="F4254" s="1">
        <v>31</v>
      </c>
      <c r="L4254" s="1">
        <v>1</v>
      </c>
    </row>
    <row r="4255" spans="1:38" x14ac:dyDescent="0.3">
      <c r="A4255" s="1" t="s">
        <v>63</v>
      </c>
      <c r="B4255" s="7">
        <v>40766</v>
      </c>
      <c r="C4255" s="1">
        <v>16.5</v>
      </c>
      <c r="D4255" s="1">
        <v>348</v>
      </c>
      <c r="E4255" s="1">
        <v>1</v>
      </c>
      <c r="F4255" s="1">
        <v>32</v>
      </c>
      <c r="R4255" s="1">
        <v>1</v>
      </c>
    </row>
    <row r="4256" spans="1:38" x14ac:dyDescent="0.3">
      <c r="A4256" s="1" t="s">
        <v>63</v>
      </c>
      <c r="B4256" s="7">
        <v>40766</v>
      </c>
      <c r="C4256" s="1">
        <v>16.5</v>
      </c>
      <c r="D4256" s="1">
        <v>348</v>
      </c>
      <c r="E4256" s="1">
        <v>1</v>
      </c>
      <c r="F4256" s="1">
        <v>33</v>
      </c>
      <c r="R4256" s="1">
        <v>1</v>
      </c>
    </row>
    <row r="4257" spans="1:45" x14ac:dyDescent="0.3">
      <c r="A4257" s="1" t="s">
        <v>63</v>
      </c>
      <c r="B4257" s="7">
        <v>40766</v>
      </c>
      <c r="C4257" s="1">
        <v>16.5</v>
      </c>
      <c r="D4257" s="1">
        <v>348</v>
      </c>
      <c r="E4257" s="1">
        <v>1</v>
      </c>
      <c r="F4257" s="1">
        <v>34</v>
      </c>
      <c r="R4257" s="8">
        <v>1</v>
      </c>
      <c r="S4257" s="8"/>
      <c r="AI4257" s="1">
        <v>1</v>
      </c>
    </row>
    <row r="4258" spans="1:45" x14ac:dyDescent="0.3">
      <c r="A4258" s="1" t="s">
        <v>63</v>
      </c>
      <c r="B4258" s="7">
        <v>40766</v>
      </c>
      <c r="C4258" s="1">
        <v>16.5</v>
      </c>
      <c r="D4258" s="1">
        <v>348</v>
      </c>
      <c r="E4258" s="1">
        <v>1</v>
      </c>
      <c r="F4258" s="1">
        <v>35</v>
      </c>
      <c r="I4258" s="1">
        <v>1</v>
      </c>
    </row>
    <row r="4259" spans="1:45" x14ac:dyDescent="0.3">
      <c r="A4259" s="1" t="s">
        <v>63</v>
      </c>
      <c r="B4259" s="7">
        <v>40766</v>
      </c>
      <c r="C4259" s="1">
        <v>16.5</v>
      </c>
      <c r="D4259" s="1">
        <v>348</v>
      </c>
      <c r="E4259" s="1">
        <v>1</v>
      </c>
      <c r="F4259" s="1">
        <v>36</v>
      </c>
      <c r="R4259" s="3">
        <v>0</v>
      </c>
      <c r="S4259" s="3">
        <v>1</v>
      </c>
    </row>
    <row r="4260" spans="1:45" x14ac:dyDescent="0.3">
      <c r="A4260" s="1" t="s">
        <v>63</v>
      </c>
      <c r="B4260" s="7">
        <v>40766</v>
      </c>
      <c r="C4260" s="1">
        <v>16.5</v>
      </c>
      <c r="D4260" s="1">
        <v>348</v>
      </c>
      <c r="E4260" s="1">
        <v>1</v>
      </c>
      <c r="F4260" s="1">
        <v>37</v>
      </c>
      <c r="L4260" s="1">
        <v>1</v>
      </c>
      <c r="R4260" s="3">
        <v>0</v>
      </c>
      <c r="S4260" s="3">
        <v>1</v>
      </c>
    </row>
    <row r="4261" spans="1:45" x14ac:dyDescent="0.3">
      <c r="A4261" s="1" t="s">
        <v>63</v>
      </c>
      <c r="B4261" s="7">
        <v>40766</v>
      </c>
      <c r="C4261" s="1">
        <v>16.5</v>
      </c>
      <c r="D4261" s="1">
        <v>348</v>
      </c>
      <c r="E4261" s="1">
        <v>1</v>
      </c>
      <c r="F4261" s="1">
        <v>38</v>
      </c>
    </row>
    <row r="4262" spans="1:45" x14ac:dyDescent="0.3">
      <c r="A4262" s="1" t="s">
        <v>63</v>
      </c>
      <c r="B4262" s="7">
        <v>40766</v>
      </c>
      <c r="C4262" s="1">
        <v>16.5</v>
      </c>
      <c r="D4262" s="1">
        <v>348</v>
      </c>
      <c r="E4262" s="1">
        <v>1</v>
      </c>
      <c r="F4262" s="1">
        <v>39</v>
      </c>
      <c r="R4262" s="3">
        <v>0</v>
      </c>
      <c r="S4262" s="3">
        <v>1</v>
      </c>
    </row>
    <row r="4263" spans="1:45" x14ac:dyDescent="0.3">
      <c r="A4263" s="1" t="s">
        <v>63</v>
      </c>
      <c r="B4263" s="7">
        <v>40766</v>
      </c>
      <c r="C4263" s="1">
        <v>16.5</v>
      </c>
      <c r="D4263" s="1">
        <v>348</v>
      </c>
      <c r="E4263" s="1">
        <v>1</v>
      </c>
      <c r="F4263" s="1">
        <v>40</v>
      </c>
      <c r="R4263" s="3">
        <v>0</v>
      </c>
      <c r="S4263" s="3">
        <v>1</v>
      </c>
      <c r="AD4263" s="1">
        <v>1</v>
      </c>
    </row>
    <row r="4264" spans="1:45" x14ac:dyDescent="0.3">
      <c r="A4264" s="1" t="s">
        <v>63</v>
      </c>
      <c r="B4264" s="7">
        <v>40766</v>
      </c>
      <c r="C4264" s="1">
        <v>16.5</v>
      </c>
      <c r="D4264" s="1">
        <v>348</v>
      </c>
      <c r="E4264" s="1">
        <v>1</v>
      </c>
      <c r="F4264" s="1">
        <v>41</v>
      </c>
      <c r="I4264" s="1">
        <v>1</v>
      </c>
      <c r="R4264" s="1">
        <v>1</v>
      </c>
    </row>
    <row r="4265" spans="1:45" x14ac:dyDescent="0.3">
      <c r="A4265" s="1" t="s">
        <v>63</v>
      </c>
      <c r="B4265" s="7">
        <v>40766</v>
      </c>
      <c r="C4265" s="1">
        <v>16.5</v>
      </c>
      <c r="D4265" s="1">
        <v>348</v>
      </c>
      <c r="E4265" s="1">
        <v>1</v>
      </c>
      <c r="F4265" s="1">
        <v>42</v>
      </c>
      <c r="L4265" s="1">
        <v>1</v>
      </c>
      <c r="R4265" s="1">
        <v>1</v>
      </c>
    </row>
    <row r="4266" spans="1:45" x14ac:dyDescent="0.3">
      <c r="A4266" s="1" t="s">
        <v>63</v>
      </c>
      <c r="B4266" s="7">
        <v>40766</v>
      </c>
      <c r="C4266" s="1">
        <v>16.5</v>
      </c>
      <c r="D4266" s="1">
        <v>348</v>
      </c>
      <c r="E4266" s="1">
        <v>1</v>
      </c>
      <c r="F4266" s="1">
        <v>43</v>
      </c>
      <c r="L4266" s="1">
        <v>1</v>
      </c>
      <c r="R4266" s="1">
        <v>1</v>
      </c>
    </row>
    <row r="4267" spans="1:45" x14ac:dyDescent="0.3">
      <c r="A4267" s="1" t="s">
        <v>63</v>
      </c>
      <c r="B4267" s="7">
        <v>40766</v>
      </c>
      <c r="C4267" s="1">
        <v>16.5</v>
      </c>
      <c r="D4267" s="1">
        <v>348</v>
      </c>
      <c r="E4267" s="1">
        <v>1</v>
      </c>
      <c r="F4267" s="1">
        <v>44</v>
      </c>
      <c r="L4267" s="1">
        <v>1</v>
      </c>
      <c r="R4267" s="1">
        <v>1</v>
      </c>
    </row>
    <row r="4268" spans="1:45" x14ac:dyDescent="0.3">
      <c r="A4268" s="1" t="s">
        <v>63</v>
      </c>
      <c r="B4268" s="7">
        <v>40766</v>
      </c>
      <c r="C4268" s="1">
        <v>16.5</v>
      </c>
      <c r="D4268" s="1">
        <v>348</v>
      </c>
      <c r="E4268" s="1">
        <v>1</v>
      </c>
      <c r="F4268" s="1">
        <v>45</v>
      </c>
      <c r="R4268" s="1">
        <v>1</v>
      </c>
    </row>
    <row r="4269" spans="1:45" x14ac:dyDescent="0.3">
      <c r="A4269" s="1" t="s">
        <v>63</v>
      </c>
      <c r="B4269" s="7">
        <v>40766</v>
      </c>
      <c r="C4269" s="1">
        <v>16.5</v>
      </c>
      <c r="D4269" s="1">
        <v>348</v>
      </c>
      <c r="E4269" s="1">
        <v>1</v>
      </c>
      <c r="F4269" s="1">
        <v>46</v>
      </c>
      <c r="R4269" s="1">
        <v>1</v>
      </c>
    </row>
    <row r="4270" spans="1:45" x14ac:dyDescent="0.3">
      <c r="A4270" s="1" t="s">
        <v>63</v>
      </c>
      <c r="B4270" s="7">
        <v>40766</v>
      </c>
      <c r="C4270" s="1">
        <v>16.5</v>
      </c>
      <c r="D4270" s="1">
        <v>348</v>
      </c>
      <c r="E4270" s="1">
        <v>1</v>
      </c>
      <c r="F4270" s="1">
        <v>47</v>
      </c>
      <c r="AK4270" s="1">
        <v>1</v>
      </c>
      <c r="AS4270" s="1">
        <v>1</v>
      </c>
    </row>
    <row r="4271" spans="1:45" x14ac:dyDescent="0.3">
      <c r="A4271" s="1" t="s">
        <v>63</v>
      </c>
      <c r="B4271" s="7">
        <v>40766</v>
      </c>
      <c r="C4271" s="1">
        <v>16.5</v>
      </c>
      <c r="D4271" s="1">
        <v>348</v>
      </c>
      <c r="E4271" s="1">
        <v>1</v>
      </c>
      <c r="F4271" s="1">
        <v>48</v>
      </c>
      <c r="R4271" s="3">
        <v>0</v>
      </c>
      <c r="S4271" s="3">
        <v>1</v>
      </c>
    </row>
    <row r="4272" spans="1:45" x14ac:dyDescent="0.3">
      <c r="A4272" s="1" t="s">
        <v>63</v>
      </c>
      <c r="B4272" s="7">
        <v>40766</v>
      </c>
      <c r="C4272" s="1">
        <v>16.5</v>
      </c>
      <c r="D4272" s="1">
        <v>348</v>
      </c>
      <c r="E4272" s="1">
        <v>1</v>
      </c>
      <c r="F4272" s="1">
        <v>49</v>
      </c>
      <c r="R4272" s="3">
        <v>0</v>
      </c>
      <c r="S4272" s="3">
        <v>1</v>
      </c>
    </row>
    <row r="4273" spans="1:37" x14ac:dyDescent="0.3">
      <c r="A4273" s="1" t="s">
        <v>63</v>
      </c>
      <c r="B4273" s="7">
        <v>40766</v>
      </c>
      <c r="C4273" s="1">
        <v>16.5</v>
      </c>
      <c r="D4273" s="1">
        <v>348</v>
      </c>
      <c r="E4273" s="1">
        <v>1</v>
      </c>
      <c r="F4273" s="1">
        <v>50</v>
      </c>
      <c r="L4273" s="1">
        <v>1</v>
      </c>
      <c r="R4273" s="1">
        <v>1</v>
      </c>
    </row>
    <row r="4274" spans="1:37" x14ac:dyDescent="0.3">
      <c r="A4274" s="1" t="s">
        <v>63</v>
      </c>
      <c r="B4274" s="7">
        <v>40766</v>
      </c>
      <c r="C4274" s="1">
        <v>16.5</v>
      </c>
      <c r="D4274" s="1">
        <v>348</v>
      </c>
      <c r="E4274" s="1">
        <v>1</v>
      </c>
      <c r="F4274" s="1">
        <v>51</v>
      </c>
      <c r="I4274" s="1">
        <v>1</v>
      </c>
      <c r="R4274" s="1">
        <v>1</v>
      </c>
    </row>
    <row r="4275" spans="1:37" x14ac:dyDescent="0.3">
      <c r="A4275" s="1" t="s">
        <v>63</v>
      </c>
      <c r="B4275" s="7">
        <v>40766</v>
      </c>
      <c r="C4275" s="1">
        <v>16.5</v>
      </c>
      <c r="D4275" s="1">
        <v>348</v>
      </c>
      <c r="E4275" s="1">
        <v>1</v>
      </c>
      <c r="F4275" s="1">
        <v>52</v>
      </c>
      <c r="R4275" s="1">
        <v>1</v>
      </c>
    </row>
    <row r="4276" spans="1:37" x14ac:dyDescent="0.3">
      <c r="A4276" s="1" t="s">
        <v>63</v>
      </c>
      <c r="B4276" s="7">
        <v>40766</v>
      </c>
      <c r="C4276" s="1">
        <v>16.5</v>
      </c>
      <c r="D4276" s="1">
        <v>348</v>
      </c>
      <c r="E4276" s="1">
        <v>1</v>
      </c>
      <c r="F4276" s="1">
        <v>53</v>
      </c>
      <c r="R4276" s="1">
        <v>1</v>
      </c>
    </row>
    <row r="4277" spans="1:37" x14ac:dyDescent="0.3">
      <c r="A4277" s="1" t="s">
        <v>63</v>
      </c>
      <c r="B4277" s="7">
        <v>40766</v>
      </c>
      <c r="C4277" s="1">
        <v>16.5</v>
      </c>
      <c r="D4277" s="1">
        <v>348</v>
      </c>
      <c r="E4277" s="1">
        <v>1</v>
      </c>
      <c r="F4277" s="1">
        <v>54</v>
      </c>
      <c r="L4277" s="1">
        <v>1</v>
      </c>
      <c r="AA4277" s="1">
        <v>1</v>
      </c>
    </row>
    <row r="4278" spans="1:37" x14ac:dyDescent="0.3">
      <c r="A4278" s="1" t="s">
        <v>63</v>
      </c>
      <c r="B4278" s="7">
        <v>40766</v>
      </c>
      <c r="C4278" s="1">
        <v>16.5</v>
      </c>
      <c r="D4278" s="1">
        <v>348</v>
      </c>
      <c r="E4278" s="1">
        <v>1</v>
      </c>
      <c r="F4278" s="1">
        <v>55</v>
      </c>
      <c r="I4278" s="1">
        <v>1</v>
      </c>
    </row>
    <row r="4279" spans="1:37" x14ac:dyDescent="0.3">
      <c r="A4279" s="1" t="s">
        <v>63</v>
      </c>
      <c r="B4279" s="7">
        <v>40766</v>
      </c>
      <c r="C4279" s="1">
        <v>16.5</v>
      </c>
      <c r="D4279" s="1">
        <v>348</v>
      </c>
      <c r="E4279" s="1">
        <v>1</v>
      </c>
      <c r="F4279" s="1">
        <v>56</v>
      </c>
      <c r="R4279" s="3">
        <v>0</v>
      </c>
      <c r="S4279" s="3">
        <v>1</v>
      </c>
      <c r="AA4279" s="1">
        <v>1</v>
      </c>
    </row>
    <row r="4280" spans="1:37" x14ac:dyDescent="0.3">
      <c r="A4280" s="1" t="s">
        <v>63</v>
      </c>
      <c r="B4280" s="7">
        <v>40766</v>
      </c>
      <c r="C4280" s="1">
        <v>16.5</v>
      </c>
      <c r="D4280" s="1">
        <v>348</v>
      </c>
      <c r="E4280" s="1">
        <v>1</v>
      </c>
      <c r="F4280" s="1">
        <v>57</v>
      </c>
      <c r="I4280" s="1">
        <v>1</v>
      </c>
      <c r="AK4280" s="1">
        <v>1</v>
      </c>
    </row>
    <row r="4281" spans="1:37" x14ac:dyDescent="0.3">
      <c r="A4281" s="1" t="s">
        <v>63</v>
      </c>
      <c r="B4281" s="7">
        <v>40766</v>
      </c>
      <c r="C4281" s="1">
        <v>16.5</v>
      </c>
      <c r="D4281" s="1">
        <v>348</v>
      </c>
      <c r="E4281" s="1">
        <v>1</v>
      </c>
      <c r="F4281" s="1">
        <v>58</v>
      </c>
      <c r="R4281" s="1">
        <v>1</v>
      </c>
    </row>
    <row r="4282" spans="1:37" x14ac:dyDescent="0.3">
      <c r="A4282" s="1" t="s">
        <v>63</v>
      </c>
      <c r="B4282" s="7">
        <v>40766</v>
      </c>
      <c r="C4282" s="1">
        <v>16.5</v>
      </c>
      <c r="D4282" s="1">
        <v>348</v>
      </c>
      <c r="E4282" s="1">
        <v>1</v>
      </c>
      <c r="F4282" s="1">
        <v>59</v>
      </c>
      <c r="I4282" s="1">
        <v>1</v>
      </c>
      <c r="R4282" s="3">
        <v>0</v>
      </c>
      <c r="S4282" s="3">
        <v>1</v>
      </c>
    </row>
    <row r="4283" spans="1:37" x14ac:dyDescent="0.3">
      <c r="A4283" s="1" t="s">
        <v>63</v>
      </c>
      <c r="B4283" s="7">
        <v>40766</v>
      </c>
      <c r="C4283" s="1">
        <v>16.5</v>
      </c>
      <c r="D4283" s="1">
        <v>348</v>
      </c>
      <c r="E4283" s="1">
        <v>1</v>
      </c>
      <c r="F4283" s="1">
        <v>60</v>
      </c>
      <c r="R4283" s="1">
        <v>1</v>
      </c>
    </row>
    <row r="4284" spans="1:37" x14ac:dyDescent="0.3">
      <c r="A4284" s="1" t="s">
        <v>63</v>
      </c>
      <c r="B4284" s="7">
        <v>40766</v>
      </c>
      <c r="C4284" s="1">
        <v>16.5</v>
      </c>
      <c r="D4284" s="1">
        <v>348</v>
      </c>
      <c r="E4284" s="1">
        <v>1</v>
      </c>
      <c r="F4284" s="1">
        <v>61</v>
      </c>
      <c r="L4284" s="1">
        <v>1</v>
      </c>
    </row>
    <row r="4285" spans="1:37" x14ac:dyDescent="0.3">
      <c r="A4285" s="1" t="s">
        <v>63</v>
      </c>
      <c r="B4285" s="7">
        <v>40766</v>
      </c>
      <c r="C4285" s="1">
        <v>16.5</v>
      </c>
      <c r="D4285" s="1">
        <v>348</v>
      </c>
      <c r="E4285" s="1">
        <v>1</v>
      </c>
      <c r="F4285" s="1">
        <v>62</v>
      </c>
      <c r="R4285" s="1">
        <v>1</v>
      </c>
    </row>
    <row r="4286" spans="1:37" x14ac:dyDescent="0.3">
      <c r="A4286" s="1" t="s">
        <v>63</v>
      </c>
      <c r="B4286" s="7">
        <v>40766</v>
      </c>
      <c r="C4286" s="1">
        <v>16.5</v>
      </c>
      <c r="D4286" s="1">
        <v>348</v>
      </c>
      <c r="E4286" s="1">
        <v>1</v>
      </c>
      <c r="F4286" s="1">
        <v>63</v>
      </c>
      <c r="L4286" s="1">
        <v>1</v>
      </c>
      <c r="R4286" s="3">
        <v>0</v>
      </c>
      <c r="S4286" s="3">
        <v>1</v>
      </c>
    </row>
    <row r="4287" spans="1:37" x14ac:dyDescent="0.3">
      <c r="A4287" s="1" t="s">
        <v>63</v>
      </c>
      <c r="B4287" s="7">
        <v>40766</v>
      </c>
      <c r="C4287" s="1">
        <v>16.5</v>
      </c>
      <c r="D4287" s="1">
        <v>348</v>
      </c>
      <c r="E4287" s="1">
        <v>1</v>
      </c>
      <c r="F4287" s="1">
        <v>64</v>
      </c>
      <c r="I4287" s="1">
        <v>1</v>
      </c>
    </row>
    <row r="4288" spans="1:37" x14ac:dyDescent="0.3">
      <c r="A4288" s="1" t="s">
        <v>63</v>
      </c>
      <c r="B4288" s="7">
        <v>40766</v>
      </c>
      <c r="C4288" s="1">
        <v>16.5</v>
      </c>
      <c r="D4288" s="1">
        <v>348</v>
      </c>
      <c r="E4288" s="1">
        <v>1</v>
      </c>
      <c r="F4288" s="1">
        <v>65</v>
      </c>
      <c r="I4288" s="1">
        <v>1</v>
      </c>
      <c r="AK4288" s="1">
        <v>1</v>
      </c>
    </row>
    <row r="4289" spans="1:59" x14ac:dyDescent="0.3">
      <c r="A4289" s="1" t="s">
        <v>63</v>
      </c>
      <c r="B4289" s="7">
        <v>40766</v>
      </c>
      <c r="C4289" s="1">
        <v>16.5</v>
      </c>
      <c r="D4289" s="1">
        <v>348</v>
      </c>
      <c r="E4289" s="1">
        <v>1</v>
      </c>
      <c r="F4289" s="1">
        <v>66</v>
      </c>
      <c r="I4289" s="1">
        <v>1</v>
      </c>
    </row>
    <row r="4290" spans="1:59" x14ac:dyDescent="0.3">
      <c r="A4290" s="1" t="s">
        <v>63</v>
      </c>
      <c r="B4290" s="7">
        <v>40766</v>
      </c>
      <c r="C4290" s="1">
        <v>16.5</v>
      </c>
      <c r="D4290" s="1">
        <v>348</v>
      </c>
      <c r="E4290" s="1">
        <v>1</v>
      </c>
      <c r="F4290" s="1">
        <v>67</v>
      </c>
      <c r="R4290" s="1">
        <v>1</v>
      </c>
      <c r="AK4290" s="1">
        <v>1</v>
      </c>
    </row>
    <row r="4291" spans="1:59" x14ac:dyDescent="0.3">
      <c r="A4291" s="1" t="s">
        <v>63</v>
      </c>
      <c r="B4291" s="7">
        <v>40766</v>
      </c>
      <c r="C4291" s="1">
        <v>16.5</v>
      </c>
      <c r="D4291" s="1">
        <v>348</v>
      </c>
      <c r="E4291" s="1">
        <v>1</v>
      </c>
      <c r="F4291" s="1">
        <v>68</v>
      </c>
      <c r="R4291" s="1">
        <v>1</v>
      </c>
    </row>
    <row r="4292" spans="1:59" x14ac:dyDescent="0.3">
      <c r="A4292" s="1" t="s">
        <v>63</v>
      </c>
      <c r="B4292" s="7">
        <v>40766</v>
      </c>
      <c r="C4292" s="1">
        <v>16.5</v>
      </c>
      <c r="D4292" s="1">
        <v>348</v>
      </c>
      <c r="E4292" s="1">
        <v>1</v>
      </c>
      <c r="F4292" s="1">
        <v>69</v>
      </c>
      <c r="R4292" s="3">
        <v>0</v>
      </c>
      <c r="S4292" s="3">
        <v>1</v>
      </c>
    </row>
    <row r="4293" spans="1:59" x14ac:dyDescent="0.3">
      <c r="A4293" s="1" t="s">
        <v>63</v>
      </c>
      <c r="B4293" s="7">
        <v>40766</v>
      </c>
      <c r="C4293" s="1">
        <v>16.5</v>
      </c>
      <c r="D4293" s="1">
        <v>348</v>
      </c>
      <c r="E4293" s="1">
        <v>1</v>
      </c>
      <c r="F4293" s="1">
        <v>70</v>
      </c>
      <c r="AK4293" s="1">
        <v>1</v>
      </c>
    </row>
    <row r="4294" spans="1:59" x14ac:dyDescent="0.3">
      <c r="A4294" s="1" t="s">
        <v>63</v>
      </c>
      <c r="B4294" s="7">
        <v>40766</v>
      </c>
      <c r="C4294" s="1">
        <v>16.5</v>
      </c>
      <c r="D4294" s="1">
        <v>348</v>
      </c>
      <c r="E4294" s="1">
        <v>1</v>
      </c>
      <c r="F4294" s="1">
        <v>71</v>
      </c>
      <c r="R4294" s="1">
        <v>1</v>
      </c>
    </row>
    <row r="4295" spans="1:59" x14ac:dyDescent="0.3">
      <c r="A4295" s="1" t="s">
        <v>63</v>
      </c>
      <c r="B4295" s="7">
        <v>40766</v>
      </c>
      <c r="C4295" s="1">
        <v>16.5</v>
      </c>
      <c r="D4295" s="1">
        <v>348</v>
      </c>
      <c r="E4295" s="1">
        <v>1</v>
      </c>
      <c r="F4295" s="1">
        <v>72</v>
      </c>
      <c r="R4295" s="1">
        <v>1</v>
      </c>
    </row>
    <row r="4296" spans="1:59" x14ac:dyDescent="0.3">
      <c r="A4296" s="1" t="s">
        <v>63</v>
      </c>
      <c r="B4296" s="7">
        <v>40766</v>
      </c>
      <c r="C4296" s="1">
        <v>16.5</v>
      </c>
      <c r="D4296" s="1">
        <v>348</v>
      </c>
      <c r="E4296" s="1">
        <v>1</v>
      </c>
      <c r="F4296" s="1">
        <v>73</v>
      </c>
      <c r="I4296" s="1">
        <v>1</v>
      </c>
    </row>
    <row r="4297" spans="1:59" x14ac:dyDescent="0.3">
      <c r="A4297" s="1" t="s">
        <v>63</v>
      </c>
      <c r="B4297" s="7">
        <v>40766</v>
      </c>
      <c r="C4297" s="1">
        <v>16.5</v>
      </c>
      <c r="D4297" s="1">
        <v>348</v>
      </c>
      <c r="E4297" s="1">
        <v>1</v>
      </c>
      <c r="F4297" s="1">
        <v>74</v>
      </c>
      <c r="R4297" s="1">
        <v>1</v>
      </c>
    </row>
    <row r="4298" spans="1:59" x14ac:dyDescent="0.3">
      <c r="A4298" s="1" t="s">
        <v>63</v>
      </c>
      <c r="B4298" s="7">
        <v>40766</v>
      </c>
      <c r="C4298" s="1">
        <v>16.5</v>
      </c>
      <c r="D4298" s="1">
        <v>348</v>
      </c>
      <c r="E4298" s="1">
        <v>1</v>
      </c>
      <c r="F4298" s="1">
        <v>75</v>
      </c>
      <c r="L4298" s="1">
        <v>1</v>
      </c>
      <c r="BG4298" s="1">
        <v>1</v>
      </c>
    </row>
    <row r="4299" spans="1:59" x14ac:dyDescent="0.3">
      <c r="A4299" s="1" t="s">
        <v>63</v>
      </c>
      <c r="B4299" s="7">
        <v>40766</v>
      </c>
      <c r="C4299" s="1">
        <v>16.5</v>
      </c>
      <c r="D4299" s="1">
        <v>348</v>
      </c>
      <c r="E4299" s="1">
        <v>1</v>
      </c>
      <c r="F4299" s="1">
        <v>76</v>
      </c>
      <c r="L4299" s="1">
        <v>1</v>
      </c>
      <c r="R4299" s="1">
        <v>1</v>
      </c>
      <c r="AD4299" s="1">
        <v>1</v>
      </c>
    </row>
    <row r="4300" spans="1:59" x14ac:dyDescent="0.3">
      <c r="A4300" s="1" t="s">
        <v>63</v>
      </c>
      <c r="B4300" s="7">
        <v>40766</v>
      </c>
      <c r="C4300" s="1">
        <v>16.5</v>
      </c>
      <c r="D4300" s="1">
        <v>348</v>
      </c>
      <c r="E4300" s="1">
        <v>1</v>
      </c>
      <c r="F4300" s="1">
        <v>77</v>
      </c>
      <c r="R4300" s="3">
        <v>0</v>
      </c>
      <c r="S4300" s="3">
        <v>1</v>
      </c>
      <c r="AD4300" s="1">
        <v>1</v>
      </c>
    </row>
    <row r="4301" spans="1:59" x14ac:dyDescent="0.3">
      <c r="A4301" s="1" t="s">
        <v>63</v>
      </c>
      <c r="B4301" s="7">
        <v>40766</v>
      </c>
      <c r="C4301" s="1">
        <v>16.5</v>
      </c>
      <c r="D4301" s="1">
        <v>348</v>
      </c>
      <c r="E4301" s="1">
        <v>1</v>
      </c>
      <c r="F4301" s="1">
        <v>78</v>
      </c>
      <c r="AD4301" s="1">
        <v>1</v>
      </c>
    </row>
    <row r="4302" spans="1:59" x14ac:dyDescent="0.3">
      <c r="A4302" s="1" t="s">
        <v>63</v>
      </c>
      <c r="B4302" s="7">
        <v>40766</v>
      </c>
      <c r="C4302" s="1">
        <v>16.5</v>
      </c>
      <c r="D4302" s="1">
        <v>348</v>
      </c>
      <c r="E4302" s="1">
        <v>1</v>
      </c>
      <c r="F4302" s="1">
        <v>79</v>
      </c>
      <c r="R4302" s="3">
        <v>0</v>
      </c>
      <c r="S4302" s="3">
        <v>1</v>
      </c>
    </row>
    <row r="4303" spans="1:59" x14ac:dyDescent="0.3">
      <c r="A4303" s="1" t="s">
        <v>63</v>
      </c>
      <c r="B4303" s="7">
        <v>40766</v>
      </c>
      <c r="C4303" s="1">
        <v>16.5</v>
      </c>
      <c r="D4303" s="1">
        <v>348</v>
      </c>
      <c r="E4303" s="1">
        <v>1</v>
      </c>
      <c r="F4303" s="1">
        <v>80</v>
      </c>
      <c r="H4303" s="1">
        <v>1</v>
      </c>
      <c r="R4303" s="3">
        <v>0</v>
      </c>
      <c r="S4303" s="3">
        <v>1</v>
      </c>
    </row>
    <row r="4304" spans="1:59" x14ac:dyDescent="0.3">
      <c r="A4304" s="1" t="s">
        <v>63</v>
      </c>
      <c r="B4304" s="7">
        <v>40766</v>
      </c>
      <c r="C4304" s="1">
        <v>16.5</v>
      </c>
      <c r="D4304" s="1">
        <v>348</v>
      </c>
      <c r="E4304" s="1">
        <v>1</v>
      </c>
      <c r="F4304" s="1">
        <v>81</v>
      </c>
      <c r="R4304" s="1">
        <v>1</v>
      </c>
      <c r="AA4304" s="1">
        <v>1</v>
      </c>
    </row>
    <row r="4305" spans="1:30" x14ac:dyDescent="0.3">
      <c r="A4305" s="1" t="s">
        <v>63</v>
      </c>
      <c r="B4305" s="7">
        <v>40766</v>
      </c>
      <c r="C4305" s="1">
        <v>16.5</v>
      </c>
      <c r="D4305" s="1">
        <v>348</v>
      </c>
      <c r="E4305" s="1">
        <v>1</v>
      </c>
      <c r="F4305" s="1">
        <v>82</v>
      </c>
      <c r="H4305" s="1">
        <v>1</v>
      </c>
    </row>
    <row r="4306" spans="1:30" x14ac:dyDescent="0.3">
      <c r="A4306" s="1" t="s">
        <v>63</v>
      </c>
      <c r="B4306" s="7">
        <v>40766</v>
      </c>
      <c r="C4306" s="1">
        <v>16.5</v>
      </c>
      <c r="D4306" s="1">
        <v>348</v>
      </c>
      <c r="E4306" s="1">
        <v>1</v>
      </c>
      <c r="F4306" s="1">
        <v>83</v>
      </c>
      <c r="R4306" s="1">
        <v>1</v>
      </c>
    </row>
    <row r="4307" spans="1:30" x14ac:dyDescent="0.3">
      <c r="A4307" s="1" t="s">
        <v>63</v>
      </c>
      <c r="B4307" s="7">
        <v>40766</v>
      </c>
      <c r="C4307" s="1">
        <v>16.5</v>
      </c>
      <c r="D4307" s="1">
        <v>348</v>
      </c>
      <c r="E4307" s="1">
        <v>1</v>
      </c>
      <c r="F4307" s="1">
        <v>84</v>
      </c>
      <c r="H4307" s="1">
        <v>1</v>
      </c>
    </row>
    <row r="4308" spans="1:30" x14ac:dyDescent="0.3">
      <c r="A4308" s="1" t="s">
        <v>63</v>
      </c>
      <c r="B4308" s="7">
        <v>40766</v>
      </c>
      <c r="C4308" s="1">
        <v>16.5</v>
      </c>
      <c r="D4308" s="1">
        <v>348</v>
      </c>
      <c r="E4308" s="1">
        <v>1</v>
      </c>
      <c r="F4308" s="1">
        <v>85</v>
      </c>
      <c r="I4308" s="1">
        <v>1</v>
      </c>
      <c r="R4308" s="1">
        <v>1</v>
      </c>
    </row>
    <row r="4309" spans="1:30" x14ac:dyDescent="0.3">
      <c r="A4309" s="1" t="s">
        <v>63</v>
      </c>
      <c r="B4309" s="7">
        <v>40766</v>
      </c>
      <c r="C4309" s="1">
        <v>16.5</v>
      </c>
      <c r="D4309" s="1">
        <v>348</v>
      </c>
      <c r="E4309" s="1">
        <v>1</v>
      </c>
      <c r="F4309" s="1">
        <v>86</v>
      </c>
      <c r="L4309" s="1">
        <v>1</v>
      </c>
      <c r="R4309" s="3">
        <v>0</v>
      </c>
      <c r="S4309" s="3">
        <v>1</v>
      </c>
    </row>
    <row r="4310" spans="1:30" x14ac:dyDescent="0.3">
      <c r="A4310" s="1" t="s">
        <v>63</v>
      </c>
      <c r="B4310" s="7">
        <v>40766</v>
      </c>
      <c r="C4310" s="1">
        <v>16.5</v>
      </c>
      <c r="D4310" s="1">
        <v>348</v>
      </c>
      <c r="E4310" s="1">
        <v>1</v>
      </c>
      <c r="F4310" s="1">
        <v>87</v>
      </c>
      <c r="R4310" s="1">
        <v>1</v>
      </c>
    </row>
    <row r="4311" spans="1:30" x14ac:dyDescent="0.3">
      <c r="A4311" s="1" t="s">
        <v>63</v>
      </c>
      <c r="B4311" s="7">
        <v>40766</v>
      </c>
      <c r="C4311" s="1">
        <v>16.5</v>
      </c>
      <c r="D4311" s="1">
        <v>348</v>
      </c>
      <c r="E4311" s="1">
        <v>1</v>
      </c>
      <c r="F4311" s="1">
        <v>88</v>
      </c>
      <c r="R4311" s="3">
        <v>0</v>
      </c>
      <c r="S4311" s="3">
        <v>1</v>
      </c>
    </row>
    <row r="4312" spans="1:30" x14ac:dyDescent="0.3">
      <c r="A4312" s="1" t="s">
        <v>63</v>
      </c>
      <c r="B4312" s="7">
        <v>40766</v>
      </c>
      <c r="C4312" s="1">
        <v>16.5</v>
      </c>
      <c r="D4312" s="1">
        <v>348</v>
      </c>
      <c r="E4312" s="1">
        <v>1</v>
      </c>
      <c r="F4312" s="1">
        <v>89</v>
      </c>
      <c r="R4312" s="1">
        <v>1</v>
      </c>
      <c r="AD4312" s="1">
        <v>1</v>
      </c>
    </row>
    <row r="4313" spans="1:30" x14ac:dyDescent="0.3">
      <c r="A4313" s="1" t="s">
        <v>63</v>
      </c>
      <c r="B4313" s="7">
        <v>40766</v>
      </c>
      <c r="C4313" s="1">
        <v>16.5</v>
      </c>
      <c r="D4313" s="1">
        <v>348</v>
      </c>
      <c r="E4313" s="1">
        <v>1</v>
      </c>
      <c r="F4313" s="1">
        <v>90</v>
      </c>
      <c r="I4313" s="1">
        <v>1</v>
      </c>
      <c r="L4313" s="1">
        <v>1</v>
      </c>
    </row>
    <row r="4314" spans="1:30" x14ac:dyDescent="0.3">
      <c r="A4314" s="1" t="s">
        <v>63</v>
      </c>
      <c r="B4314" s="7">
        <v>40766</v>
      </c>
      <c r="C4314" s="1">
        <v>16.5</v>
      </c>
      <c r="D4314" s="1">
        <v>348</v>
      </c>
      <c r="E4314" s="1">
        <v>1</v>
      </c>
      <c r="F4314" s="1">
        <v>91</v>
      </c>
      <c r="AA4314" s="1">
        <v>1</v>
      </c>
    </row>
    <row r="4315" spans="1:30" x14ac:dyDescent="0.3">
      <c r="A4315" s="1" t="s">
        <v>63</v>
      </c>
      <c r="B4315" s="7">
        <v>40766</v>
      </c>
      <c r="C4315" s="1">
        <v>16.5</v>
      </c>
      <c r="D4315" s="1">
        <v>348</v>
      </c>
      <c r="E4315" s="1">
        <v>1</v>
      </c>
      <c r="F4315" s="1">
        <v>92</v>
      </c>
      <c r="I4315" s="1">
        <v>1</v>
      </c>
      <c r="R4315" s="1">
        <v>1</v>
      </c>
    </row>
    <row r="4316" spans="1:30" x14ac:dyDescent="0.3">
      <c r="A4316" s="1" t="s">
        <v>63</v>
      </c>
      <c r="B4316" s="7">
        <v>40766</v>
      </c>
      <c r="C4316" s="1">
        <v>16.5</v>
      </c>
      <c r="D4316" s="1">
        <v>348</v>
      </c>
      <c r="E4316" s="1">
        <v>1</v>
      </c>
      <c r="F4316" s="1">
        <v>93</v>
      </c>
      <c r="AD4316" s="1">
        <v>1</v>
      </c>
    </row>
    <row r="4317" spans="1:30" x14ac:dyDescent="0.3">
      <c r="A4317" s="1" t="s">
        <v>63</v>
      </c>
      <c r="B4317" s="7">
        <v>40766</v>
      </c>
      <c r="C4317" s="1">
        <v>16.5</v>
      </c>
      <c r="D4317" s="1">
        <v>348</v>
      </c>
      <c r="E4317" s="1">
        <v>1</v>
      </c>
      <c r="F4317" s="1">
        <v>94</v>
      </c>
      <c r="R4317" s="3">
        <v>0</v>
      </c>
      <c r="S4317" s="3">
        <v>1</v>
      </c>
    </row>
    <row r="4318" spans="1:30" x14ac:dyDescent="0.3">
      <c r="A4318" s="1" t="s">
        <v>63</v>
      </c>
      <c r="B4318" s="7">
        <v>40766</v>
      </c>
      <c r="C4318" s="1">
        <v>16.5</v>
      </c>
      <c r="D4318" s="1">
        <v>348</v>
      </c>
      <c r="E4318" s="1">
        <v>1</v>
      </c>
      <c r="F4318" s="1">
        <v>95</v>
      </c>
      <c r="L4318" s="1">
        <v>1</v>
      </c>
    </row>
    <row r="4319" spans="1:30" x14ac:dyDescent="0.3">
      <c r="A4319" s="1" t="s">
        <v>63</v>
      </c>
      <c r="B4319" s="7">
        <v>40766</v>
      </c>
      <c r="C4319" s="1">
        <v>16.5</v>
      </c>
      <c r="D4319" s="1">
        <v>348</v>
      </c>
      <c r="E4319" s="1">
        <v>1</v>
      </c>
      <c r="F4319" s="1">
        <v>96</v>
      </c>
      <c r="H4319" s="1">
        <v>1</v>
      </c>
    </row>
    <row r="4320" spans="1:30" x14ac:dyDescent="0.3">
      <c r="A4320" s="1" t="s">
        <v>63</v>
      </c>
      <c r="B4320" s="7">
        <v>40766</v>
      </c>
      <c r="C4320" s="1">
        <v>16.5</v>
      </c>
      <c r="D4320" s="1">
        <v>348</v>
      </c>
      <c r="E4320" s="1">
        <v>1</v>
      </c>
      <c r="F4320" s="1">
        <v>97</v>
      </c>
      <c r="R4320" s="1">
        <v>1</v>
      </c>
    </row>
    <row r="4321" spans="1:90" x14ac:dyDescent="0.3">
      <c r="A4321" s="1" t="s">
        <v>63</v>
      </c>
      <c r="B4321" s="7">
        <v>40766</v>
      </c>
      <c r="C4321" s="1">
        <v>16.5</v>
      </c>
      <c r="D4321" s="1">
        <v>348</v>
      </c>
      <c r="E4321" s="1">
        <v>1</v>
      </c>
      <c r="F4321" s="1">
        <v>98</v>
      </c>
      <c r="L4321" s="1">
        <v>1</v>
      </c>
      <c r="R4321" s="3">
        <v>0</v>
      </c>
      <c r="S4321" s="3">
        <v>1</v>
      </c>
    </row>
    <row r="4322" spans="1:90" x14ac:dyDescent="0.3">
      <c r="A4322" s="1" t="s">
        <v>63</v>
      </c>
      <c r="B4322" s="7">
        <v>40766</v>
      </c>
      <c r="C4322" s="1">
        <v>16.5</v>
      </c>
      <c r="D4322" s="1">
        <v>348</v>
      </c>
      <c r="E4322" s="1">
        <v>1</v>
      </c>
      <c r="F4322" s="1">
        <v>99</v>
      </c>
      <c r="I4322" s="1">
        <v>1</v>
      </c>
      <c r="R4322" s="1">
        <v>1</v>
      </c>
    </row>
    <row r="4323" spans="1:90" x14ac:dyDescent="0.3">
      <c r="A4323" s="1" t="s">
        <v>63</v>
      </c>
      <c r="B4323" s="7">
        <v>40766</v>
      </c>
      <c r="C4323" s="1">
        <v>16.5</v>
      </c>
      <c r="D4323" s="1">
        <v>348</v>
      </c>
      <c r="E4323" s="1">
        <v>1</v>
      </c>
      <c r="F4323" s="1">
        <v>100</v>
      </c>
      <c r="I4323" s="1">
        <v>1</v>
      </c>
      <c r="R4323" s="1">
        <v>1</v>
      </c>
    </row>
    <row r="4324" spans="1:90" s="12" customFormat="1" x14ac:dyDescent="0.3">
      <c r="A4324" s="14" t="s">
        <v>63</v>
      </c>
      <c r="B4324" s="13"/>
      <c r="G4324" s="12">
        <f>SUM(G4124:G4323)</f>
        <v>3</v>
      </c>
      <c r="H4324" s="12">
        <f t="shared" ref="H4324" si="1608">SUM(H4124:H4323)</f>
        <v>15</v>
      </c>
      <c r="I4324" s="12">
        <f t="shared" ref="I4324" si="1609">SUM(I4124:I4323)</f>
        <v>51</v>
      </c>
      <c r="J4324" s="12">
        <f t="shared" ref="J4324" si="1610">SUM(J4124:J4323)</f>
        <v>69</v>
      </c>
      <c r="K4324" s="12">
        <f t="shared" ref="K4324" si="1611">SUM(K4124:K4323)</f>
        <v>11</v>
      </c>
      <c r="L4324" s="12">
        <f t="shared" ref="L4324" si="1612">SUM(L4124:L4323)</f>
        <v>21</v>
      </c>
      <c r="M4324" s="12">
        <f t="shared" ref="M4324" si="1613">SUM(M4124:M4323)</f>
        <v>1</v>
      </c>
      <c r="N4324" s="12">
        <f t="shared" ref="N4324" si="1614">SUM(N4124:N4323)</f>
        <v>4</v>
      </c>
      <c r="O4324" s="12">
        <f t="shared" ref="O4324" si="1615">SUM(O4124:O4323)</f>
        <v>0</v>
      </c>
      <c r="P4324" s="12">
        <f t="shared" ref="P4324" si="1616">SUM(P4124:P4323)</f>
        <v>0</v>
      </c>
      <c r="Q4324" s="12">
        <f t="shared" ref="Q4324" si="1617">SUM(Q4124:Q4323)</f>
        <v>0</v>
      </c>
      <c r="R4324" s="12">
        <f t="shared" ref="R4324" si="1618">SUM(R4124:R4323)</f>
        <v>47</v>
      </c>
      <c r="S4324" s="12">
        <f t="shared" ref="S4324" si="1619">SUM(S4124:S4323)</f>
        <v>24</v>
      </c>
      <c r="T4324" s="12">
        <f t="shared" ref="T4324" si="1620">SUM(T4124:T4323)</f>
        <v>0</v>
      </c>
      <c r="U4324" s="12">
        <f t="shared" ref="U4324" si="1621">SUM(U4124:U4323)</f>
        <v>0</v>
      </c>
      <c r="V4324" s="12">
        <f t="shared" ref="V4324" si="1622">SUM(V4124:V4323)</f>
        <v>0</v>
      </c>
      <c r="W4324" s="12">
        <f t="shared" ref="W4324" si="1623">SUM(W4124:W4323)</f>
        <v>0</v>
      </c>
      <c r="X4324" s="12">
        <f t="shared" ref="X4324" si="1624">SUM(X4124:X4323)</f>
        <v>0</v>
      </c>
      <c r="Y4324" s="12">
        <f t="shared" ref="Y4324" si="1625">SUM(Y4124:Y4323)</f>
        <v>0</v>
      </c>
      <c r="Z4324" s="12">
        <f t="shared" ref="Z4324" si="1626">SUM(Z4124:Z4323)</f>
        <v>0</v>
      </c>
      <c r="AA4324" s="12">
        <f t="shared" ref="AA4324" si="1627">SUM(AA4124:AA4323)</f>
        <v>4</v>
      </c>
      <c r="AB4324" s="12">
        <f t="shared" ref="AB4324" si="1628">SUM(AB4124:AB4323)</f>
        <v>0</v>
      </c>
      <c r="AC4324" s="12">
        <f t="shared" ref="AC4324" si="1629">SUM(AC4124:AC4323)</f>
        <v>0</v>
      </c>
      <c r="AD4324" s="12">
        <f t="shared" ref="AD4324" si="1630">SUM(AD4124:AD4323)</f>
        <v>13</v>
      </c>
      <c r="AE4324" s="12">
        <f t="shared" ref="AE4324" si="1631">SUM(AE4124:AE4323)</f>
        <v>0</v>
      </c>
      <c r="AF4324" s="12">
        <f t="shared" ref="AF4324" si="1632">SUM(AF4124:AF4323)</f>
        <v>0</v>
      </c>
      <c r="AG4324" s="12">
        <f t="shared" ref="AG4324" si="1633">SUM(AG4124:AG4323)</f>
        <v>0</v>
      </c>
      <c r="AH4324" s="12">
        <f t="shared" ref="AH4324" si="1634">SUM(AH4124:AH4323)</f>
        <v>0</v>
      </c>
      <c r="AI4324" s="12">
        <f t="shared" ref="AI4324" si="1635">SUM(AI4124:AI4323)</f>
        <v>3</v>
      </c>
      <c r="AJ4324" s="12">
        <f t="shared" ref="AJ4324" si="1636">SUM(AJ4124:AJ4323)</f>
        <v>0</v>
      </c>
      <c r="AK4324" s="12">
        <f t="shared" ref="AK4324" si="1637">SUM(AK4124:AK4323)</f>
        <v>9</v>
      </c>
      <c r="AL4324" s="12">
        <f t="shared" ref="AL4324" si="1638">SUM(AL4124:AL4323)</f>
        <v>1</v>
      </c>
      <c r="AM4324" s="12">
        <f t="shared" ref="AM4324" si="1639">SUM(AM4124:AM4323)</f>
        <v>0</v>
      </c>
      <c r="AN4324" s="12">
        <f t="shared" ref="AN4324" si="1640">SUM(AN4124:AN4323)</f>
        <v>0</v>
      </c>
      <c r="AO4324" s="12">
        <f t="shared" ref="AO4324" si="1641">SUM(AO4124:AO4323)</f>
        <v>0</v>
      </c>
      <c r="AP4324" s="12">
        <f t="shared" ref="AP4324" si="1642">SUM(AP4124:AP4323)</f>
        <v>0</v>
      </c>
      <c r="AQ4324" s="12">
        <f t="shared" ref="AQ4324" si="1643">SUM(AQ4124:AQ4323)</f>
        <v>0</v>
      </c>
      <c r="AR4324" s="12">
        <f t="shared" ref="AR4324" si="1644">SUM(AR4124:AR4323)</f>
        <v>0</v>
      </c>
      <c r="AS4324" s="12">
        <f t="shared" ref="AS4324" si="1645">SUM(AS4124:AS4323)</f>
        <v>1</v>
      </c>
      <c r="AT4324" s="12">
        <f t="shared" ref="AT4324" si="1646">SUM(AT4124:AT4323)</f>
        <v>0</v>
      </c>
      <c r="AU4324" s="12">
        <f t="shared" ref="AU4324" si="1647">SUM(AU4124:AU4323)</f>
        <v>0</v>
      </c>
      <c r="AV4324" s="12">
        <f t="shared" ref="AV4324" si="1648">SUM(AV4124:AV4323)</f>
        <v>0</v>
      </c>
      <c r="AW4324" s="12">
        <f t="shared" ref="AW4324" si="1649">SUM(AW4124:AW4323)</f>
        <v>0</v>
      </c>
      <c r="AX4324" s="12">
        <f t="shared" ref="AX4324" si="1650">SUM(AX4124:AX4323)</f>
        <v>0</v>
      </c>
      <c r="AY4324" s="12">
        <f t="shared" ref="AY4324" si="1651">SUM(AY4124:AY4323)</f>
        <v>0</v>
      </c>
      <c r="AZ4324" s="12">
        <f t="shared" ref="AZ4324" si="1652">SUM(AZ4124:AZ4323)</f>
        <v>0</v>
      </c>
      <c r="BA4324" s="12">
        <f t="shared" ref="BA4324" si="1653">SUM(BA4124:BA4323)</f>
        <v>0</v>
      </c>
      <c r="BB4324" s="12">
        <f t="shared" ref="BB4324" si="1654">SUM(BB4124:BB4323)</f>
        <v>0</v>
      </c>
      <c r="BC4324" s="12">
        <f t="shared" ref="BC4324" si="1655">SUM(BC4124:BC4323)</f>
        <v>0</v>
      </c>
      <c r="BD4324" s="12">
        <f t="shared" ref="BD4324" si="1656">SUM(BD4124:BD4323)</f>
        <v>0</v>
      </c>
      <c r="BE4324" s="12">
        <f t="shared" ref="BE4324" si="1657">SUM(BE4124:BE4323)</f>
        <v>0</v>
      </c>
      <c r="BF4324" s="12">
        <f t="shared" ref="BF4324" si="1658">SUM(BF4124:BF4323)</f>
        <v>0</v>
      </c>
      <c r="BG4324" s="12">
        <f t="shared" ref="BG4324" si="1659">SUM(BG4124:BG4323)</f>
        <v>1</v>
      </c>
      <c r="BH4324" s="12">
        <f t="shared" ref="BH4324" si="1660">SUM(BH4124:BH4323)</f>
        <v>0</v>
      </c>
      <c r="BI4324" s="12">
        <f t="shared" ref="BI4324" si="1661">SUM(BI4124:BI4323)</f>
        <v>0</v>
      </c>
      <c r="BJ4324" s="12">
        <f t="shared" ref="BJ4324" si="1662">SUM(BJ4124:BJ4323)</f>
        <v>0</v>
      </c>
      <c r="BK4324" s="12">
        <f t="shared" ref="BK4324" si="1663">SUM(BK4124:BK4323)</f>
        <v>0</v>
      </c>
      <c r="BL4324" s="12">
        <f t="shared" ref="BL4324" si="1664">SUM(BL4124:BL4323)</f>
        <v>0</v>
      </c>
      <c r="BM4324" s="12">
        <f t="shared" ref="BM4324" si="1665">SUM(BM4124:BM4323)</f>
        <v>0</v>
      </c>
      <c r="BN4324" s="12">
        <f t="shared" ref="BN4324" si="1666">SUM(BN4124:BN4323)</f>
        <v>0</v>
      </c>
      <c r="BO4324" s="12">
        <f t="shared" ref="BO4324" si="1667">SUM(BO4124:BO4323)</f>
        <v>0</v>
      </c>
      <c r="BP4324" s="12">
        <f t="shared" ref="BP4324" si="1668">SUM(BP4124:BP4323)</f>
        <v>0</v>
      </c>
      <c r="BQ4324" s="12">
        <f t="shared" ref="BQ4324" si="1669">SUM(BQ4124:BQ4323)</f>
        <v>0</v>
      </c>
      <c r="BR4324" s="12">
        <f t="shared" ref="BR4324" si="1670">SUM(BR4124:BR4323)</f>
        <v>0</v>
      </c>
      <c r="BS4324" s="12">
        <f t="shared" ref="BS4324" si="1671">SUM(BS4124:BS4323)</f>
        <v>0</v>
      </c>
      <c r="BT4324" s="12">
        <f t="shared" ref="BT4324" si="1672">SUM(BT4124:BT4323)</f>
        <v>0</v>
      </c>
      <c r="BU4324" s="12">
        <f t="shared" ref="BU4324" si="1673">SUM(BU4124:BU4323)</f>
        <v>0</v>
      </c>
      <c r="BV4324" s="12">
        <f t="shared" ref="BV4324" si="1674">SUM(BV4124:BV4323)</f>
        <v>0</v>
      </c>
      <c r="BW4324" s="12">
        <f t="shared" ref="BW4324" si="1675">SUM(BW4124:BW4323)</f>
        <v>0</v>
      </c>
      <c r="BX4324" s="12">
        <f t="shared" ref="BX4324" si="1676">SUM(BX4124:BX4323)</f>
        <v>0</v>
      </c>
      <c r="BY4324" s="12">
        <f t="shared" ref="BY4324" si="1677">SUM(BY4124:BY4323)</f>
        <v>0</v>
      </c>
      <c r="BZ4324" s="12">
        <f t="shared" ref="BZ4324" si="1678">SUM(BZ4124:BZ4323)</f>
        <v>0</v>
      </c>
      <c r="CA4324" s="12">
        <f t="shared" ref="CA4324" si="1679">SUM(CA4124:CA4323)</f>
        <v>0</v>
      </c>
      <c r="CB4324" s="12">
        <f t="shared" ref="CB4324" si="1680">SUM(CB4124:CB4323)</f>
        <v>0</v>
      </c>
      <c r="CC4324" s="12">
        <f t="shared" ref="CC4324" si="1681">SUM(CC4124:CC4323)</f>
        <v>0</v>
      </c>
      <c r="CD4324" s="12">
        <f t="shared" ref="CD4324" si="1682">SUM(CD4124:CD4323)</f>
        <v>0</v>
      </c>
      <c r="CE4324" s="12">
        <f t="shared" ref="CE4324" si="1683">SUM(CE4124:CE4323)</f>
        <v>0</v>
      </c>
      <c r="CF4324" s="12">
        <f t="shared" ref="CF4324" si="1684">SUM(CF4124:CF4323)</f>
        <v>0</v>
      </c>
      <c r="CG4324" s="12">
        <f t="shared" ref="CG4324" si="1685">SUM(CG4124:CG4323)</f>
        <v>0</v>
      </c>
      <c r="CH4324" s="12">
        <f t="shared" ref="CH4324" si="1686">SUM(CH4124:CH4323)</f>
        <v>0</v>
      </c>
      <c r="CI4324" s="12">
        <f t="shared" ref="CI4324" si="1687">SUM(CI4124:CI4323)</f>
        <v>0</v>
      </c>
      <c r="CJ4324" s="12">
        <f t="shared" ref="CJ4324" si="1688">SUM(CJ4124:CJ4323)</f>
        <v>0</v>
      </c>
      <c r="CK4324" s="12">
        <f t="shared" ref="CK4324" si="1689">SUM(CK4124:CK4323)</f>
        <v>0</v>
      </c>
      <c r="CL4324" s="12">
        <f t="shared" ref="CL4324" si="1690">SUM(CL4124:CL4323)</f>
        <v>0</v>
      </c>
    </row>
    <row r="4325" spans="1:90" x14ac:dyDescent="0.3">
      <c r="A4325" s="1" t="s">
        <v>65</v>
      </c>
      <c r="B4325" s="7">
        <v>40766</v>
      </c>
      <c r="C4325" s="1">
        <v>9</v>
      </c>
      <c r="D4325" s="1">
        <v>117</v>
      </c>
      <c r="E4325" s="1">
        <v>0</v>
      </c>
      <c r="F4325" s="1">
        <v>1</v>
      </c>
      <c r="R4325" s="1">
        <v>1</v>
      </c>
    </row>
    <row r="4326" spans="1:90" x14ac:dyDescent="0.3">
      <c r="A4326" s="1" t="s">
        <v>65</v>
      </c>
      <c r="B4326" s="7">
        <v>40766</v>
      </c>
      <c r="C4326" s="1">
        <v>9</v>
      </c>
      <c r="D4326" s="1">
        <v>117</v>
      </c>
      <c r="E4326" s="1">
        <v>0</v>
      </c>
      <c r="F4326" s="1">
        <v>2</v>
      </c>
      <c r="AB4326" s="1">
        <v>1</v>
      </c>
      <c r="AF4326" s="1">
        <v>1</v>
      </c>
    </row>
    <row r="4327" spans="1:90" x14ac:dyDescent="0.3">
      <c r="A4327" s="1" t="s">
        <v>65</v>
      </c>
      <c r="B4327" s="7">
        <v>40766</v>
      </c>
      <c r="C4327" s="1">
        <v>9</v>
      </c>
      <c r="D4327" s="1">
        <v>117</v>
      </c>
      <c r="E4327" s="1">
        <v>0</v>
      </c>
      <c r="F4327" s="1">
        <v>3</v>
      </c>
      <c r="R4327" s="3">
        <v>0</v>
      </c>
      <c r="S4327" s="3">
        <v>1</v>
      </c>
      <c r="AB4327" s="1">
        <v>1</v>
      </c>
    </row>
    <row r="4328" spans="1:90" x14ac:dyDescent="0.3">
      <c r="A4328" s="1" t="s">
        <v>65</v>
      </c>
      <c r="B4328" s="7">
        <v>40766</v>
      </c>
      <c r="C4328" s="1">
        <v>9</v>
      </c>
      <c r="D4328" s="1">
        <v>117</v>
      </c>
      <c r="E4328" s="1">
        <v>0</v>
      </c>
      <c r="F4328" s="1">
        <v>4</v>
      </c>
      <c r="H4328" s="1">
        <v>1</v>
      </c>
      <c r="R4328" s="1">
        <v>1</v>
      </c>
    </row>
    <row r="4329" spans="1:90" x14ac:dyDescent="0.3">
      <c r="A4329" s="1" t="s">
        <v>65</v>
      </c>
      <c r="B4329" s="7">
        <v>40766</v>
      </c>
      <c r="C4329" s="1">
        <v>9</v>
      </c>
      <c r="D4329" s="1">
        <v>117</v>
      </c>
      <c r="E4329" s="1">
        <v>0</v>
      </c>
      <c r="F4329" s="1">
        <v>5</v>
      </c>
      <c r="H4329" s="1">
        <v>1</v>
      </c>
      <c r="R4329" s="1">
        <v>1</v>
      </c>
    </row>
    <row r="4330" spans="1:90" x14ac:dyDescent="0.3">
      <c r="A4330" s="1" t="s">
        <v>65</v>
      </c>
      <c r="B4330" s="7">
        <v>40766</v>
      </c>
      <c r="C4330" s="1">
        <v>9</v>
      </c>
      <c r="D4330" s="1">
        <v>117</v>
      </c>
      <c r="E4330" s="1">
        <v>0</v>
      </c>
      <c r="F4330" s="1">
        <v>6</v>
      </c>
      <c r="R4330" s="1">
        <v>1</v>
      </c>
      <c r="AB4330" s="1">
        <v>1</v>
      </c>
    </row>
    <row r="4331" spans="1:90" x14ac:dyDescent="0.3">
      <c r="A4331" s="1" t="s">
        <v>65</v>
      </c>
      <c r="B4331" s="7">
        <v>40766</v>
      </c>
      <c r="C4331" s="1">
        <v>9</v>
      </c>
      <c r="D4331" s="1">
        <v>117</v>
      </c>
      <c r="E4331" s="1">
        <v>0</v>
      </c>
      <c r="F4331" s="1">
        <v>7</v>
      </c>
      <c r="R4331" s="3">
        <v>0</v>
      </c>
      <c r="S4331" s="3">
        <v>1</v>
      </c>
      <c r="AB4331" s="1">
        <v>1</v>
      </c>
    </row>
    <row r="4332" spans="1:90" x14ac:dyDescent="0.3">
      <c r="A4332" s="1" t="s">
        <v>65</v>
      </c>
      <c r="B4332" s="7">
        <v>40766</v>
      </c>
      <c r="C4332" s="1">
        <v>9</v>
      </c>
      <c r="D4332" s="1">
        <v>117</v>
      </c>
      <c r="E4332" s="1">
        <v>0</v>
      </c>
      <c r="F4332" s="1">
        <v>8</v>
      </c>
      <c r="I4332" s="1">
        <v>1</v>
      </c>
      <c r="R4332" s="1">
        <v>1</v>
      </c>
    </row>
    <row r="4333" spans="1:90" x14ac:dyDescent="0.3">
      <c r="A4333" s="1" t="s">
        <v>65</v>
      </c>
      <c r="B4333" s="7">
        <v>40766</v>
      </c>
      <c r="C4333" s="1">
        <v>9</v>
      </c>
      <c r="D4333" s="1">
        <v>117</v>
      </c>
      <c r="E4333" s="1">
        <v>0</v>
      </c>
      <c r="F4333" s="1">
        <v>9</v>
      </c>
      <c r="I4333" s="1">
        <v>1</v>
      </c>
    </row>
    <row r="4334" spans="1:90" x14ac:dyDescent="0.3">
      <c r="A4334" s="1" t="s">
        <v>65</v>
      </c>
      <c r="B4334" s="7">
        <v>40766</v>
      </c>
      <c r="C4334" s="1">
        <v>9</v>
      </c>
      <c r="D4334" s="1">
        <v>117</v>
      </c>
      <c r="E4334" s="1">
        <v>0</v>
      </c>
      <c r="F4334" s="1">
        <v>10</v>
      </c>
      <c r="R4334" s="1">
        <v>1</v>
      </c>
    </row>
    <row r="4335" spans="1:90" x14ac:dyDescent="0.3">
      <c r="A4335" s="1" t="s">
        <v>65</v>
      </c>
      <c r="B4335" s="7">
        <v>40766</v>
      </c>
      <c r="C4335" s="1">
        <v>9</v>
      </c>
      <c r="D4335" s="1">
        <v>117</v>
      </c>
      <c r="E4335" s="1">
        <v>0</v>
      </c>
      <c r="F4335" s="1">
        <v>11</v>
      </c>
      <c r="R4335" s="1">
        <v>1</v>
      </c>
      <c r="BC4335" s="1">
        <v>1</v>
      </c>
    </row>
    <row r="4336" spans="1:90" x14ac:dyDescent="0.3">
      <c r="A4336" s="1" t="s">
        <v>65</v>
      </c>
      <c r="B4336" s="7">
        <v>40766</v>
      </c>
      <c r="C4336" s="1">
        <v>9</v>
      </c>
      <c r="D4336" s="1">
        <v>117</v>
      </c>
      <c r="E4336" s="1">
        <v>0</v>
      </c>
      <c r="F4336" s="1">
        <v>12</v>
      </c>
      <c r="R4336" s="1">
        <v>1</v>
      </c>
      <c r="AB4336" s="1">
        <v>1</v>
      </c>
    </row>
    <row r="4337" spans="1:55" x14ac:dyDescent="0.3">
      <c r="A4337" s="1" t="s">
        <v>65</v>
      </c>
      <c r="B4337" s="7">
        <v>40766</v>
      </c>
      <c r="C4337" s="1">
        <v>9</v>
      </c>
      <c r="D4337" s="1">
        <v>117</v>
      </c>
      <c r="E4337" s="1">
        <v>0</v>
      </c>
      <c r="F4337" s="1">
        <v>13</v>
      </c>
      <c r="I4337" s="1">
        <v>1</v>
      </c>
      <c r="R4337" s="1">
        <v>1</v>
      </c>
      <c r="BC4337" s="1">
        <v>1</v>
      </c>
    </row>
    <row r="4338" spans="1:55" x14ac:dyDescent="0.3">
      <c r="A4338" s="1" t="s">
        <v>65</v>
      </c>
      <c r="B4338" s="7">
        <v>40766</v>
      </c>
      <c r="C4338" s="1">
        <v>9</v>
      </c>
      <c r="D4338" s="1">
        <v>117</v>
      </c>
      <c r="E4338" s="1">
        <v>0</v>
      </c>
      <c r="F4338" s="1">
        <v>14</v>
      </c>
      <c r="R4338" s="1">
        <v>1</v>
      </c>
    </row>
    <row r="4339" spans="1:55" x14ac:dyDescent="0.3">
      <c r="A4339" s="1" t="s">
        <v>65</v>
      </c>
      <c r="B4339" s="7">
        <v>40766</v>
      </c>
      <c r="C4339" s="1">
        <v>9</v>
      </c>
      <c r="D4339" s="1">
        <v>117</v>
      </c>
      <c r="E4339" s="1">
        <v>0</v>
      </c>
      <c r="F4339" s="1">
        <v>15</v>
      </c>
      <c r="I4339" s="1">
        <v>1</v>
      </c>
      <c r="R4339" s="1">
        <v>1</v>
      </c>
    </row>
    <row r="4340" spans="1:55" x14ac:dyDescent="0.3">
      <c r="A4340" s="1" t="s">
        <v>65</v>
      </c>
      <c r="B4340" s="7">
        <v>40766</v>
      </c>
      <c r="C4340" s="1">
        <v>9</v>
      </c>
      <c r="D4340" s="1">
        <v>117</v>
      </c>
      <c r="E4340" s="1">
        <v>0</v>
      </c>
      <c r="F4340" s="1">
        <v>16</v>
      </c>
      <c r="R4340" s="1">
        <v>1</v>
      </c>
    </row>
    <row r="4341" spans="1:55" x14ac:dyDescent="0.3">
      <c r="A4341" s="1" t="s">
        <v>65</v>
      </c>
      <c r="B4341" s="7">
        <v>40766</v>
      </c>
      <c r="C4341" s="1">
        <v>9</v>
      </c>
      <c r="D4341" s="1">
        <v>117</v>
      </c>
      <c r="E4341" s="1">
        <v>0</v>
      </c>
      <c r="F4341" s="1">
        <v>17</v>
      </c>
      <c r="H4341" s="1">
        <v>1</v>
      </c>
    </row>
    <row r="4342" spans="1:55" x14ac:dyDescent="0.3">
      <c r="A4342" s="1" t="s">
        <v>65</v>
      </c>
      <c r="B4342" s="7">
        <v>40766</v>
      </c>
      <c r="C4342" s="1">
        <v>9</v>
      </c>
      <c r="D4342" s="1">
        <v>117</v>
      </c>
      <c r="E4342" s="1">
        <v>0</v>
      </c>
      <c r="F4342" s="1">
        <v>18</v>
      </c>
      <c r="AF4342" s="1">
        <v>1</v>
      </c>
    </row>
    <row r="4343" spans="1:55" x14ac:dyDescent="0.3">
      <c r="A4343" s="1" t="s">
        <v>65</v>
      </c>
      <c r="B4343" s="7">
        <v>40766</v>
      </c>
      <c r="C4343" s="1">
        <v>9</v>
      </c>
      <c r="D4343" s="1">
        <v>117</v>
      </c>
      <c r="E4343" s="1">
        <v>0</v>
      </c>
      <c r="F4343" s="1">
        <v>19</v>
      </c>
      <c r="R4343" s="1">
        <v>1</v>
      </c>
      <c r="AF4343" s="1">
        <v>1</v>
      </c>
    </row>
    <row r="4344" spans="1:55" x14ac:dyDescent="0.3">
      <c r="A4344" s="1" t="s">
        <v>65</v>
      </c>
      <c r="B4344" s="7">
        <v>40766</v>
      </c>
      <c r="C4344" s="1">
        <v>9</v>
      </c>
      <c r="D4344" s="1">
        <v>117</v>
      </c>
      <c r="E4344" s="1">
        <v>0</v>
      </c>
      <c r="F4344" s="1">
        <v>20</v>
      </c>
      <c r="R4344" s="1">
        <v>1</v>
      </c>
      <c r="AF4344" s="1">
        <v>1</v>
      </c>
    </row>
    <row r="4345" spans="1:55" x14ac:dyDescent="0.3">
      <c r="A4345" s="1" t="s">
        <v>65</v>
      </c>
      <c r="B4345" s="7">
        <v>40766</v>
      </c>
      <c r="C4345" s="1">
        <v>9</v>
      </c>
      <c r="D4345" s="1">
        <v>117</v>
      </c>
      <c r="E4345" s="1">
        <v>0</v>
      </c>
      <c r="F4345" s="1">
        <v>21</v>
      </c>
      <c r="AB4345" s="1">
        <v>1</v>
      </c>
    </row>
    <row r="4346" spans="1:55" x14ac:dyDescent="0.3">
      <c r="A4346" s="1" t="s">
        <v>65</v>
      </c>
      <c r="B4346" s="7">
        <v>40766</v>
      </c>
      <c r="C4346" s="1">
        <v>9</v>
      </c>
      <c r="D4346" s="1">
        <v>117</v>
      </c>
      <c r="E4346" s="1">
        <v>0</v>
      </c>
      <c r="F4346" s="1">
        <v>22</v>
      </c>
      <c r="L4346" s="1">
        <v>1</v>
      </c>
      <c r="R4346" s="1">
        <v>1</v>
      </c>
    </row>
    <row r="4347" spans="1:55" x14ac:dyDescent="0.3">
      <c r="A4347" s="1" t="s">
        <v>65</v>
      </c>
      <c r="B4347" s="7">
        <v>40766</v>
      </c>
      <c r="C4347" s="1">
        <v>9</v>
      </c>
      <c r="D4347" s="1">
        <v>117</v>
      </c>
      <c r="E4347" s="1">
        <v>0</v>
      </c>
      <c r="F4347" s="1">
        <v>23</v>
      </c>
      <c r="L4347" s="1">
        <v>1</v>
      </c>
    </row>
    <row r="4348" spans="1:55" x14ac:dyDescent="0.3">
      <c r="A4348" s="1" t="s">
        <v>65</v>
      </c>
      <c r="B4348" s="7">
        <v>40766</v>
      </c>
      <c r="C4348" s="1">
        <v>9</v>
      </c>
      <c r="D4348" s="1">
        <v>117</v>
      </c>
      <c r="E4348" s="1">
        <v>0</v>
      </c>
      <c r="F4348" s="1">
        <v>24</v>
      </c>
      <c r="R4348" s="8">
        <v>1</v>
      </c>
      <c r="S4348" s="8"/>
    </row>
    <row r="4349" spans="1:55" x14ac:dyDescent="0.3">
      <c r="A4349" s="1" t="s">
        <v>65</v>
      </c>
      <c r="B4349" s="7">
        <v>40766</v>
      </c>
      <c r="C4349" s="1">
        <v>9</v>
      </c>
      <c r="D4349" s="1">
        <v>117</v>
      </c>
      <c r="E4349" s="1">
        <v>0</v>
      </c>
      <c r="F4349" s="1">
        <v>25</v>
      </c>
      <c r="R4349" s="3">
        <v>0</v>
      </c>
      <c r="S4349" s="3">
        <v>1</v>
      </c>
    </row>
    <row r="4350" spans="1:55" x14ac:dyDescent="0.3">
      <c r="A4350" s="1" t="s">
        <v>65</v>
      </c>
      <c r="B4350" s="7">
        <v>40766</v>
      </c>
      <c r="C4350" s="1">
        <v>9</v>
      </c>
      <c r="D4350" s="1">
        <v>117</v>
      </c>
      <c r="E4350" s="1">
        <v>0</v>
      </c>
      <c r="F4350" s="1">
        <v>26</v>
      </c>
      <c r="R4350" s="1">
        <v>1</v>
      </c>
    </row>
    <row r="4351" spans="1:55" x14ac:dyDescent="0.3">
      <c r="A4351" s="1" t="s">
        <v>65</v>
      </c>
      <c r="B4351" s="7">
        <v>40766</v>
      </c>
      <c r="C4351" s="1">
        <v>9</v>
      </c>
      <c r="D4351" s="1">
        <v>117</v>
      </c>
      <c r="E4351" s="1">
        <v>0</v>
      </c>
      <c r="F4351" s="1">
        <v>27</v>
      </c>
      <c r="R4351" s="1">
        <v>1</v>
      </c>
      <c r="AK4351" s="1">
        <v>1</v>
      </c>
    </row>
    <row r="4352" spans="1:55" x14ac:dyDescent="0.3">
      <c r="A4352" s="1" t="s">
        <v>65</v>
      </c>
      <c r="B4352" s="7">
        <v>40766</v>
      </c>
      <c r="C4352" s="1">
        <v>9</v>
      </c>
      <c r="D4352" s="1">
        <v>117</v>
      </c>
      <c r="E4352" s="1">
        <v>0</v>
      </c>
      <c r="F4352" s="1">
        <v>28</v>
      </c>
      <c r="R4352" s="3">
        <v>0</v>
      </c>
      <c r="S4352" s="3">
        <v>1</v>
      </c>
      <c r="AF4352" s="1">
        <v>1</v>
      </c>
    </row>
    <row r="4353" spans="1:51" x14ac:dyDescent="0.3">
      <c r="A4353" s="1" t="s">
        <v>65</v>
      </c>
      <c r="B4353" s="7">
        <v>40766</v>
      </c>
      <c r="C4353" s="1">
        <v>9</v>
      </c>
      <c r="D4353" s="1">
        <v>117</v>
      </c>
      <c r="E4353" s="1">
        <v>0</v>
      </c>
      <c r="F4353" s="1">
        <v>29</v>
      </c>
      <c r="R4353" s="1">
        <v>1</v>
      </c>
      <c r="AK4353" s="1">
        <v>1</v>
      </c>
    </row>
    <row r="4354" spans="1:51" x14ac:dyDescent="0.3">
      <c r="A4354" s="1" t="s">
        <v>65</v>
      </c>
      <c r="B4354" s="7">
        <v>40766</v>
      </c>
      <c r="C4354" s="1">
        <v>9</v>
      </c>
      <c r="D4354" s="1">
        <v>117</v>
      </c>
      <c r="E4354" s="1">
        <v>0</v>
      </c>
      <c r="F4354" s="1">
        <v>30</v>
      </c>
      <c r="R4354" s="1">
        <v>1</v>
      </c>
      <c r="AF4354" s="1">
        <v>1</v>
      </c>
    </row>
    <row r="4355" spans="1:51" x14ac:dyDescent="0.3">
      <c r="A4355" s="1" t="s">
        <v>65</v>
      </c>
      <c r="B4355" s="7">
        <v>40766</v>
      </c>
      <c r="C4355" s="1">
        <v>9</v>
      </c>
      <c r="D4355" s="1">
        <v>117</v>
      </c>
      <c r="E4355" s="1">
        <v>0</v>
      </c>
      <c r="F4355" s="1">
        <v>31</v>
      </c>
      <c r="AB4355" s="1">
        <v>1</v>
      </c>
    </row>
    <row r="4356" spans="1:51" x14ac:dyDescent="0.3">
      <c r="A4356" s="1" t="s">
        <v>65</v>
      </c>
      <c r="B4356" s="7">
        <v>40766</v>
      </c>
      <c r="C4356" s="1">
        <v>9</v>
      </c>
      <c r="D4356" s="1">
        <v>117</v>
      </c>
      <c r="E4356" s="1">
        <v>0</v>
      </c>
      <c r="F4356" s="1">
        <v>32</v>
      </c>
      <c r="R4356" s="1">
        <v>1</v>
      </c>
    </row>
    <row r="4357" spans="1:51" x14ac:dyDescent="0.3">
      <c r="A4357" s="1" t="s">
        <v>65</v>
      </c>
      <c r="B4357" s="7">
        <v>40766</v>
      </c>
      <c r="C4357" s="1">
        <v>9</v>
      </c>
      <c r="D4357" s="1">
        <v>117</v>
      </c>
      <c r="E4357" s="1">
        <v>0</v>
      </c>
      <c r="F4357" s="1">
        <v>33</v>
      </c>
      <c r="L4357" s="1">
        <v>1</v>
      </c>
      <c r="AB4357" s="1">
        <v>1</v>
      </c>
    </row>
    <row r="4358" spans="1:51" x14ac:dyDescent="0.3">
      <c r="A4358" s="1" t="s">
        <v>65</v>
      </c>
      <c r="B4358" s="7">
        <v>40766</v>
      </c>
      <c r="C4358" s="1">
        <v>9</v>
      </c>
      <c r="D4358" s="1">
        <v>117</v>
      </c>
      <c r="E4358" s="1">
        <v>0</v>
      </c>
      <c r="F4358" s="1">
        <v>34</v>
      </c>
      <c r="R4358" s="1">
        <v>1</v>
      </c>
      <c r="AY4358" s="1">
        <v>1</v>
      </c>
    </row>
    <row r="4359" spans="1:51" x14ac:dyDescent="0.3">
      <c r="A4359" s="1" t="s">
        <v>65</v>
      </c>
      <c r="B4359" s="7">
        <v>40766</v>
      </c>
      <c r="C4359" s="1">
        <v>9</v>
      </c>
      <c r="D4359" s="1">
        <v>117</v>
      </c>
      <c r="E4359" s="1">
        <v>0</v>
      </c>
      <c r="F4359" s="1">
        <v>35</v>
      </c>
      <c r="R4359" s="1">
        <v>1</v>
      </c>
      <c r="AK4359" s="1">
        <v>1</v>
      </c>
    </row>
    <row r="4360" spans="1:51" x14ac:dyDescent="0.3">
      <c r="A4360" s="1" t="s">
        <v>65</v>
      </c>
      <c r="B4360" s="7">
        <v>40766</v>
      </c>
      <c r="C4360" s="1">
        <v>9</v>
      </c>
      <c r="D4360" s="1">
        <v>117</v>
      </c>
      <c r="E4360" s="1">
        <v>0</v>
      </c>
      <c r="F4360" s="1">
        <v>36</v>
      </c>
      <c r="R4360" s="1">
        <v>1</v>
      </c>
      <c r="AF4360" s="1">
        <v>1</v>
      </c>
    </row>
    <row r="4361" spans="1:51" x14ac:dyDescent="0.3">
      <c r="A4361" s="1" t="s">
        <v>65</v>
      </c>
      <c r="B4361" s="7">
        <v>40766</v>
      </c>
      <c r="C4361" s="1">
        <v>9</v>
      </c>
      <c r="D4361" s="1">
        <v>117</v>
      </c>
      <c r="E4361" s="1">
        <v>0</v>
      </c>
      <c r="F4361" s="1">
        <v>37</v>
      </c>
      <c r="I4361" s="1">
        <v>1</v>
      </c>
      <c r="AK4361" s="1">
        <v>1</v>
      </c>
    </row>
    <row r="4362" spans="1:51" x14ac:dyDescent="0.3">
      <c r="A4362" s="1" t="s">
        <v>65</v>
      </c>
      <c r="B4362" s="7">
        <v>40766</v>
      </c>
      <c r="C4362" s="1">
        <v>9</v>
      </c>
      <c r="D4362" s="1">
        <v>117</v>
      </c>
      <c r="E4362" s="1">
        <v>0</v>
      </c>
      <c r="F4362" s="1">
        <v>38</v>
      </c>
      <c r="I4362" s="1">
        <v>1</v>
      </c>
    </row>
    <row r="4363" spans="1:51" x14ac:dyDescent="0.3">
      <c r="A4363" s="1" t="s">
        <v>65</v>
      </c>
      <c r="B4363" s="7">
        <v>40766</v>
      </c>
      <c r="C4363" s="1">
        <v>9</v>
      </c>
      <c r="D4363" s="1">
        <v>117</v>
      </c>
      <c r="E4363" s="1">
        <v>0</v>
      </c>
      <c r="F4363" s="1">
        <v>39</v>
      </c>
      <c r="I4363" s="1">
        <v>1</v>
      </c>
      <c r="R4363" s="1">
        <v>1</v>
      </c>
    </row>
    <row r="4364" spans="1:51" x14ac:dyDescent="0.3">
      <c r="A4364" s="1" t="s">
        <v>65</v>
      </c>
      <c r="B4364" s="7">
        <v>40766</v>
      </c>
      <c r="C4364" s="1">
        <v>9</v>
      </c>
      <c r="D4364" s="1">
        <v>117</v>
      </c>
      <c r="E4364" s="1">
        <v>0</v>
      </c>
      <c r="F4364" s="1">
        <v>40</v>
      </c>
      <c r="H4364" s="1">
        <v>1</v>
      </c>
      <c r="AF4364" s="1">
        <v>1</v>
      </c>
    </row>
    <row r="4365" spans="1:51" x14ac:dyDescent="0.3">
      <c r="A4365" s="1" t="s">
        <v>65</v>
      </c>
      <c r="B4365" s="7">
        <v>40766</v>
      </c>
      <c r="C4365" s="1">
        <v>9</v>
      </c>
      <c r="D4365" s="1">
        <v>117</v>
      </c>
      <c r="E4365" s="1">
        <v>0</v>
      </c>
      <c r="F4365" s="1">
        <v>41</v>
      </c>
      <c r="L4365" s="1">
        <v>1</v>
      </c>
      <c r="R4365" s="1">
        <v>1</v>
      </c>
    </row>
    <row r="4366" spans="1:51" x14ac:dyDescent="0.3">
      <c r="A4366" s="1" t="s">
        <v>65</v>
      </c>
      <c r="B4366" s="7">
        <v>40766</v>
      </c>
      <c r="C4366" s="1">
        <v>9</v>
      </c>
      <c r="D4366" s="1">
        <v>117</v>
      </c>
      <c r="E4366" s="1">
        <v>0</v>
      </c>
      <c r="F4366" s="1">
        <v>42</v>
      </c>
      <c r="H4366" s="1">
        <v>1</v>
      </c>
    </row>
    <row r="4367" spans="1:51" x14ac:dyDescent="0.3">
      <c r="A4367" s="1" t="s">
        <v>65</v>
      </c>
      <c r="B4367" s="7">
        <v>40766</v>
      </c>
      <c r="C4367" s="1">
        <v>9</v>
      </c>
      <c r="D4367" s="1">
        <v>117</v>
      </c>
      <c r="E4367" s="1">
        <v>0</v>
      </c>
      <c r="F4367" s="1">
        <v>43</v>
      </c>
      <c r="I4367" s="1">
        <v>1</v>
      </c>
      <c r="R4367" s="1">
        <v>1</v>
      </c>
    </row>
    <row r="4368" spans="1:51" x14ac:dyDescent="0.3">
      <c r="A4368" s="1" t="s">
        <v>65</v>
      </c>
      <c r="B4368" s="7">
        <v>40766</v>
      </c>
      <c r="C4368" s="1">
        <v>9</v>
      </c>
      <c r="D4368" s="1">
        <v>117</v>
      </c>
      <c r="E4368" s="1">
        <v>0</v>
      </c>
      <c r="F4368" s="1">
        <v>44</v>
      </c>
      <c r="R4368" s="1">
        <v>1</v>
      </c>
      <c r="AK4368" s="1">
        <v>1</v>
      </c>
    </row>
    <row r="4369" spans="1:45" x14ac:dyDescent="0.3">
      <c r="A4369" s="1" t="s">
        <v>65</v>
      </c>
      <c r="B4369" s="7">
        <v>40766</v>
      </c>
      <c r="C4369" s="1">
        <v>9</v>
      </c>
      <c r="D4369" s="1">
        <v>117</v>
      </c>
      <c r="E4369" s="1">
        <v>0</v>
      </c>
      <c r="F4369" s="1">
        <v>45</v>
      </c>
      <c r="AD4369" s="3">
        <v>0</v>
      </c>
      <c r="AE4369" s="3">
        <v>1</v>
      </c>
      <c r="AK4369" s="1">
        <v>1</v>
      </c>
    </row>
    <row r="4370" spans="1:45" x14ac:dyDescent="0.3">
      <c r="A4370" s="1" t="s">
        <v>65</v>
      </c>
      <c r="B4370" s="7">
        <v>40766</v>
      </c>
      <c r="C4370" s="1">
        <v>9</v>
      </c>
      <c r="D4370" s="1">
        <v>117</v>
      </c>
      <c r="E4370" s="1">
        <v>0</v>
      </c>
      <c r="F4370" s="1">
        <v>46</v>
      </c>
      <c r="R4370" s="3">
        <v>0</v>
      </c>
      <c r="S4370" s="3">
        <v>1</v>
      </c>
      <c r="AF4370" s="1">
        <v>1</v>
      </c>
    </row>
    <row r="4371" spans="1:45" x14ac:dyDescent="0.3">
      <c r="A4371" s="1" t="s">
        <v>65</v>
      </c>
      <c r="B4371" s="7">
        <v>40766</v>
      </c>
      <c r="C4371" s="1">
        <v>9</v>
      </c>
      <c r="D4371" s="1">
        <v>117</v>
      </c>
      <c r="E4371" s="1">
        <v>0</v>
      </c>
      <c r="F4371" s="1">
        <v>47</v>
      </c>
      <c r="I4371" s="1">
        <v>1</v>
      </c>
      <c r="R4371" s="1">
        <v>1</v>
      </c>
    </row>
    <row r="4372" spans="1:45" x14ac:dyDescent="0.3">
      <c r="A4372" s="1" t="s">
        <v>65</v>
      </c>
      <c r="B4372" s="7">
        <v>40766</v>
      </c>
      <c r="C4372" s="1">
        <v>9</v>
      </c>
      <c r="D4372" s="1">
        <v>117</v>
      </c>
      <c r="E4372" s="1">
        <v>0</v>
      </c>
      <c r="F4372" s="1">
        <v>48</v>
      </c>
      <c r="I4372" s="1">
        <v>1</v>
      </c>
      <c r="R4372" s="1">
        <v>1</v>
      </c>
    </row>
    <row r="4373" spans="1:45" x14ac:dyDescent="0.3">
      <c r="A4373" s="1" t="s">
        <v>65</v>
      </c>
      <c r="B4373" s="7">
        <v>40766</v>
      </c>
      <c r="C4373" s="1">
        <v>9</v>
      </c>
      <c r="D4373" s="1">
        <v>117</v>
      </c>
      <c r="E4373" s="1">
        <v>0</v>
      </c>
      <c r="F4373" s="1">
        <v>49</v>
      </c>
      <c r="R4373" s="1">
        <v>1</v>
      </c>
    </row>
    <row r="4374" spans="1:45" x14ac:dyDescent="0.3">
      <c r="A4374" s="1" t="s">
        <v>65</v>
      </c>
      <c r="B4374" s="7">
        <v>40766</v>
      </c>
      <c r="C4374" s="1">
        <v>9</v>
      </c>
      <c r="D4374" s="1">
        <v>117</v>
      </c>
      <c r="E4374" s="1">
        <v>0</v>
      </c>
      <c r="F4374" s="1">
        <v>50</v>
      </c>
      <c r="L4374" s="1">
        <v>1</v>
      </c>
      <c r="R4374" s="1">
        <v>1</v>
      </c>
      <c r="AS4374" s="1">
        <v>1</v>
      </c>
    </row>
    <row r="4375" spans="1:45" x14ac:dyDescent="0.3">
      <c r="A4375" s="1" t="s">
        <v>65</v>
      </c>
      <c r="B4375" s="7">
        <v>40766</v>
      </c>
      <c r="C4375" s="1">
        <v>9</v>
      </c>
      <c r="D4375" s="1">
        <v>117</v>
      </c>
      <c r="E4375" s="1">
        <v>0</v>
      </c>
      <c r="F4375" s="1">
        <v>51</v>
      </c>
      <c r="L4375" s="1">
        <v>1</v>
      </c>
    </row>
    <row r="4376" spans="1:45" x14ac:dyDescent="0.3">
      <c r="A4376" s="1" t="s">
        <v>65</v>
      </c>
      <c r="B4376" s="7">
        <v>40766</v>
      </c>
      <c r="C4376" s="1">
        <v>9</v>
      </c>
      <c r="D4376" s="1">
        <v>117</v>
      </c>
      <c r="E4376" s="1">
        <v>0</v>
      </c>
      <c r="F4376" s="1">
        <v>52</v>
      </c>
      <c r="L4376" s="1">
        <v>1</v>
      </c>
      <c r="R4376" s="1">
        <v>1</v>
      </c>
    </row>
    <row r="4377" spans="1:45" x14ac:dyDescent="0.3">
      <c r="A4377" s="1" t="s">
        <v>65</v>
      </c>
      <c r="B4377" s="7">
        <v>40766</v>
      </c>
      <c r="C4377" s="1">
        <v>9</v>
      </c>
      <c r="D4377" s="1">
        <v>117</v>
      </c>
      <c r="E4377" s="1">
        <v>0</v>
      </c>
      <c r="F4377" s="1">
        <v>53</v>
      </c>
      <c r="L4377" s="1">
        <v>1</v>
      </c>
      <c r="R4377" s="3">
        <v>0</v>
      </c>
      <c r="S4377" s="3">
        <v>1</v>
      </c>
    </row>
    <row r="4378" spans="1:45" x14ac:dyDescent="0.3">
      <c r="A4378" s="1" t="s">
        <v>65</v>
      </c>
      <c r="B4378" s="7">
        <v>40766</v>
      </c>
      <c r="C4378" s="1">
        <v>9</v>
      </c>
      <c r="D4378" s="1">
        <v>117</v>
      </c>
      <c r="E4378" s="1">
        <v>0</v>
      </c>
      <c r="F4378" s="1">
        <v>54</v>
      </c>
      <c r="R4378" s="1">
        <v>1</v>
      </c>
      <c r="AK4378" s="3">
        <v>0</v>
      </c>
      <c r="AL4378" s="3">
        <v>1</v>
      </c>
    </row>
    <row r="4379" spans="1:45" x14ac:dyDescent="0.3">
      <c r="A4379" s="1" t="s">
        <v>65</v>
      </c>
      <c r="B4379" s="7">
        <v>40766</v>
      </c>
      <c r="C4379" s="1">
        <v>9</v>
      </c>
      <c r="D4379" s="1">
        <v>117</v>
      </c>
      <c r="E4379" s="1">
        <v>0</v>
      </c>
      <c r="F4379" s="1">
        <v>55</v>
      </c>
      <c r="L4379" s="1">
        <v>1</v>
      </c>
      <c r="R4379" s="1">
        <v>1</v>
      </c>
    </row>
    <row r="4380" spans="1:45" x14ac:dyDescent="0.3">
      <c r="A4380" s="1" t="s">
        <v>65</v>
      </c>
      <c r="B4380" s="7">
        <v>40766</v>
      </c>
      <c r="C4380" s="1">
        <v>9</v>
      </c>
      <c r="D4380" s="1">
        <v>117</v>
      </c>
      <c r="E4380" s="1">
        <v>0</v>
      </c>
      <c r="F4380" s="1">
        <v>56</v>
      </c>
      <c r="H4380" s="1">
        <v>1</v>
      </c>
      <c r="AK4380" s="1">
        <v>1</v>
      </c>
    </row>
    <row r="4381" spans="1:45" x14ac:dyDescent="0.3">
      <c r="A4381" s="1" t="s">
        <v>65</v>
      </c>
      <c r="B4381" s="7">
        <v>40766</v>
      </c>
      <c r="C4381" s="1">
        <v>9</v>
      </c>
      <c r="D4381" s="1">
        <v>117</v>
      </c>
      <c r="E4381" s="1">
        <v>0</v>
      </c>
      <c r="F4381" s="1">
        <v>57</v>
      </c>
      <c r="H4381" s="1">
        <v>1</v>
      </c>
    </row>
    <row r="4382" spans="1:45" x14ac:dyDescent="0.3">
      <c r="A4382" s="1" t="s">
        <v>65</v>
      </c>
      <c r="B4382" s="7">
        <v>40766</v>
      </c>
      <c r="C4382" s="1">
        <v>9</v>
      </c>
      <c r="D4382" s="1">
        <v>117</v>
      </c>
      <c r="E4382" s="1">
        <v>0</v>
      </c>
      <c r="F4382" s="1">
        <v>58</v>
      </c>
      <c r="H4382" s="1">
        <v>1</v>
      </c>
      <c r="R4382" s="3">
        <v>0</v>
      </c>
      <c r="S4382" s="3">
        <v>1</v>
      </c>
    </row>
    <row r="4383" spans="1:45" x14ac:dyDescent="0.3">
      <c r="A4383" s="1" t="s">
        <v>65</v>
      </c>
      <c r="B4383" s="7">
        <v>40766</v>
      </c>
      <c r="C4383" s="1">
        <v>9</v>
      </c>
      <c r="D4383" s="1">
        <v>117</v>
      </c>
      <c r="E4383" s="1">
        <v>0</v>
      </c>
      <c r="F4383" s="1">
        <v>59</v>
      </c>
      <c r="H4383" s="1">
        <v>1</v>
      </c>
      <c r="R4383" s="3">
        <v>0</v>
      </c>
      <c r="S4383" s="3">
        <v>1</v>
      </c>
    </row>
    <row r="4384" spans="1:45" x14ac:dyDescent="0.3">
      <c r="A4384" s="1" t="s">
        <v>65</v>
      </c>
      <c r="B4384" s="7">
        <v>40766</v>
      </c>
      <c r="C4384" s="1">
        <v>9</v>
      </c>
      <c r="D4384" s="1">
        <v>117</v>
      </c>
      <c r="E4384" s="1">
        <v>0</v>
      </c>
      <c r="F4384" s="1">
        <v>60</v>
      </c>
      <c r="H4384" s="1">
        <v>1</v>
      </c>
    </row>
    <row r="4385" spans="1:37" x14ac:dyDescent="0.3">
      <c r="A4385" s="1" t="s">
        <v>65</v>
      </c>
      <c r="B4385" s="7">
        <v>40766</v>
      </c>
      <c r="C4385" s="1">
        <v>9</v>
      </c>
      <c r="D4385" s="1">
        <v>117</v>
      </c>
      <c r="E4385" s="1">
        <v>0</v>
      </c>
      <c r="F4385" s="1">
        <v>61</v>
      </c>
      <c r="R4385" s="1">
        <v>1</v>
      </c>
    </row>
    <row r="4386" spans="1:37" x14ac:dyDescent="0.3">
      <c r="A4386" s="1" t="s">
        <v>65</v>
      </c>
      <c r="B4386" s="7">
        <v>40766</v>
      </c>
      <c r="C4386" s="1">
        <v>9</v>
      </c>
      <c r="D4386" s="1">
        <v>117</v>
      </c>
      <c r="E4386" s="1">
        <v>0</v>
      </c>
      <c r="F4386" s="1">
        <v>62</v>
      </c>
      <c r="L4386" s="1">
        <v>1</v>
      </c>
      <c r="R4386" s="1">
        <v>1</v>
      </c>
    </row>
    <row r="4387" spans="1:37" x14ac:dyDescent="0.3">
      <c r="A4387" s="1" t="s">
        <v>65</v>
      </c>
      <c r="B4387" s="7">
        <v>40766</v>
      </c>
      <c r="C4387" s="1">
        <v>9</v>
      </c>
      <c r="D4387" s="1">
        <v>117</v>
      </c>
      <c r="E4387" s="1">
        <v>0</v>
      </c>
      <c r="F4387" s="1">
        <v>63</v>
      </c>
      <c r="L4387" s="1">
        <v>1</v>
      </c>
      <c r="R4387" s="1">
        <v>1</v>
      </c>
    </row>
    <row r="4388" spans="1:37" x14ac:dyDescent="0.3">
      <c r="A4388" s="1" t="s">
        <v>65</v>
      </c>
      <c r="B4388" s="7">
        <v>40766</v>
      </c>
      <c r="C4388" s="1">
        <v>9</v>
      </c>
      <c r="D4388" s="1">
        <v>117</v>
      </c>
      <c r="E4388" s="1">
        <v>0</v>
      </c>
      <c r="F4388" s="1">
        <v>64</v>
      </c>
      <c r="R4388" s="1">
        <v>1</v>
      </c>
    </row>
    <row r="4389" spans="1:37" x14ac:dyDescent="0.3">
      <c r="A4389" s="1" t="s">
        <v>65</v>
      </c>
      <c r="B4389" s="7">
        <v>40766</v>
      </c>
      <c r="C4389" s="1">
        <v>9</v>
      </c>
      <c r="D4389" s="1">
        <v>117</v>
      </c>
      <c r="E4389" s="1">
        <v>0</v>
      </c>
      <c r="F4389" s="1">
        <v>65</v>
      </c>
      <c r="R4389" s="1">
        <v>1</v>
      </c>
    </row>
    <row r="4390" spans="1:37" x14ac:dyDescent="0.3">
      <c r="A4390" s="1" t="s">
        <v>65</v>
      </c>
      <c r="B4390" s="7">
        <v>40766</v>
      </c>
      <c r="C4390" s="1">
        <v>9</v>
      </c>
      <c r="D4390" s="1">
        <v>117</v>
      </c>
      <c r="E4390" s="1">
        <v>0</v>
      </c>
      <c r="F4390" s="1">
        <v>66</v>
      </c>
      <c r="R4390" s="1">
        <v>1</v>
      </c>
    </row>
    <row r="4391" spans="1:37" x14ac:dyDescent="0.3">
      <c r="A4391" s="1" t="s">
        <v>65</v>
      </c>
      <c r="B4391" s="7">
        <v>40766</v>
      </c>
      <c r="C4391" s="1">
        <v>9</v>
      </c>
      <c r="D4391" s="1">
        <v>117</v>
      </c>
      <c r="E4391" s="1">
        <v>0</v>
      </c>
      <c r="F4391" s="1">
        <v>67</v>
      </c>
      <c r="R4391" s="1">
        <v>1</v>
      </c>
    </row>
    <row r="4392" spans="1:37" x14ac:dyDescent="0.3">
      <c r="A4392" s="1" t="s">
        <v>65</v>
      </c>
      <c r="B4392" s="7">
        <v>40766</v>
      </c>
      <c r="C4392" s="1">
        <v>9</v>
      </c>
      <c r="D4392" s="1">
        <v>117</v>
      </c>
      <c r="E4392" s="1">
        <v>0</v>
      </c>
      <c r="F4392" s="1">
        <v>68</v>
      </c>
      <c r="AK4392" s="1">
        <v>1</v>
      </c>
    </row>
    <row r="4393" spans="1:37" x14ac:dyDescent="0.3">
      <c r="A4393" s="1" t="s">
        <v>65</v>
      </c>
      <c r="B4393" s="7">
        <v>40766</v>
      </c>
      <c r="C4393" s="1">
        <v>9</v>
      </c>
      <c r="D4393" s="1">
        <v>117</v>
      </c>
      <c r="E4393" s="1">
        <v>0</v>
      </c>
      <c r="F4393" s="1">
        <v>69</v>
      </c>
      <c r="AF4393" s="1">
        <v>1</v>
      </c>
      <c r="AK4393" s="1">
        <v>1</v>
      </c>
    </row>
    <row r="4394" spans="1:37" x14ac:dyDescent="0.3">
      <c r="A4394" s="1" t="s">
        <v>65</v>
      </c>
      <c r="B4394" s="7">
        <v>40766</v>
      </c>
      <c r="C4394" s="1">
        <v>9</v>
      </c>
      <c r="D4394" s="1">
        <v>117</v>
      </c>
      <c r="E4394" s="1">
        <v>0</v>
      </c>
      <c r="F4394" s="1">
        <v>70</v>
      </c>
      <c r="R4394" s="3">
        <v>0</v>
      </c>
      <c r="S4394" s="3">
        <v>1</v>
      </c>
      <c r="AF4394" s="1">
        <v>1</v>
      </c>
    </row>
    <row r="4395" spans="1:37" x14ac:dyDescent="0.3">
      <c r="A4395" s="1" t="s">
        <v>65</v>
      </c>
      <c r="B4395" s="7">
        <v>40766</v>
      </c>
      <c r="C4395" s="1">
        <v>9</v>
      </c>
      <c r="D4395" s="1">
        <v>117</v>
      </c>
      <c r="E4395" s="1">
        <v>0</v>
      </c>
      <c r="F4395" s="1">
        <v>71</v>
      </c>
      <c r="R4395" s="3">
        <v>0</v>
      </c>
      <c r="S4395" s="3">
        <v>1</v>
      </c>
    </row>
    <row r="4396" spans="1:37" x14ac:dyDescent="0.3">
      <c r="A4396" s="1" t="s">
        <v>65</v>
      </c>
      <c r="B4396" s="7">
        <v>40766</v>
      </c>
      <c r="C4396" s="1">
        <v>9</v>
      </c>
      <c r="D4396" s="1">
        <v>117</v>
      </c>
      <c r="E4396" s="1">
        <v>0</v>
      </c>
      <c r="F4396" s="1">
        <v>72</v>
      </c>
      <c r="L4396" s="1">
        <v>1</v>
      </c>
      <c r="R4396" s="1">
        <v>1</v>
      </c>
    </row>
    <row r="4397" spans="1:37" x14ac:dyDescent="0.3">
      <c r="A4397" s="1" t="s">
        <v>65</v>
      </c>
      <c r="B4397" s="7">
        <v>40766</v>
      </c>
      <c r="C4397" s="1">
        <v>9</v>
      </c>
      <c r="D4397" s="1">
        <v>117</v>
      </c>
      <c r="E4397" s="1">
        <v>0</v>
      </c>
      <c r="F4397" s="1">
        <v>73</v>
      </c>
      <c r="AB4397" s="1">
        <v>1</v>
      </c>
    </row>
    <row r="4398" spans="1:37" x14ac:dyDescent="0.3">
      <c r="A4398" s="1" t="s">
        <v>65</v>
      </c>
      <c r="B4398" s="7">
        <v>40766</v>
      </c>
      <c r="C4398" s="1">
        <v>9</v>
      </c>
      <c r="D4398" s="1">
        <v>117</v>
      </c>
      <c r="E4398" s="1">
        <v>0</v>
      </c>
      <c r="F4398" s="1">
        <v>74</v>
      </c>
      <c r="AK4398" s="1">
        <v>1</v>
      </c>
    </row>
    <row r="4399" spans="1:37" x14ac:dyDescent="0.3">
      <c r="A4399" s="1" t="s">
        <v>65</v>
      </c>
      <c r="B4399" s="7">
        <v>40766</v>
      </c>
      <c r="C4399" s="1">
        <v>9</v>
      </c>
      <c r="D4399" s="1">
        <v>117</v>
      </c>
      <c r="E4399" s="1">
        <v>0</v>
      </c>
      <c r="F4399" s="1">
        <v>75</v>
      </c>
      <c r="R4399" s="3">
        <v>0</v>
      </c>
      <c r="S4399" s="3">
        <v>1</v>
      </c>
    </row>
    <row r="4400" spans="1:37" x14ac:dyDescent="0.3">
      <c r="A4400" s="1" t="s">
        <v>65</v>
      </c>
      <c r="B4400" s="7">
        <v>40766</v>
      </c>
      <c r="C4400" s="1">
        <v>9</v>
      </c>
      <c r="D4400" s="1">
        <v>117</v>
      </c>
      <c r="E4400" s="1">
        <v>0</v>
      </c>
      <c r="F4400" s="1">
        <v>76</v>
      </c>
      <c r="R4400" s="1">
        <v>1</v>
      </c>
      <c r="AK4400" s="1">
        <v>1</v>
      </c>
    </row>
    <row r="4401" spans="1:37" x14ac:dyDescent="0.3">
      <c r="A4401" s="1" t="s">
        <v>65</v>
      </c>
      <c r="B4401" s="7">
        <v>40766</v>
      </c>
      <c r="C4401" s="1">
        <v>9</v>
      </c>
      <c r="D4401" s="1">
        <v>117</v>
      </c>
      <c r="E4401" s="1">
        <v>0</v>
      </c>
      <c r="F4401" s="1">
        <v>77</v>
      </c>
      <c r="R4401" s="1">
        <v>1</v>
      </c>
      <c r="AK4401" s="1">
        <v>1</v>
      </c>
    </row>
    <row r="4402" spans="1:37" x14ac:dyDescent="0.3">
      <c r="A4402" s="1" t="s">
        <v>65</v>
      </c>
      <c r="B4402" s="7">
        <v>40766</v>
      </c>
      <c r="C4402" s="1">
        <v>9</v>
      </c>
      <c r="D4402" s="1">
        <v>117</v>
      </c>
      <c r="E4402" s="1">
        <v>0</v>
      </c>
      <c r="F4402" s="1">
        <v>78</v>
      </c>
      <c r="R4402" s="1">
        <v>1</v>
      </c>
      <c r="AF4402" s="1">
        <v>1</v>
      </c>
    </row>
    <row r="4403" spans="1:37" x14ac:dyDescent="0.3">
      <c r="A4403" s="1" t="s">
        <v>65</v>
      </c>
      <c r="B4403" s="7">
        <v>40766</v>
      </c>
      <c r="C4403" s="1">
        <v>9</v>
      </c>
      <c r="D4403" s="1">
        <v>117</v>
      </c>
      <c r="E4403" s="1">
        <v>0</v>
      </c>
      <c r="F4403" s="1">
        <v>79</v>
      </c>
      <c r="H4403" s="1">
        <v>1</v>
      </c>
    </row>
    <row r="4404" spans="1:37" x14ac:dyDescent="0.3">
      <c r="A4404" s="1" t="s">
        <v>65</v>
      </c>
      <c r="B4404" s="7">
        <v>40766</v>
      </c>
      <c r="C4404" s="1">
        <v>9</v>
      </c>
      <c r="D4404" s="1">
        <v>117</v>
      </c>
      <c r="E4404" s="1">
        <v>0</v>
      </c>
      <c r="F4404" s="1">
        <v>80</v>
      </c>
      <c r="R4404" s="1">
        <v>1</v>
      </c>
    </row>
    <row r="4405" spans="1:37" x14ac:dyDescent="0.3">
      <c r="A4405" s="1" t="s">
        <v>65</v>
      </c>
      <c r="B4405" s="7">
        <v>40766</v>
      </c>
      <c r="C4405" s="1">
        <v>9</v>
      </c>
      <c r="D4405" s="1">
        <v>117</v>
      </c>
      <c r="E4405" s="1">
        <v>0</v>
      </c>
      <c r="F4405" s="1">
        <v>81</v>
      </c>
      <c r="L4405" s="1">
        <v>1</v>
      </c>
      <c r="R4405" s="1">
        <v>1</v>
      </c>
    </row>
    <row r="4406" spans="1:37" x14ac:dyDescent="0.3">
      <c r="A4406" s="1" t="s">
        <v>65</v>
      </c>
      <c r="B4406" s="7">
        <v>40766</v>
      </c>
      <c r="C4406" s="1">
        <v>9</v>
      </c>
      <c r="D4406" s="1">
        <v>117</v>
      </c>
      <c r="E4406" s="1">
        <v>0</v>
      </c>
      <c r="F4406" s="1">
        <v>82</v>
      </c>
      <c r="L4406" s="1">
        <v>1</v>
      </c>
      <c r="R4406" s="1">
        <v>1</v>
      </c>
    </row>
    <row r="4407" spans="1:37" x14ac:dyDescent="0.3">
      <c r="A4407" s="1" t="s">
        <v>65</v>
      </c>
      <c r="B4407" s="7">
        <v>40766</v>
      </c>
      <c r="C4407" s="1">
        <v>9</v>
      </c>
      <c r="D4407" s="1">
        <v>117</v>
      </c>
      <c r="E4407" s="1">
        <v>0</v>
      </c>
      <c r="F4407" s="1">
        <v>83</v>
      </c>
      <c r="L4407" s="3">
        <v>0</v>
      </c>
      <c r="M4407" s="3">
        <v>1</v>
      </c>
      <c r="R4407" s="1">
        <v>1</v>
      </c>
    </row>
    <row r="4408" spans="1:37" x14ac:dyDescent="0.3">
      <c r="A4408" s="1" t="s">
        <v>65</v>
      </c>
      <c r="B4408" s="7">
        <v>40766</v>
      </c>
      <c r="C4408" s="1">
        <v>9</v>
      </c>
      <c r="D4408" s="1">
        <v>117</v>
      </c>
      <c r="E4408" s="1">
        <v>0</v>
      </c>
      <c r="F4408" s="1">
        <v>84</v>
      </c>
      <c r="R4408" s="1">
        <v>1</v>
      </c>
    </row>
    <row r="4409" spans="1:37" x14ac:dyDescent="0.3">
      <c r="A4409" s="1" t="s">
        <v>65</v>
      </c>
      <c r="B4409" s="7">
        <v>40766</v>
      </c>
      <c r="C4409" s="1">
        <v>9</v>
      </c>
      <c r="D4409" s="1">
        <v>117</v>
      </c>
      <c r="E4409" s="1">
        <v>0</v>
      </c>
      <c r="F4409" s="1">
        <v>85</v>
      </c>
      <c r="H4409" s="1">
        <v>1</v>
      </c>
      <c r="V4409" s="1">
        <v>1</v>
      </c>
    </row>
    <row r="4410" spans="1:37" x14ac:dyDescent="0.3">
      <c r="A4410" s="1" t="s">
        <v>65</v>
      </c>
      <c r="B4410" s="7">
        <v>40766</v>
      </c>
      <c r="C4410" s="1">
        <v>9</v>
      </c>
      <c r="D4410" s="1">
        <v>117</v>
      </c>
      <c r="E4410" s="1">
        <v>0</v>
      </c>
      <c r="F4410" s="1">
        <v>86</v>
      </c>
      <c r="R4410" s="3">
        <v>0</v>
      </c>
      <c r="S4410" s="3">
        <v>1</v>
      </c>
    </row>
    <row r="4411" spans="1:37" x14ac:dyDescent="0.3">
      <c r="A4411" s="1" t="s">
        <v>65</v>
      </c>
      <c r="B4411" s="7">
        <v>40766</v>
      </c>
      <c r="C4411" s="1">
        <v>9</v>
      </c>
      <c r="D4411" s="1">
        <v>117</v>
      </c>
      <c r="E4411" s="1">
        <v>0</v>
      </c>
      <c r="F4411" s="1">
        <v>87</v>
      </c>
      <c r="I4411" s="1">
        <v>1</v>
      </c>
      <c r="V4411" s="1">
        <v>1</v>
      </c>
    </row>
    <row r="4412" spans="1:37" x14ac:dyDescent="0.3">
      <c r="A4412" s="1" t="s">
        <v>65</v>
      </c>
      <c r="B4412" s="7">
        <v>40766</v>
      </c>
      <c r="C4412" s="1">
        <v>9</v>
      </c>
      <c r="D4412" s="1">
        <v>117</v>
      </c>
      <c r="E4412" s="1">
        <v>0</v>
      </c>
      <c r="F4412" s="1">
        <v>88</v>
      </c>
      <c r="R4412" s="1">
        <v>1</v>
      </c>
    </row>
    <row r="4413" spans="1:37" x14ac:dyDescent="0.3">
      <c r="A4413" s="1" t="s">
        <v>65</v>
      </c>
      <c r="B4413" s="7">
        <v>40766</v>
      </c>
      <c r="C4413" s="1">
        <v>9</v>
      </c>
      <c r="D4413" s="1">
        <v>117</v>
      </c>
      <c r="E4413" s="1">
        <v>0</v>
      </c>
      <c r="F4413" s="1">
        <v>89</v>
      </c>
    </row>
    <row r="4414" spans="1:37" x14ac:dyDescent="0.3">
      <c r="A4414" s="1" t="s">
        <v>65</v>
      </c>
      <c r="B4414" s="7">
        <v>40766</v>
      </c>
      <c r="C4414" s="1">
        <v>9</v>
      </c>
      <c r="D4414" s="1">
        <v>117</v>
      </c>
      <c r="E4414" s="1">
        <v>0</v>
      </c>
      <c r="F4414" s="1">
        <v>90</v>
      </c>
      <c r="H4414" s="1">
        <v>1</v>
      </c>
      <c r="R4414" s="1">
        <v>1</v>
      </c>
    </row>
    <row r="4415" spans="1:37" x14ac:dyDescent="0.3">
      <c r="A4415" s="1" t="s">
        <v>65</v>
      </c>
      <c r="B4415" s="7">
        <v>40766</v>
      </c>
      <c r="C4415" s="1">
        <v>9</v>
      </c>
      <c r="D4415" s="1">
        <v>117</v>
      </c>
      <c r="E4415" s="1">
        <v>0</v>
      </c>
      <c r="F4415" s="1">
        <v>91</v>
      </c>
      <c r="R4415" s="1">
        <v>1</v>
      </c>
    </row>
    <row r="4416" spans="1:37" x14ac:dyDescent="0.3">
      <c r="A4416" s="1" t="s">
        <v>65</v>
      </c>
      <c r="B4416" s="7">
        <v>40766</v>
      </c>
      <c r="C4416" s="1">
        <v>9</v>
      </c>
      <c r="D4416" s="1">
        <v>117</v>
      </c>
      <c r="E4416" s="1">
        <v>0</v>
      </c>
      <c r="F4416" s="1">
        <v>92</v>
      </c>
      <c r="R4416" s="3">
        <v>0</v>
      </c>
      <c r="S4416" s="3">
        <v>1</v>
      </c>
      <c r="AK4416" s="1">
        <v>1</v>
      </c>
    </row>
    <row r="4417" spans="1:37" x14ac:dyDescent="0.3">
      <c r="A4417" s="1" t="s">
        <v>65</v>
      </c>
      <c r="B4417" s="7">
        <v>40766</v>
      </c>
      <c r="C4417" s="1">
        <v>9</v>
      </c>
      <c r="D4417" s="1">
        <v>117</v>
      </c>
      <c r="E4417" s="1">
        <v>0</v>
      </c>
      <c r="F4417" s="1">
        <v>93</v>
      </c>
      <c r="AK4417" s="1">
        <v>1</v>
      </c>
    </row>
    <row r="4418" spans="1:37" x14ac:dyDescent="0.3">
      <c r="A4418" s="1" t="s">
        <v>65</v>
      </c>
      <c r="B4418" s="7">
        <v>40766</v>
      </c>
      <c r="C4418" s="1">
        <v>9</v>
      </c>
      <c r="D4418" s="1">
        <v>117</v>
      </c>
      <c r="E4418" s="1">
        <v>0</v>
      </c>
      <c r="F4418" s="1">
        <v>94</v>
      </c>
      <c r="L4418" s="1">
        <v>1</v>
      </c>
      <c r="R4418" s="1">
        <v>1</v>
      </c>
    </row>
    <row r="4419" spans="1:37" x14ac:dyDescent="0.3">
      <c r="A4419" s="1" t="s">
        <v>65</v>
      </c>
      <c r="B4419" s="7">
        <v>40766</v>
      </c>
      <c r="C4419" s="1">
        <v>9</v>
      </c>
      <c r="D4419" s="1">
        <v>117</v>
      </c>
      <c r="E4419" s="1">
        <v>0</v>
      </c>
      <c r="F4419" s="1">
        <v>95</v>
      </c>
      <c r="L4419" s="1">
        <v>1</v>
      </c>
      <c r="AF4419" s="1">
        <v>1</v>
      </c>
    </row>
    <row r="4420" spans="1:37" x14ac:dyDescent="0.3">
      <c r="A4420" s="1" t="s">
        <v>65</v>
      </c>
      <c r="B4420" s="7">
        <v>40766</v>
      </c>
      <c r="C4420" s="1">
        <v>9</v>
      </c>
      <c r="D4420" s="1">
        <v>117</v>
      </c>
      <c r="E4420" s="1">
        <v>0</v>
      </c>
      <c r="F4420" s="1">
        <v>96</v>
      </c>
      <c r="V4420" s="1">
        <v>1</v>
      </c>
    </row>
    <row r="4421" spans="1:37" x14ac:dyDescent="0.3">
      <c r="A4421" s="1" t="s">
        <v>65</v>
      </c>
      <c r="B4421" s="7">
        <v>40766</v>
      </c>
      <c r="C4421" s="1">
        <v>9</v>
      </c>
      <c r="D4421" s="1">
        <v>117</v>
      </c>
      <c r="E4421" s="1">
        <v>0</v>
      </c>
      <c r="F4421" s="1">
        <v>97</v>
      </c>
      <c r="H4421" s="1">
        <v>1</v>
      </c>
      <c r="R4421" s="3">
        <v>0</v>
      </c>
      <c r="S4421" s="3">
        <v>1</v>
      </c>
    </row>
    <row r="4422" spans="1:37" x14ac:dyDescent="0.3">
      <c r="A4422" s="1" t="s">
        <v>65</v>
      </c>
      <c r="B4422" s="7">
        <v>40766</v>
      </c>
      <c r="C4422" s="1">
        <v>9</v>
      </c>
      <c r="D4422" s="1">
        <v>117</v>
      </c>
      <c r="E4422" s="1">
        <v>0</v>
      </c>
      <c r="F4422" s="1">
        <v>98</v>
      </c>
      <c r="I4422" s="1">
        <v>1</v>
      </c>
      <c r="R4422" s="1">
        <v>1</v>
      </c>
    </row>
    <row r="4423" spans="1:37" x14ac:dyDescent="0.3">
      <c r="A4423" s="1" t="s">
        <v>65</v>
      </c>
      <c r="B4423" s="7">
        <v>40766</v>
      </c>
      <c r="C4423" s="1">
        <v>9</v>
      </c>
      <c r="D4423" s="1">
        <v>117</v>
      </c>
      <c r="E4423" s="1">
        <v>0</v>
      </c>
      <c r="F4423" s="1">
        <v>99</v>
      </c>
      <c r="H4423" s="1">
        <v>1</v>
      </c>
    </row>
    <row r="4424" spans="1:37" x14ac:dyDescent="0.3">
      <c r="A4424" s="1" t="s">
        <v>65</v>
      </c>
      <c r="B4424" s="7">
        <v>40766</v>
      </c>
      <c r="C4424" s="1">
        <v>9</v>
      </c>
      <c r="D4424" s="1">
        <v>117</v>
      </c>
      <c r="E4424" s="1">
        <v>0</v>
      </c>
      <c r="F4424" s="1">
        <v>100</v>
      </c>
      <c r="H4424" s="1">
        <v>1</v>
      </c>
    </row>
    <row r="4425" spans="1:37" x14ac:dyDescent="0.3">
      <c r="A4425" s="1" t="s">
        <v>65</v>
      </c>
      <c r="B4425" s="7">
        <v>40766</v>
      </c>
      <c r="C4425" s="1">
        <v>14.5</v>
      </c>
      <c r="D4425" s="1">
        <v>121</v>
      </c>
      <c r="E4425" s="1">
        <v>3</v>
      </c>
      <c r="F4425" s="1">
        <v>1</v>
      </c>
      <c r="I4425" s="1">
        <v>1</v>
      </c>
      <c r="L4425" s="1">
        <v>1</v>
      </c>
    </row>
    <row r="4426" spans="1:37" x14ac:dyDescent="0.3">
      <c r="A4426" s="1" t="s">
        <v>65</v>
      </c>
      <c r="B4426" s="7">
        <v>40766</v>
      </c>
      <c r="C4426" s="1">
        <v>14.5</v>
      </c>
      <c r="D4426" s="1">
        <v>121</v>
      </c>
      <c r="E4426" s="1">
        <v>3</v>
      </c>
      <c r="F4426" s="1">
        <v>2</v>
      </c>
      <c r="H4426" s="1">
        <v>1</v>
      </c>
      <c r="R4426" s="1">
        <v>1</v>
      </c>
    </row>
    <row r="4427" spans="1:37" x14ac:dyDescent="0.3">
      <c r="A4427" s="1" t="s">
        <v>65</v>
      </c>
      <c r="B4427" s="7">
        <v>40766</v>
      </c>
      <c r="C4427" s="1">
        <v>14.5</v>
      </c>
      <c r="D4427" s="1">
        <v>121</v>
      </c>
      <c r="E4427" s="1">
        <v>3</v>
      </c>
      <c r="F4427" s="1">
        <v>3</v>
      </c>
      <c r="J4427" s="3">
        <v>0</v>
      </c>
      <c r="K4427" s="3">
        <v>1</v>
      </c>
    </row>
    <row r="4428" spans="1:37" x14ac:dyDescent="0.3">
      <c r="A4428" s="1" t="s">
        <v>65</v>
      </c>
      <c r="B4428" s="7">
        <v>40766</v>
      </c>
      <c r="C4428" s="1">
        <v>14.5</v>
      </c>
      <c r="D4428" s="1">
        <v>121</v>
      </c>
      <c r="E4428" s="1">
        <v>3</v>
      </c>
      <c r="F4428" s="1">
        <v>4</v>
      </c>
      <c r="J4428" s="1">
        <v>1</v>
      </c>
    </row>
    <row r="4429" spans="1:37" x14ac:dyDescent="0.3">
      <c r="A4429" s="1" t="s">
        <v>65</v>
      </c>
      <c r="B4429" s="7">
        <v>40766</v>
      </c>
      <c r="C4429" s="1">
        <v>14.5</v>
      </c>
      <c r="D4429" s="1">
        <v>121</v>
      </c>
      <c r="E4429" s="1">
        <v>3</v>
      </c>
      <c r="F4429" s="1">
        <v>5</v>
      </c>
      <c r="J4429" s="3">
        <v>0</v>
      </c>
      <c r="K4429" s="3">
        <v>1</v>
      </c>
    </row>
    <row r="4430" spans="1:37" x14ac:dyDescent="0.3">
      <c r="A4430" s="1" t="s">
        <v>65</v>
      </c>
      <c r="B4430" s="7">
        <v>40766</v>
      </c>
      <c r="C4430" s="1">
        <v>14.5</v>
      </c>
      <c r="D4430" s="1">
        <v>121</v>
      </c>
      <c r="E4430" s="1">
        <v>3</v>
      </c>
      <c r="F4430" s="1">
        <v>6</v>
      </c>
      <c r="J4430" s="1">
        <v>1</v>
      </c>
      <c r="L4430" s="1">
        <v>1</v>
      </c>
    </row>
    <row r="4431" spans="1:37" x14ac:dyDescent="0.3">
      <c r="A4431" s="1" t="s">
        <v>65</v>
      </c>
      <c r="B4431" s="7">
        <v>40766</v>
      </c>
      <c r="C4431" s="1">
        <v>14.5</v>
      </c>
      <c r="D4431" s="1">
        <v>121</v>
      </c>
      <c r="E4431" s="1">
        <v>3</v>
      </c>
      <c r="F4431" s="1">
        <v>7</v>
      </c>
      <c r="J4431" s="1">
        <v>1</v>
      </c>
      <c r="L4431" s="1">
        <v>1</v>
      </c>
    </row>
    <row r="4432" spans="1:37" x14ac:dyDescent="0.3">
      <c r="A4432" s="1" t="s">
        <v>65</v>
      </c>
      <c r="B4432" s="7">
        <v>40766</v>
      </c>
      <c r="C4432" s="1">
        <v>14.5</v>
      </c>
      <c r="D4432" s="1">
        <v>121</v>
      </c>
      <c r="E4432" s="1">
        <v>3</v>
      </c>
      <c r="F4432" s="1">
        <v>8</v>
      </c>
      <c r="J4432" s="1">
        <v>1</v>
      </c>
    </row>
    <row r="4433" spans="1:32" x14ac:dyDescent="0.3">
      <c r="A4433" s="1" t="s">
        <v>65</v>
      </c>
      <c r="B4433" s="7">
        <v>40766</v>
      </c>
      <c r="C4433" s="1">
        <v>14.5</v>
      </c>
      <c r="D4433" s="1">
        <v>121</v>
      </c>
      <c r="E4433" s="1">
        <v>3</v>
      </c>
      <c r="F4433" s="1">
        <v>9</v>
      </c>
      <c r="J4433" s="1">
        <v>1</v>
      </c>
    </row>
    <row r="4434" spans="1:32" x14ac:dyDescent="0.3">
      <c r="A4434" s="1" t="s">
        <v>65</v>
      </c>
      <c r="B4434" s="7">
        <v>40766</v>
      </c>
      <c r="C4434" s="1">
        <v>14.5</v>
      </c>
      <c r="D4434" s="1">
        <v>121</v>
      </c>
      <c r="E4434" s="1">
        <v>3</v>
      </c>
      <c r="F4434" s="1">
        <v>10</v>
      </c>
      <c r="J4434" s="1">
        <v>1</v>
      </c>
      <c r="AF4434" s="1">
        <v>1</v>
      </c>
    </row>
    <row r="4435" spans="1:32" x14ac:dyDescent="0.3">
      <c r="A4435" s="1" t="s">
        <v>65</v>
      </c>
      <c r="B4435" s="7">
        <v>40766</v>
      </c>
      <c r="C4435" s="1">
        <v>14.5</v>
      </c>
      <c r="D4435" s="1">
        <v>121</v>
      </c>
      <c r="E4435" s="1">
        <v>3</v>
      </c>
      <c r="F4435" s="1">
        <v>11</v>
      </c>
      <c r="I4435" s="1">
        <v>1</v>
      </c>
      <c r="J4435" s="3">
        <v>0</v>
      </c>
      <c r="K4435" s="3">
        <v>1</v>
      </c>
    </row>
    <row r="4436" spans="1:32" x14ac:dyDescent="0.3">
      <c r="A4436" s="1" t="s">
        <v>65</v>
      </c>
      <c r="B4436" s="7">
        <v>40766</v>
      </c>
      <c r="C4436" s="1">
        <v>14.5</v>
      </c>
      <c r="D4436" s="1">
        <v>121</v>
      </c>
      <c r="E4436" s="1">
        <v>3</v>
      </c>
      <c r="F4436" s="1">
        <v>12</v>
      </c>
      <c r="J4436" s="1">
        <v>1</v>
      </c>
    </row>
    <row r="4437" spans="1:32" x14ac:dyDescent="0.3">
      <c r="A4437" s="1" t="s">
        <v>65</v>
      </c>
      <c r="B4437" s="7">
        <v>40766</v>
      </c>
      <c r="C4437" s="1">
        <v>14.5</v>
      </c>
      <c r="D4437" s="1">
        <v>121</v>
      </c>
      <c r="E4437" s="1">
        <v>3</v>
      </c>
      <c r="F4437" s="1">
        <v>13</v>
      </c>
      <c r="J4437" s="1">
        <v>1</v>
      </c>
    </row>
    <row r="4438" spans="1:32" x14ac:dyDescent="0.3">
      <c r="A4438" s="1" t="s">
        <v>65</v>
      </c>
      <c r="B4438" s="7">
        <v>40766</v>
      </c>
      <c r="C4438" s="1">
        <v>14.5</v>
      </c>
      <c r="D4438" s="1">
        <v>121</v>
      </c>
      <c r="E4438" s="1">
        <v>3</v>
      </c>
      <c r="F4438" s="1">
        <v>14</v>
      </c>
      <c r="J4438" s="1">
        <v>1</v>
      </c>
    </row>
    <row r="4439" spans="1:32" x14ac:dyDescent="0.3">
      <c r="A4439" s="1" t="s">
        <v>65</v>
      </c>
      <c r="B4439" s="7">
        <v>40766</v>
      </c>
      <c r="C4439" s="1">
        <v>14.5</v>
      </c>
      <c r="D4439" s="1">
        <v>121</v>
      </c>
      <c r="E4439" s="1">
        <v>3</v>
      </c>
      <c r="F4439" s="1">
        <v>15</v>
      </c>
      <c r="J4439" s="1">
        <v>1</v>
      </c>
      <c r="L4439" s="1">
        <v>1</v>
      </c>
    </row>
    <row r="4440" spans="1:32" x14ac:dyDescent="0.3">
      <c r="A4440" s="1" t="s">
        <v>65</v>
      </c>
      <c r="B4440" s="7">
        <v>40766</v>
      </c>
      <c r="C4440" s="1">
        <v>14.5</v>
      </c>
      <c r="D4440" s="1">
        <v>121</v>
      </c>
      <c r="E4440" s="1">
        <v>3</v>
      </c>
      <c r="F4440" s="1">
        <v>16</v>
      </c>
      <c r="J4440" s="3">
        <v>0</v>
      </c>
      <c r="K4440" s="3">
        <v>1</v>
      </c>
    </row>
    <row r="4441" spans="1:32" x14ac:dyDescent="0.3">
      <c r="A4441" s="1" t="s">
        <v>65</v>
      </c>
      <c r="B4441" s="7">
        <v>40766</v>
      </c>
      <c r="C4441" s="1">
        <v>14.5</v>
      </c>
      <c r="D4441" s="1">
        <v>121</v>
      </c>
      <c r="E4441" s="1">
        <v>3</v>
      </c>
      <c r="F4441" s="1">
        <v>17</v>
      </c>
      <c r="J4441" s="3">
        <v>0</v>
      </c>
      <c r="K4441" s="3">
        <v>1</v>
      </c>
    </row>
    <row r="4442" spans="1:32" x14ac:dyDescent="0.3">
      <c r="A4442" s="1" t="s">
        <v>65</v>
      </c>
      <c r="B4442" s="7">
        <v>40766</v>
      </c>
      <c r="C4442" s="1">
        <v>14.5</v>
      </c>
      <c r="D4442" s="1">
        <v>121</v>
      </c>
      <c r="E4442" s="1">
        <v>3</v>
      </c>
      <c r="F4442" s="1">
        <v>18</v>
      </c>
      <c r="J4442" s="3">
        <v>0</v>
      </c>
      <c r="K4442" s="3">
        <v>1</v>
      </c>
    </row>
    <row r="4443" spans="1:32" x14ac:dyDescent="0.3">
      <c r="A4443" s="1" t="s">
        <v>65</v>
      </c>
      <c r="B4443" s="7">
        <v>40766</v>
      </c>
      <c r="C4443" s="1">
        <v>14.5</v>
      </c>
      <c r="D4443" s="1">
        <v>121</v>
      </c>
      <c r="E4443" s="1">
        <v>3</v>
      </c>
      <c r="F4443" s="1">
        <v>19</v>
      </c>
      <c r="J4443" s="3">
        <v>0</v>
      </c>
      <c r="K4443" s="3">
        <v>1</v>
      </c>
    </row>
    <row r="4444" spans="1:32" x14ac:dyDescent="0.3">
      <c r="A4444" s="1" t="s">
        <v>65</v>
      </c>
      <c r="B4444" s="7">
        <v>40766</v>
      </c>
      <c r="C4444" s="1">
        <v>14.5</v>
      </c>
      <c r="D4444" s="1">
        <v>121</v>
      </c>
      <c r="E4444" s="1">
        <v>3</v>
      </c>
      <c r="F4444" s="1">
        <v>20</v>
      </c>
      <c r="H4444" s="1">
        <v>1</v>
      </c>
      <c r="J4444" s="1">
        <v>1</v>
      </c>
    </row>
    <row r="4445" spans="1:32" x14ac:dyDescent="0.3">
      <c r="A4445" s="1" t="s">
        <v>65</v>
      </c>
      <c r="B4445" s="7">
        <v>40766</v>
      </c>
      <c r="C4445" s="1">
        <v>14.5</v>
      </c>
      <c r="D4445" s="1">
        <v>121</v>
      </c>
      <c r="E4445" s="1">
        <v>3</v>
      </c>
      <c r="F4445" s="1">
        <v>21</v>
      </c>
      <c r="J4445" s="1">
        <v>1</v>
      </c>
      <c r="R4445" s="1">
        <v>1</v>
      </c>
    </row>
    <row r="4446" spans="1:32" x14ac:dyDescent="0.3">
      <c r="A4446" s="1" t="s">
        <v>65</v>
      </c>
      <c r="B4446" s="7">
        <v>40766</v>
      </c>
      <c r="C4446" s="1">
        <v>14.5</v>
      </c>
      <c r="D4446" s="1">
        <v>121</v>
      </c>
      <c r="E4446" s="1">
        <v>3</v>
      </c>
      <c r="F4446" s="1">
        <v>22</v>
      </c>
      <c r="J4446" s="1">
        <v>1</v>
      </c>
      <c r="R4446" s="1">
        <v>1</v>
      </c>
    </row>
    <row r="4447" spans="1:32" x14ac:dyDescent="0.3">
      <c r="A4447" s="1" t="s">
        <v>65</v>
      </c>
      <c r="B4447" s="7">
        <v>40766</v>
      </c>
      <c r="C4447" s="1">
        <v>14.5</v>
      </c>
      <c r="D4447" s="1">
        <v>121</v>
      </c>
      <c r="E4447" s="1">
        <v>3</v>
      </c>
      <c r="F4447" s="1">
        <v>23</v>
      </c>
      <c r="J4447" s="3">
        <v>0</v>
      </c>
      <c r="K4447" s="3">
        <v>1</v>
      </c>
      <c r="AD4447" s="3">
        <v>0</v>
      </c>
      <c r="AE4447" s="3">
        <v>1</v>
      </c>
    </row>
    <row r="4448" spans="1:32" x14ac:dyDescent="0.3">
      <c r="A4448" s="1" t="s">
        <v>65</v>
      </c>
      <c r="B4448" s="7">
        <v>40766</v>
      </c>
      <c r="C4448" s="1">
        <v>14.5</v>
      </c>
      <c r="D4448" s="1">
        <v>121</v>
      </c>
      <c r="E4448" s="1">
        <v>3</v>
      </c>
      <c r="F4448" s="1">
        <v>24</v>
      </c>
      <c r="J4448" s="1">
        <v>1</v>
      </c>
      <c r="AD4448" s="1">
        <v>1</v>
      </c>
    </row>
    <row r="4449" spans="1:31" x14ac:dyDescent="0.3">
      <c r="A4449" s="1" t="s">
        <v>65</v>
      </c>
      <c r="B4449" s="7">
        <v>40766</v>
      </c>
      <c r="C4449" s="1">
        <v>14.5</v>
      </c>
      <c r="D4449" s="1">
        <v>121</v>
      </c>
      <c r="E4449" s="1">
        <v>3</v>
      </c>
      <c r="F4449" s="1">
        <v>25</v>
      </c>
      <c r="J4449" s="1">
        <v>1</v>
      </c>
    </row>
    <row r="4450" spans="1:31" x14ac:dyDescent="0.3">
      <c r="A4450" s="1" t="s">
        <v>65</v>
      </c>
      <c r="B4450" s="7">
        <v>40766</v>
      </c>
      <c r="C4450" s="1">
        <v>14.5</v>
      </c>
      <c r="D4450" s="1">
        <v>121</v>
      </c>
      <c r="E4450" s="1">
        <v>3</v>
      </c>
      <c r="F4450" s="1">
        <v>26</v>
      </c>
      <c r="H4450" s="1">
        <v>1</v>
      </c>
      <c r="L4450" s="1">
        <v>1</v>
      </c>
    </row>
    <row r="4451" spans="1:31" x14ac:dyDescent="0.3">
      <c r="A4451" s="1" t="s">
        <v>65</v>
      </c>
      <c r="B4451" s="7">
        <v>40766</v>
      </c>
      <c r="C4451" s="1">
        <v>14.5</v>
      </c>
      <c r="D4451" s="1">
        <v>121</v>
      </c>
      <c r="E4451" s="1">
        <v>3</v>
      </c>
      <c r="F4451" s="1">
        <v>27</v>
      </c>
      <c r="J4451" s="1">
        <v>1</v>
      </c>
    </row>
    <row r="4452" spans="1:31" x14ac:dyDescent="0.3">
      <c r="A4452" s="1" t="s">
        <v>65</v>
      </c>
      <c r="B4452" s="7">
        <v>40766</v>
      </c>
      <c r="C4452" s="1">
        <v>14.5</v>
      </c>
      <c r="D4452" s="1">
        <v>121</v>
      </c>
      <c r="E4452" s="1">
        <v>3</v>
      </c>
      <c r="F4452" s="1">
        <v>28</v>
      </c>
      <c r="J4452" s="1">
        <v>1</v>
      </c>
    </row>
    <row r="4453" spans="1:31" x14ac:dyDescent="0.3">
      <c r="A4453" s="1" t="s">
        <v>65</v>
      </c>
      <c r="B4453" s="7">
        <v>40766</v>
      </c>
      <c r="C4453" s="1">
        <v>14.5</v>
      </c>
      <c r="D4453" s="1">
        <v>121</v>
      </c>
      <c r="E4453" s="1">
        <v>3</v>
      </c>
      <c r="F4453" s="1">
        <v>29</v>
      </c>
      <c r="J4453" s="3">
        <v>0</v>
      </c>
      <c r="K4453" s="3">
        <v>1</v>
      </c>
    </row>
    <row r="4454" spans="1:31" x14ac:dyDescent="0.3">
      <c r="A4454" s="1" t="s">
        <v>65</v>
      </c>
      <c r="B4454" s="7">
        <v>40766</v>
      </c>
      <c r="C4454" s="1">
        <v>14.5</v>
      </c>
      <c r="D4454" s="1">
        <v>121</v>
      </c>
      <c r="E4454" s="1">
        <v>3</v>
      </c>
      <c r="F4454" s="1">
        <v>30</v>
      </c>
      <c r="J4454" s="1">
        <v>1</v>
      </c>
    </row>
    <row r="4455" spans="1:31" x14ac:dyDescent="0.3">
      <c r="A4455" s="1" t="s">
        <v>65</v>
      </c>
      <c r="B4455" s="7">
        <v>40766</v>
      </c>
      <c r="C4455" s="1">
        <v>14.5</v>
      </c>
      <c r="D4455" s="1">
        <v>121</v>
      </c>
      <c r="E4455" s="1">
        <v>3</v>
      </c>
      <c r="F4455" s="1">
        <v>31</v>
      </c>
      <c r="I4455" s="1">
        <v>1</v>
      </c>
      <c r="AA4455" s="1">
        <v>1</v>
      </c>
    </row>
    <row r="4456" spans="1:31" x14ac:dyDescent="0.3">
      <c r="A4456" s="1" t="s">
        <v>65</v>
      </c>
      <c r="B4456" s="7">
        <v>40766</v>
      </c>
      <c r="C4456" s="1">
        <v>14.5</v>
      </c>
      <c r="D4456" s="1">
        <v>121</v>
      </c>
      <c r="E4456" s="1">
        <v>3</v>
      </c>
      <c r="F4456" s="1">
        <v>32</v>
      </c>
      <c r="I4456" s="1">
        <v>1</v>
      </c>
      <c r="J4456" s="1">
        <v>1</v>
      </c>
    </row>
    <row r="4457" spans="1:31" x14ac:dyDescent="0.3">
      <c r="A4457" s="1" t="s">
        <v>65</v>
      </c>
      <c r="B4457" s="7">
        <v>40766</v>
      </c>
      <c r="C4457" s="1">
        <v>14.5</v>
      </c>
      <c r="D4457" s="1">
        <v>121</v>
      </c>
      <c r="E4457" s="1">
        <v>3</v>
      </c>
      <c r="F4457" s="1">
        <v>33</v>
      </c>
      <c r="J4457" s="1">
        <v>1</v>
      </c>
    </row>
    <row r="4458" spans="1:31" x14ac:dyDescent="0.3">
      <c r="A4458" s="1" t="s">
        <v>65</v>
      </c>
      <c r="B4458" s="7">
        <v>40766</v>
      </c>
      <c r="C4458" s="1">
        <v>14.5</v>
      </c>
      <c r="D4458" s="1">
        <v>121</v>
      </c>
      <c r="E4458" s="1">
        <v>3</v>
      </c>
      <c r="F4458" s="1">
        <v>34</v>
      </c>
      <c r="J4458" s="3">
        <v>0</v>
      </c>
      <c r="K4458" s="3">
        <v>1</v>
      </c>
    </row>
    <row r="4459" spans="1:31" x14ac:dyDescent="0.3">
      <c r="A4459" s="1" t="s">
        <v>65</v>
      </c>
      <c r="B4459" s="7">
        <v>40766</v>
      </c>
      <c r="C4459" s="1">
        <v>14.5</v>
      </c>
      <c r="D4459" s="1">
        <v>121</v>
      </c>
      <c r="E4459" s="1">
        <v>3</v>
      </c>
      <c r="F4459" s="1">
        <v>35</v>
      </c>
      <c r="J4459" s="1">
        <v>1</v>
      </c>
      <c r="L4459" s="1">
        <v>1</v>
      </c>
    </row>
    <row r="4460" spans="1:31" x14ac:dyDescent="0.3">
      <c r="A4460" s="1" t="s">
        <v>65</v>
      </c>
      <c r="B4460" s="7">
        <v>40766</v>
      </c>
      <c r="C4460" s="1">
        <v>14.5</v>
      </c>
      <c r="D4460" s="1">
        <v>121</v>
      </c>
      <c r="E4460" s="1">
        <v>3</v>
      </c>
      <c r="F4460" s="1">
        <v>36</v>
      </c>
      <c r="J4460" s="1">
        <v>1</v>
      </c>
      <c r="L4460" s="1">
        <v>1</v>
      </c>
    </row>
    <row r="4461" spans="1:31" x14ac:dyDescent="0.3">
      <c r="A4461" s="1" t="s">
        <v>65</v>
      </c>
      <c r="B4461" s="7">
        <v>40766</v>
      </c>
      <c r="C4461" s="1">
        <v>14.5</v>
      </c>
      <c r="D4461" s="1">
        <v>121</v>
      </c>
      <c r="E4461" s="1">
        <v>3</v>
      </c>
      <c r="F4461" s="1">
        <v>37</v>
      </c>
      <c r="J4461" s="1">
        <v>1</v>
      </c>
      <c r="L4461" s="1">
        <v>1</v>
      </c>
    </row>
    <row r="4462" spans="1:31" x14ac:dyDescent="0.3">
      <c r="A4462" s="1" t="s">
        <v>65</v>
      </c>
      <c r="B4462" s="7">
        <v>40766</v>
      </c>
      <c r="C4462" s="1">
        <v>14.5</v>
      </c>
      <c r="D4462" s="1">
        <v>121</v>
      </c>
      <c r="E4462" s="1">
        <v>3</v>
      </c>
      <c r="F4462" s="1">
        <v>38</v>
      </c>
      <c r="J4462" s="1">
        <v>1</v>
      </c>
    </row>
    <row r="4463" spans="1:31" x14ac:dyDescent="0.3">
      <c r="A4463" s="1" t="s">
        <v>65</v>
      </c>
      <c r="B4463" s="7">
        <v>40766</v>
      </c>
      <c r="C4463" s="1">
        <v>14.5</v>
      </c>
      <c r="D4463" s="1">
        <v>121</v>
      </c>
      <c r="E4463" s="1">
        <v>3</v>
      </c>
      <c r="F4463" s="1">
        <v>39</v>
      </c>
      <c r="J4463" s="1">
        <v>1</v>
      </c>
      <c r="AD4463" s="3">
        <v>0</v>
      </c>
      <c r="AE4463" s="3">
        <v>1</v>
      </c>
    </row>
    <row r="4464" spans="1:31" x14ac:dyDescent="0.3">
      <c r="A4464" s="1" t="s">
        <v>65</v>
      </c>
      <c r="B4464" s="7">
        <v>40766</v>
      </c>
      <c r="C4464" s="1">
        <v>14.5</v>
      </c>
      <c r="D4464" s="1">
        <v>121</v>
      </c>
      <c r="E4464" s="1">
        <v>3</v>
      </c>
      <c r="F4464" s="1">
        <v>40</v>
      </c>
      <c r="J4464" s="1">
        <v>1</v>
      </c>
      <c r="L4464" s="1">
        <v>1</v>
      </c>
    </row>
    <row r="4465" spans="1:72" x14ac:dyDescent="0.3">
      <c r="A4465" s="1" t="s">
        <v>65</v>
      </c>
      <c r="B4465" s="7">
        <v>40766</v>
      </c>
      <c r="C4465" s="1">
        <v>14.5</v>
      </c>
      <c r="D4465" s="1">
        <v>121</v>
      </c>
      <c r="E4465" s="1">
        <v>3</v>
      </c>
      <c r="F4465" s="1">
        <v>41</v>
      </c>
      <c r="J4465" s="1">
        <v>1</v>
      </c>
      <c r="AA4465" s="1">
        <v>1</v>
      </c>
    </row>
    <row r="4466" spans="1:72" x14ac:dyDescent="0.3">
      <c r="A4466" s="1" t="s">
        <v>65</v>
      </c>
      <c r="B4466" s="7">
        <v>40766</v>
      </c>
      <c r="C4466" s="1">
        <v>14.5</v>
      </c>
      <c r="D4466" s="1">
        <v>121</v>
      </c>
      <c r="E4466" s="1">
        <v>3</v>
      </c>
      <c r="F4466" s="1">
        <v>42</v>
      </c>
      <c r="J4466" s="1">
        <v>1</v>
      </c>
    </row>
    <row r="4467" spans="1:72" x14ac:dyDescent="0.3">
      <c r="A4467" s="1" t="s">
        <v>65</v>
      </c>
      <c r="B4467" s="7">
        <v>40766</v>
      </c>
      <c r="C4467" s="1">
        <v>14.5</v>
      </c>
      <c r="D4467" s="1">
        <v>121</v>
      </c>
      <c r="E4467" s="1">
        <v>3</v>
      </c>
      <c r="F4467" s="1">
        <v>43</v>
      </c>
      <c r="J4467" s="1">
        <v>1</v>
      </c>
    </row>
    <row r="4468" spans="1:72" x14ac:dyDescent="0.3">
      <c r="A4468" s="1" t="s">
        <v>65</v>
      </c>
      <c r="B4468" s="7">
        <v>40766</v>
      </c>
      <c r="C4468" s="1">
        <v>14.5</v>
      </c>
      <c r="D4468" s="1">
        <v>121</v>
      </c>
      <c r="E4468" s="1">
        <v>3</v>
      </c>
      <c r="F4468" s="1">
        <v>44</v>
      </c>
      <c r="J4468" s="1">
        <v>1</v>
      </c>
    </row>
    <row r="4469" spans="1:72" x14ac:dyDescent="0.3">
      <c r="A4469" s="1" t="s">
        <v>65</v>
      </c>
      <c r="B4469" s="7">
        <v>40766</v>
      </c>
      <c r="C4469" s="1">
        <v>14.5</v>
      </c>
      <c r="D4469" s="1">
        <v>121</v>
      </c>
      <c r="E4469" s="1">
        <v>3</v>
      </c>
      <c r="F4469" s="1">
        <v>45</v>
      </c>
      <c r="J4469" s="1">
        <v>1</v>
      </c>
      <c r="L4469" s="11"/>
      <c r="M4469" s="11"/>
    </row>
    <row r="4470" spans="1:72" x14ac:dyDescent="0.3">
      <c r="A4470" s="1" t="s">
        <v>65</v>
      </c>
      <c r="B4470" s="7">
        <v>40766</v>
      </c>
      <c r="C4470" s="1">
        <v>14.5</v>
      </c>
      <c r="D4470" s="1">
        <v>121</v>
      </c>
      <c r="E4470" s="1">
        <v>3</v>
      </c>
      <c r="F4470" s="1">
        <v>46</v>
      </c>
      <c r="L4470" s="1">
        <v>1</v>
      </c>
      <c r="R4470" s="3">
        <v>0</v>
      </c>
      <c r="S4470" s="3">
        <v>1</v>
      </c>
    </row>
    <row r="4471" spans="1:72" x14ac:dyDescent="0.3">
      <c r="A4471" s="1" t="s">
        <v>65</v>
      </c>
      <c r="B4471" s="7">
        <v>40766</v>
      </c>
      <c r="C4471" s="1">
        <v>14.5</v>
      </c>
      <c r="D4471" s="1">
        <v>121</v>
      </c>
      <c r="E4471" s="1">
        <v>3</v>
      </c>
      <c r="F4471" s="1">
        <v>47</v>
      </c>
      <c r="J4471" s="1">
        <v>1</v>
      </c>
      <c r="L4471" s="1">
        <v>1</v>
      </c>
    </row>
    <row r="4472" spans="1:72" x14ac:dyDescent="0.3">
      <c r="A4472" s="1" t="s">
        <v>65</v>
      </c>
      <c r="B4472" s="7">
        <v>40766</v>
      </c>
      <c r="C4472" s="1">
        <v>14.5</v>
      </c>
      <c r="D4472" s="1">
        <v>121</v>
      </c>
      <c r="E4472" s="1">
        <v>3</v>
      </c>
      <c r="F4472" s="1">
        <v>48</v>
      </c>
      <c r="J4472" s="1">
        <v>1</v>
      </c>
      <c r="L4472" s="1">
        <v>1</v>
      </c>
    </row>
    <row r="4473" spans="1:72" x14ac:dyDescent="0.3">
      <c r="A4473" s="1" t="s">
        <v>65</v>
      </c>
      <c r="B4473" s="7">
        <v>40766</v>
      </c>
      <c r="C4473" s="1">
        <v>14.5</v>
      </c>
      <c r="D4473" s="1">
        <v>121</v>
      </c>
      <c r="E4473" s="1">
        <v>3</v>
      </c>
      <c r="F4473" s="1">
        <v>49</v>
      </c>
      <c r="AD4473" s="1">
        <v>1</v>
      </c>
    </row>
    <row r="4474" spans="1:72" x14ac:dyDescent="0.3">
      <c r="A4474" s="1" t="s">
        <v>65</v>
      </c>
      <c r="B4474" s="7">
        <v>40766</v>
      </c>
      <c r="C4474" s="1">
        <v>14.5</v>
      </c>
      <c r="D4474" s="1">
        <v>121</v>
      </c>
      <c r="E4474" s="1">
        <v>3</v>
      </c>
      <c r="F4474" s="1">
        <v>50</v>
      </c>
      <c r="J4474" s="1">
        <v>1</v>
      </c>
      <c r="R4474" s="3">
        <v>0</v>
      </c>
      <c r="S4474" s="3">
        <v>1</v>
      </c>
    </row>
    <row r="4475" spans="1:72" x14ac:dyDescent="0.3">
      <c r="A4475" s="1" t="s">
        <v>65</v>
      </c>
      <c r="B4475" s="7">
        <v>40766</v>
      </c>
      <c r="C4475" s="1">
        <v>14.5</v>
      </c>
      <c r="D4475" s="1">
        <v>121</v>
      </c>
      <c r="E4475" s="1">
        <v>3</v>
      </c>
      <c r="F4475" s="1">
        <v>51</v>
      </c>
      <c r="J4475" s="1">
        <v>1</v>
      </c>
      <c r="AA4475" s="1">
        <v>1</v>
      </c>
    </row>
    <row r="4476" spans="1:72" x14ac:dyDescent="0.3">
      <c r="A4476" s="1" t="s">
        <v>65</v>
      </c>
      <c r="B4476" s="7">
        <v>40766</v>
      </c>
      <c r="C4476" s="1">
        <v>14.5</v>
      </c>
      <c r="D4476" s="1">
        <v>121</v>
      </c>
      <c r="E4476" s="1">
        <v>3</v>
      </c>
      <c r="F4476" s="1">
        <v>52</v>
      </c>
      <c r="J4476" s="1">
        <v>1</v>
      </c>
    </row>
    <row r="4477" spans="1:72" x14ac:dyDescent="0.3">
      <c r="A4477" s="1" t="s">
        <v>65</v>
      </c>
      <c r="B4477" s="7">
        <v>40766</v>
      </c>
      <c r="C4477" s="1">
        <v>14.5</v>
      </c>
      <c r="D4477" s="1">
        <v>121</v>
      </c>
      <c r="E4477" s="1">
        <v>3</v>
      </c>
      <c r="F4477" s="1">
        <v>53</v>
      </c>
      <c r="J4477" s="1">
        <v>1</v>
      </c>
    </row>
    <row r="4478" spans="1:72" x14ac:dyDescent="0.3">
      <c r="A4478" s="1" t="s">
        <v>65</v>
      </c>
      <c r="B4478" s="7">
        <v>40766</v>
      </c>
      <c r="C4478" s="1">
        <v>14.5</v>
      </c>
      <c r="D4478" s="1">
        <v>121</v>
      </c>
      <c r="E4478" s="1">
        <v>3</v>
      </c>
      <c r="F4478" s="1">
        <v>54</v>
      </c>
      <c r="I4478" s="1">
        <v>1</v>
      </c>
    </row>
    <row r="4479" spans="1:72" x14ac:dyDescent="0.3">
      <c r="A4479" s="1" t="s">
        <v>65</v>
      </c>
      <c r="B4479" s="7">
        <v>40766</v>
      </c>
      <c r="C4479" s="1">
        <v>14.5</v>
      </c>
      <c r="D4479" s="1">
        <v>121</v>
      </c>
      <c r="E4479" s="1">
        <v>3</v>
      </c>
      <c r="F4479" s="1">
        <v>55</v>
      </c>
      <c r="J4479" s="1">
        <v>1</v>
      </c>
      <c r="BS4479" s="3">
        <v>0</v>
      </c>
      <c r="BT4479" s="3">
        <v>1</v>
      </c>
    </row>
    <row r="4480" spans="1:72" x14ac:dyDescent="0.3">
      <c r="A4480" s="1" t="s">
        <v>65</v>
      </c>
      <c r="B4480" s="7">
        <v>40766</v>
      </c>
      <c r="C4480" s="1">
        <v>14.5</v>
      </c>
      <c r="D4480" s="1">
        <v>121</v>
      </c>
      <c r="E4480" s="1">
        <v>3</v>
      </c>
      <c r="F4480" s="1">
        <v>56</v>
      </c>
      <c r="J4480" s="1">
        <v>1</v>
      </c>
    </row>
    <row r="4481" spans="1:71" x14ac:dyDescent="0.3">
      <c r="A4481" s="1" t="s">
        <v>65</v>
      </c>
      <c r="B4481" s="7">
        <v>40766</v>
      </c>
      <c r="C4481" s="1">
        <v>14.5</v>
      </c>
      <c r="D4481" s="1">
        <v>121</v>
      </c>
      <c r="E4481" s="1">
        <v>3</v>
      </c>
      <c r="F4481" s="1">
        <v>57</v>
      </c>
      <c r="J4481" s="1">
        <v>1</v>
      </c>
      <c r="BS4481" s="1">
        <v>1</v>
      </c>
    </row>
    <row r="4482" spans="1:71" x14ac:dyDescent="0.3">
      <c r="A4482" s="1" t="s">
        <v>65</v>
      </c>
      <c r="B4482" s="7">
        <v>40766</v>
      </c>
      <c r="C4482" s="1">
        <v>14.5</v>
      </c>
      <c r="D4482" s="1">
        <v>121</v>
      </c>
      <c r="E4482" s="1">
        <v>3</v>
      </c>
      <c r="F4482" s="1">
        <v>58</v>
      </c>
      <c r="L4482" s="1">
        <v>1</v>
      </c>
    </row>
    <row r="4483" spans="1:71" x14ac:dyDescent="0.3">
      <c r="A4483" s="1" t="s">
        <v>65</v>
      </c>
      <c r="B4483" s="7">
        <v>40766</v>
      </c>
      <c r="C4483" s="1">
        <v>14.5</v>
      </c>
      <c r="D4483" s="1">
        <v>121</v>
      </c>
      <c r="E4483" s="1">
        <v>3</v>
      </c>
      <c r="F4483" s="1">
        <v>59</v>
      </c>
      <c r="I4483" s="1">
        <v>1</v>
      </c>
      <c r="R4483" s="1">
        <v>1</v>
      </c>
    </row>
    <row r="4484" spans="1:71" x14ac:dyDescent="0.3">
      <c r="A4484" s="1" t="s">
        <v>65</v>
      </c>
      <c r="B4484" s="7">
        <v>40766</v>
      </c>
      <c r="C4484" s="1">
        <v>14.5</v>
      </c>
      <c r="D4484" s="1">
        <v>121</v>
      </c>
      <c r="E4484" s="1">
        <v>3</v>
      </c>
      <c r="F4484" s="1">
        <v>60</v>
      </c>
      <c r="I4484" s="1">
        <v>1</v>
      </c>
      <c r="R4484" s="1">
        <v>1</v>
      </c>
    </row>
    <row r="4485" spans="1:71" x14ac:dyDescent="0.3">
      <c r="A4485" s="1" t="s">
        <v>65</v>
      </c>
      <c r="B4485" s="7">
        <v>40766</v>
      </c>
      <c r="C4485" s="1">
        <v>14.5</v>
      </c>
      <c r="D4485" s="1">
        <v>121</v>
      </c>
      <c r="E4485" s="1">
        <v>3</v>
      </c>
      <c r="F4485" s="1">
        <v>61</v>
      </c>
      <c r="H4485" s="1">
        <v>1</v>
      </c>
      <c r="I4485" s="1">
        <v>1</v>
      </c>
    </row>
    <row r="4486" spans="1:71" x14ac:dyDescent="0.3">
      <c r="A4486" s="1" t="s">
        <v>65</v>
      </c>
      <c r="B4486" s="7">
        <v>40766</v>
      </c>
      <c r="C4486" s="1">
        <v>14.5</v>
      </c>
      <c r="D4486" s="1">
        <v>121</v>
      </c>
      <c r="E4486" s="1">
        <v>3</v>
      </c>
      <c r="F4486" s="1">
        <v>62</v>
      </c>
      <c r="I4486" s="1">
        <v>1</v>
      </c>
      <c r="R4486" s="1">
        <v>1</v>
      </c>
    </row>
    <row r="4487" spans="1:71" x14ac:dyDescent="0.3">
      <c r="A4487" s="1" t="s">
        <v>65</v>
      </c>
      <c r="B4487" s="7">
        <v>40766</v>
      </c>
      <c r="C4487" s="1">
        <v>14.5</v>
      </c>
      <c r="D4487" s="1">
        <v>121</v>
      </c>
      <c r="E4487" s="1">
        <v>3</v>
      </c>
      <c r="F4487" s="1">
        <v>63</v>
      </c>
      <c r="I4487" s="1">
        <v>1</v>
      </c>
      <c r="BS4487" s="1">
        <v>1</v>
      </c>
    </row>
    <row r="4488" spans="1:71" x14ac:dyDescent="0.3">
      <c r="A4488" s="1" t="s">
        <v>65</v>
      </c>
      <c r="B4488" s="7">
        <v>40766</v>
      </c>
      <c r="C4488" s="1">
        <v>14.5</v>
      </c>
      <c r="D4488" s="1">
        <v>121</v>
      </c>
      <c r="E4488" s="1">
        <v>3</v>
      </c>
      <c r="F4488" s="1">
        <v>64</v>
      </c>
      <c r="H4488" s="1">
        <v>1</v>
      </c>
    </row>
    <row r="4489" spans="1:71" x14ac:dyDescent="0.3">
      <c r="A4489" s="1" t="s">
        <v>65</v>
      </c>
      <c r="B4489" s="7">
        <v>40766</v>
      </c>
      <c r="C4489" s="1">
        <v>14.5</v>
      </c>
      <c r="D4489" s="1">
        <v>121</v>
      </c>
      <c r="E4489" s="1">
        <v>3</v>
      </c>
      <c r="F4489" s="1">
        <v>65</v>
      </c>
      <c r="J4489" s="1">
        <v>1</v>
      </c>
      <c r="BS4489" s="1">
        <v>1</v>
      </c>
    </row>
    <row r="4490" spans="1:71" x14ac:dyDescent="0.3">
      <c r="A4490" s="1" t="s">
        <v>65</v>
      </c>
      <c r="B4490" s="7">
        <v>40766</v>
      </c>
      <c r="C4490" s="1">
        <v>14.5</v>
      </c>
      <c r="D4490" s="1">
        <v>121</v>
      </c>
      <c r="E4490" s="1">
        <v>3</v>
      </c>
      <c r="F4490" s="1">
        <v>66</v>
      </c>
      <c r="J4490" s="1">
        <v>1</v>
      </c>
    </row>
    <row r="4491" spans="1:71" x14ac:dyDescent="0.3">
      <c r="A4491" s="1" t="s">
        <v>65</v>
      </c>
      <c r="B4491" s="7">
        <v>40766</v>
      </c>
      <c r="C4491" s="1">
        <v>14.5</v>
      </c>
      <c r="D4491" s="1">
        <v>121</v>
      </c>
      <c r="E4491" s="1">
        <v>3</v>
      </c>
      <c r="F4491" s="1">
        <v>67</v>
      </c>
      <c r="R4491" s="1">
        <v>1</v>
      </c>
    </row>
    <row r="4492" spans="1:71" x14ac:dyDescent="0.3">
      <c r="A4492" s="1" t="s">
        <v>65</v>
      </c>
      <c r="B4492" s="7">
        <v>40766</v>
      </c>
      <c r="C4492" s="1">
        <v>14.5</v>
      </c>
      <c r="D4492" s="1">
        <v>121</v>
      </c>
      <c r="E4492" s="1">
        <v>3</v>
      </c>
      <c r="F4492" s="1">
        <v>68</v>
      </c>
      <c r="J4492" s="1">
        <v>1</v>
      </c>
    </row>
    <row r="4493" spans="1:71" x14ac:dyDescent="0.3">
      <c r="A4493" s="1" t="s">
        <v>65</v>
      </c>
      <c r="B4493" s="7">
        <v>40766</v>
      </c>
      <c r="C4493" s="1">
        <v>14.5</v>
      </c>
      <c r="D4493" s="1">
        <v>121</v>
      </c>
      <c r="E4493" s="1">
        <v>3</v>
      </c>
      <c r="F4493" s="1">
        <v>69</v>
      </c>
      <c r="J4493" s="1">
        <v>1</v>
      </c>
    </row>
    <row r="4494" spans="1:71" x14ac:dyDescent="0.3">
      <c r="A4494" s="1" t="s">
        <v>65</v>
      </c>
      <c r="B4494" s="7">
        <v>40766</v>
      </c>
      <c r="C4494" s="1">
        <v>14.5</v>
      </c>
      <c r="D4494" s="1">
        <v>121</v>
      </c>
      <c r="E4494" s="1">
        <v>3</v>
      </c>
      <c r="F4494" s="1">
        <v>70</v>
      </c>
      <c r="H4494" s="1">
        <v>1</v>
      </c>
      <c r="I4494" s="1">
        <v>1</v>
      </c>
    </row>
    <row r="4495" spans="1:71" x14ac:dyDescent="0.3">
      <c r="A4495" s="1" t="s">
        <v>65</v>
      </c>
      <c r="B4495" s="7">
        <v>40766</v>
      </c>
      <c r="C4495" s="1">
        <v>14.5</v>
      </c>
      <c r="D4495" s="1">
        <v>121</v>
      </c>
      <c r="E4495" s="1">
        <v>3</v>
      </c>
      <c r="F4495" s="1">
        <v>71</v>
      </c>
      <c r="I4495" s="1">
        <v>1</v>
      </c>
    </row>
    <row r="4496" spans="1:71" x14ac:dyDescent="0.3">
      <c r="A4496" s="1" t="s">
        <v>65</v>
      </c>
      <c r="B4496" s="7">
        <v>40766</v>
      </c>
      <c r="C4496" s="1">
        <v>14.5</v>
      </c>
      <c r="D4496" s="1">
        <v>121</v>
      </c>
      <c r="E4496" s="1">
        <v>3</v>
      </c>
      <c r="F4496" s="1">
        <v>72</v>
      </c>
      <c r="I4496" s="1">
        <v>1</v>
      </c>
      <c r="BS4496" s="1">
        <v>1</v>
      </c>
    </row>
    <row r="4497" spans="1:71" x14ac:dyDescent="0.3">
      <c r="A4497" s="1" t="s">
        <v>65</v>
      </c>
      <c r="B4497" s="7">
        <v>40766</v>
      </c>
      <c r="C4497" s="1">
        <v>14.5</v>
      </c>
      <c r="D4497" s="1">
        <v>121</v>
      </c>
      <c r="E4497" s="1">
        <v>3</v>
      </c>
      <c r="F4497" s="1">
        <v>73</v>
      </c>
      <c r="H4497" s="1">
        <v>1</v>
      </c>
    </row>
    <row r="4498" spans="1:71" x14ac:dyDescent="0.3">
      <c r="A4498" s="1" t="s">
        <v>65</v>
      </c>
      <c r="B4498" s="7">
        <v>40766</v>
      </c>
      <c r="C4498" s="1">
        <v>14.5</v>
      </c>
      <c r="D4498" s="1">
        <v>121</v>
      </c>
      <c r="E4498" s="1">
        <v>3</v>
      </c>
      <c r="F4498" s="1">
        <v>74</v>
      </c>
      <c r="J4498" s="1">
        <v>1</v>
      </c>
    </row>
    <row r="4499" spans="1:71" x14ac:dyDescent="0.3">
      <c r="A4499" s="1" t="s">
        <v>65</v>
      </c>
      <c r="B4499" s="7">
        <v>40766</v>
      </c>
      <c r="C4499" s="1">
        <v>14.5</v>
      </c>
      <c r="D4499" s="1">
        <v>121</v>
      </c>
      <c r="E4499" s="1">
        <v>3</v>
      </c>
      <c r="F4499" s="1">
        <v>75</v>
      </c>
      <c r="J4499" s="1">
        <v>1</v>
      </c>
    </row>
    <row r="4500" spans="1:71" x14ac:dyDescent="0.3">
      <c r="A4500" s="1" t="s">
        <v>65</v>
      </c>
      <c r="B4500" s="7">
        <v>40766</v>
      </c>
      <c r="C4500" s="1">
        <v>14.5</v>
      </c>
      <c r="D4500" s="1">
        <v>121</v>
      </c>
      <c r="E4500" s="1">
        <v>3</v>
      </c>
      <c r="F4500" s="1">
        <v>76</v>
      </c>
      <c r="I4500" s="1">
        <v>1</v>
      </c>
      <c r="J4500" s="1">
        <v>1</v>
      </c>
      <c r="L4500" s="1">
        <v>1</v>
      </c>
    </row>
    <row r="4501" spans="1:71" x14ac:dyDescent="0.3">
      <c r="A4501" s="1" t="s">
        <v>65</v>
      </c>
      <c r="B4501" s="7">
        <v>40766</v>
      </c>
      <c r="C4501" s="1">
        <v>14.5</v>
      </c>
      <c r="D4501" s="1">
        <v>121</v>
      </c>
      <c r="E4501" s="1">
        <v>3</v>
      </c>
      <c r="F4501" s="1">
        <v>77</v>
      </c>
      <c r="J4501" s="1">
        <v>1</v>
      </c>
      <c r="BG4501" s="1">
        <v>1</v>
      </c>
    </row>
    <row r="4502" spans="1:71" x14ac:dyDescent="0.3">
      <c r="A4502" s="1" t="s">
        <v>65</v>
      </c>
      <c r="B4502" s="7">
        <v>40766</v>
      </c>
      <c r="C4502" s="1">
        <v>14.5</v>
      </c>
      <c r="D4502" s="1">
        <v>121</v>
      </c>
      <c r="E4502" s="1">
        <v>3</v>
      </c>
      <c r="F4502" s="1">
        <v>78</v>
      </c>
    </row>
    <row r="4503" spans="1:71" x14ac:dyDescent="0.3">
      <c r="A4503" s="1" t="s">
        <v>65</v>
      </c>
      <c r="B4503" s="7">
        <v>40766</v>
      </c>
      <c r="C4503" s="1">
        <v>14.5</v>
      </c>
      <c r="D4503" s="1">
        <v>121</v>
      </c>
      <c r="E4503" s="1">
        <v>3</v>
      </c>
      <c r="F4503" s="1">
        <v>79</v>
      </c>
      <c r="J4503" s="1">
        <v>1</v>
      </c>
      <c r="L4503" s="3">
        <v>0</v>
      </c>
      <c r="M4503" s="3">
        <v>1</v>
      </c>
    </row>
    <row r="4504" spans="1:71" x14ac:dyDescent="0.3">
      <c r="A4504" s="1" t="s">
        <v>65</v>
      </c>
      <c r="B4504" s="7">
        <v>40766</v>
      </c>
      <c r="C4504" s="1">
        <v>14.5</v>
      </c>
      <c r="D4504" s="1">
        <v>121</v>
      </c>
      <c r="E4504" s="1">
        <v>3</v>
      </c>
      <c r="F4504" s="1">
        <v>80</v>
      </c>
      <c r="J4504" s="1">
        <v>1</v>
      </c>
    </row>
    <row r="4505" spans="1:71" x14ac:dyDescent="0.3">
      <c r="A4505" s="1" t="s">
        <v>65</v>
      </c>
      <c r="B4505" s="7">
        <v>40766</v>
      </c>
      <c r="C4505" s="1">
        <v>14.5</v>
      </c>
      <c r="D4505" s="1">
        <v>121</v>
      </c>
      <c r="E4505" s="1">
        <v>3</v>
      </c>
      <c r="F4505" s="1">
        <v>81</v>
      </c>
      <c r="J4505" s="3">
        <v>0</v>
      </c>
      <c r="K4505" s="3">
        <v>1</v>
      </c>
    </row>
    <row r="4506" spans="1:71" x14ac:dyDescent="0.3">
      <c r="A4506" s="1" t="s">
        <v>65</v>
      </c>
      <c r="B4506" s="7">
        <v>40766</v>
      </c>
      <c r="C4506" s="1">
        <v>14.5</v>
      </c>
      <c r="D4506" s="1">
        <v>121</v>
      </c>
      <c r="E4506" s="1">
        <v>3</v>
      </c>
      <c r="F4506" s="1">
        <v>82</v>
      </c>
      <c r="I4506" s="1">
        <v>1</v>
      </c>
      <c r="J4506" s="1">
        <v>1</v>
      </c>
    </row>
    <row r="4507" spans="1:71" x14ac:dyDescent="0.3">
      <c r="A4507" s="1" t="s">
        <v>65</v>
      </c>
      <c r="B4507" s="7">
        <v>40766</v>
      </c>
      <c r="C4507" s="1">
        <v>14.5</v>
      </c>
      <c r="D4507" s="1">
        <v>121</v>
      </c>
      <c r="E4507" s="1">
        <v>3</v>
      </c>
      <c r="F4507" s="1">
        <v>83</v>
      </c>
      <c r="J4507" s="1">
        <v>1</v>
      </c>
      <c r="BS4507" s="1">
        <v>1</v>
      </c>
    </row>
    <row r="4508" spans="1:71" x14ac:dyDescent="0.3">
      <c r="A4508" s="1" t="s">
        <v>65</v>
      </c>
      <c r="B4508" s="7">
        <v>40766</v>
      </c>
      <c r="C4508" s="1">
        <v>14.5</v>
      </c>
      <c r="D4508" s="1">
        <v>121</v>
      </c>
      <c r="E4508" s="1">
        <v>3</v>
      </c>
      <c r="F4508" s="1">
        <v>84</v>
      </c>
      <c r="J4508" s="3">
        <v>0</v>
      </c>
      <c r="K4508" s="3">
        <v>1</v>
      </c>
      <c r="BG4508" s="1">
        <v>1</v>
      </c>
    </row>
    <row r="4509" spans="1:71" x14ac:dyDescent="0.3">
      <c r="A4509" s="1" t="s">
        <v>65</v>
      </c>
      <c r="B4509" s="7">
        <v>40766</v>
      </c>
      <c r="C4509" s="1">
        <v>14.5</v>
      </c>
      <c r="D4509" s="1">
        <v>121</v>
      </c>
      <c r="E4509" s="1">
        <v>3</v>
      </c>
      <c r="F4509" s="1">
        <v>85</v>
      </c>
      <c r="J4509" s="1">
        <v>1</v>
      </c>
      <c r="BG4509" s="1">
        <v>1</v>
      </c>
    </row>
    <row r="4510" spans="1:71" x14ac:dyDescent="0.3">
      <c r="A4510" s="1" t="s">
        <v>65</v>
      </c>
      <c r="B4510" s="7">
        <v>40766</v>
      </c>
      <c r="C4510" s="1">
        <v>14.5</v>
      </c>
      <c r="D4510" s="1">
        <v>121</v>
      </c>
      <c r="E4510" s="1">
        <v>3</v>
      </c>
      <c r="F4510" s="1">
        <v>86</v>
      </c>
      <c r="J4510" s="1">
        <v>1</v>
      </c>
      <c r="L4510" s="1">
        <v>1</v>
      </c>
    </row>
    <row r="4511" spans="1:71" x14ac:dyDescent="0.3">
      <c r="A4511" s="1" t="s">
        <v>65</v>
      </c>
      <c r="B4511" s="7">
        <v>40766</v>
      </c>
      <c r="C4511" s="1">
        <v>14.5</v>
      </c>
      <c r="D4511" s="1">
        <v>121</v>
      </c>
      <c r="E4511" s="1">
        <v>3</v>
      </c>
      <c r="F4511" s="1">
        <v>87</v>
      </c>
      <c r="R4511" s="1">
        <v>1</v>
      </c>
    </row>
    <row r="4512" spans="1:71" x14ac:dyDescent="0.3">
      <c r="A4512" s="1" t="s">
        <v>65</v>
      </c>
      <c r="B4512" s="7">
        <v>40766</v>
      </c>
      <c r="C4512" s="1">
        <v>14.5</v>
      </c>
      <c r="D4512" s="1">
        <v>121</v>
      </c>
      <c r="E4512" s="1">
        <v>3</v>
      </c>
      <c r="F4512" s="1">
        <v>88</v>
      </c>
      <c r="J4512" s="1">
        <v>1</v>
      </c>
    </row>
    <row r="4513" spans="1:90" x14ac:dyDescent="0.3">
      <c r="A4513" s="1" t="s">
        <v>65</v>
      </c>
      <c r="B4513" s="7">
        <v>40766</v>
      </c>
      <c r="C4513" s="1">
        <v>14.5</v>
      </c>
      <c r="D4513" s="1">
        <v>121</v>
      </c>
      <c r="E4513" s="1">
        <v>3</v>
      </c>
      <c r="F4513" s="1">
        <v>89</v>
      </c>
      <c r="J4513" s="1">
        <v>1</v>
      </c>
    </row>
    <row r="4514" spans="1:90" x14ac:dyDescent="0.3">
      <c r="A4514" s="1" t="s">
        <v>65</v>
      </c>
      <c r="B4514" s="7">
        <v>40766</v>
      </c>
      <c r="C4514" s="1">
        <v>14.5</v>
      </c>
      <c r="D4514" s="1">
        <v>121</v>
      </c>
      <c r="E4514" s="1">
        <v>3</v>
      </c>
      <c r="F4514" s="1">
        <v>90</v>
      </c>
      <c r="J4514" s="1">
        <v>1</v>
      </c>
    </row>
    <row r="4515" spans="1:90" x14ac:dyDescent="0.3">
      <c r="A4515" s="1" t="s">
        <v>65</v>
      </c>
      <c r="B4515" s="7">
        <v>40766</v>
      </c>
      <c r="C4515" s="1">
        <v>14.5</v>
      </c>
      <c r="D4515" s="1">
        <v>121</v>
      </c>
      <c r="E4515" s="1">
        <v>3</v>
      </c>
      <c r="F4515" s="1">
        <v>91</v>
      </c>
      <c r="H4515" s="1">
        <v>1</v>
      </c>
      <c r="I4515" s="1">
        <v>1</v>
      </c>
    </row>
    <row r="4516" spans="1:90" x14ac:dyDescent="0.3">
      <c r="A4516" s="1" t="s">
        <v>65</v>
      </c>
      <c r="B4516" s="7">
        <v>40766</v>
      </c>
      <c r="C4516" s="1">
        <v>14.5</v>
      </c>
      <c r="D4516" s="1">
        <v>121</v>
      </c>
      <c r="E4516" s="1">
        <v>3</v>
      </c>
      <c r="F4516" s="1">
        <v>92</v>
      </c>
      <c r="R4516" s="1">
        <v>1</v>
      </c>
    </row>
    <row r="4517" spans="1:90" x14ac:dyDescent="0.3">
      <c r="A4517" s="1" t="s">
        <v>65</v>
      </c>
      <c r="B4517" s="7">
        <v>40766</v>
      </c>
      <c r="C4517" s="1">
        <v>14.5</v>
      </c>
      <c r="D4517" s="1">
        <v>121</v>
      </c>
      <c r="E4517" s="1">
        <v>3</v>
      </c>
      <c r="F4517" s="1">
        <v>93</v>
      </c>
      <c r="R4517" s="1">
        <v>1</v>
      </c>
    </row>
    <row r="4518" spans="1:90" x14ac:dyDescent="0.3">
      <c r="A4518" s="1" t="s">
        <v>65</v>
      </c>
      <c r="B4518" s="7">
        <v>40766</v>
      </c>
      <c r="C4518" s="1">
        <v>14.5</v>
      </c>
      <c r="D4518" s="1">
        <v>121</v>
      </c>
      <c r="E4518" s="1">
        <v>3</v>
      </c>
      <c r="F4518" s="1">
        <v>94</v>
      </c>
      <c r="I4518" s="1">
        <v>1</v>
      </c>
      <c r="J4518" s="1">
        <v>1</v>
      </c>
    </row>
    <row r="4519" spans="1:90" x14ac:dyDescent="0.3">
      <c r="A4519" s="1" t="s">
        <v>65</v>
      </c>
      <c r="B4519" s="7">
        <v>40766</v>
      </c>
      <c r="C4519" s="1">
        <v>14.5</v>
      </c>
      <c r="D4519" s="1">
        <v>121</v>
      </c>
      <c r="E4519" s="1">
        <v>3</v>
      </c>
      <c r="F4519" s="1">
        <v>95</v>
      </c>
      <c r="I4519" s="1">
        <v>1</v>
      </c>
      <c r="J4519" s="1">
        <v>1</v>
      </c>
    </row>
    <row r="4520" spans="1:90" x14ac:dyDescent="0.3">
      <c r="A4520" s="1" t="s">
        <v>65</v>
      </c>
      <c r="B4520" s="7">
        <v>40766</v>
      </c>
      <c r="C4520" s="1">
        <v>14.5</v>
      </c>
      <c r="D4520" s="1">
        <v>121</v>
      </c>
      <c r="E4520" s="1">
        <v>3</v>
      </c>
      <c r="F4520" s="1">
        <v>96</v>
      </c>
      <c r="I4520" s="1">
        <v>1</v>
      </c>
      <c r="J4520" s="1">
        <v>1</v>
      </c>
    </row>
    <row r="4521" spans="1:90" x14ac:dyDescent="0.3">
      <c r="A4521" s="1" t="s">
        <v>65</v>
      </c>
      <c r="B4521" s="7">
        <v>40766</v>
      </c>
      <c r="C4521" s="1">
        <v>14.5</v>
      </c>
      <c r="D4521" s="1">
        <v>121</v>
      </c>
      <c r="E4521" s="1">
        <v>3</v>
      </c>
      <c r="F4521" s="1">
        <v>97</v>
      </c>
      <c r="J4521" s="8">
        <v>1</v>
      </c>
      <c r="K4521" s="8"/>
      <c r="R4521" s="8">
        <v>1</v>
      </c>
      <c r="S4521" s="8"/>
    </row>
    <row r="4522" spans="1:90" x14ac:dyDescent="0.3">
      <c r="A4522" s="1" t="s">
        <v>65</v>
      </c>
      <c r="B4522" s="7">
        <v>40766</v>
      </c>
      <c r="C4522" s="1">
        <v>14.5</v>
      </c>
      <c r="D4522" s="1">
        <v>121</v>
      </c>
      <c r="E4522" s="1">
        <v>3</v>
      </c>
      <c r="F4522" s="1">
        <v>98</v>
      </c>
      <c r="J4522" s="3">
        <v>0</v>
      </c>
      <c r="K4522" s="3">
        <v>1</v>
      </c>
    </row>
    <row r="4523" spans="1:90" x14ac:dyDescent="0.3">
      <c r="A4523" s="1" t="s">
        <v>65</v>
      </c>
      <c r="B4523" s="7">
        <v>40766</v>
      </c>
      <c r="C4523" s="1">
        <v>14.5</v>
      </c>
      <c r="D4523" s="1">
        <v>121</v>
      </c>
      <c r="E4523" s="1">
        <v>3</v>
      </c>
      <c r="F4523" s="1">
        <v>99</v>
      </c>
      <c r="I4523" s="1">
        <v>1</v>
      </c>
      <c r="R4523" s="3">
        <v>0</v>
      </c>
      <c r="S4523" s="3">
        <v>1</v>
      </c>
    </row>
    <row r="4524" spans="1:90" x14ac:dyDescent="0.3">
      <c r="A4524" s="1" t="s">
        <v>65</v>
      </c>
      <c r="B4524" s="7">
        <v>40766</v>
      </c>
      <c r="C4524" s="1">
        <v>14.5</v>
      </c>
      <c r="D4524" s="1">
        <v>121</v>
      </c>
      <c r="E4524" s="1">
        <v>3</v>
      </c>
      <c r="F4524" s="1">
        <v>100</v>
      </c>
      <c r="J4524" s="1">
        <v>1</v>
      </c>
    </row>
    <row r="4525" spans="1:90" s="12" customFormat="1" x14ac:dyDescent="0.3">
      <c r="A4525" s="14" t="s">
        <v>65</v>
      </c>
      <c r="B4525" s="13"/>
      <c r="G4525" s="12">
        <f>SUM(G4325:G4524)</f>
        <v>0</v>
      </c>
      <c r="H4525" s="12">
        <f t="shared" ref="H4525" si="1691">SUM(H4325:H4524)</f>
        <v>24</v>
      </c>
      <c r="I4525" s="12">
        <f t="shared" ref="I4525" si="1692">SUM(I4325:I4524)</f>
        <v>32</v>
      </c>
      <c r="J4525" s="12">
        <f t="shared" ref="J4525" si="1693">SUM(J4325:J4524)</f>
        <v>62</v>
      </c>
      <c r="K4525" s="12">
        <f t="shared" ref="K4525" si="1694">SUM(K4325:K4524)</f>
        <v>13</v>
      </c>
      <c r="L4525" s="12">
        <f t="shared" ref="L4525" si="1695">SUM(L4325:L4524)</f>
        <v>31</v>
      </c>
      <c r="M4525" s="12">
        <f t="shared" ref="M4525" si="1696">SUM(M4325:M4524)</f>
        <v>2</v>
      </c>
      <c r="N4525" s="12">
        <f t="shared" ref="N4525" si="1697">SUM(N4325:N4524)</f>
        <v>0</v>
      </c>
      <c r="O4525" s="12">
        <f t="shared" ref="O4525" si="1698">SUM(O4325:O4524)</f>
        <v>0</v>
      </c>
      <c r="P4525" s="12">
        <f t="shared" ref="P4525" si="1699">SUM(P4325:P4524)</f>
        <v>0</v>
      </c>
      <c r="Q4525" s="12">
        <f t="shared" ref="Q4525" si="1700">SUM(Q4325:Q4524)</f>
        <v>0</v>
      </c>
      <c r="R4525" s="12">
        <f t="shared" ref="R4525" si="1701">SUM(R4325:R4524)</f>
        <v>67</v>
      </c>
      <c r="S4525" s="12">
        <f t="shared" ref="S4525" si="1702">SUM(S4325:S4524)</f>
        <v>17</v>
      </c>
      <c r="T4525" s="12">
        <f t="shared" ref="T4525" si="1703">SUM(T4325:T4524)</f>
        <v>0</v>
      </c>
      <c r="U4525" s="12">
        <f t="shared" ref="U4525" si="1704">SUM(U4325:U4524)</f>
        <v>0</v>
      </c>
      <c r="V4525" s="12">
        <f t="shared" ref="V4525" si="1705">SUM(V4325:V4524)</f>
        <v>3</v>
      </c>
      <c r="W4525" s="12">
        <f t="shared" ref="W4525" si="1706">SUM(W4325:W4524)</f>
        <v>0</v>
      </c>
      <c r="X4525" s="12">
        <f t="shared" ref="X4525" si="1707">SUM(X4325:X4524)</f>
        <v>0</v>
      </c>
      <c r="Y4525" s="12">
        <f t="shared" ref="Y4525" si="1708">SUM(Y4325:Y4524)</f>
        <v>0</v>
      </c>
      <c r="Z4525" s="12">
        <f t="shared" ref="Z4525" si="1709">SUM(Z4325:Z4524)</f>
        <v>0</v>
      </c>
      <c r="AA4525" s="12">
        <f t="shared" ref="AA4525" si="1710">SUM(AA4325:AA4524)</f>
        <v>3</v>
      </c>
      <c r="AB4525" s="12">
        <f t="shared" ref="AB4525" si="1711">SUM(AB4325:AB4524)</f>
        <v>9</v>
      </c>
      <c r="AC4525" s="12">
        <f t="shared" ref="AC4525" si="1712">SUM(AC4325:AC4524)</f>
        <v>0</v>
      </c>
      <c r="AD4525" s="12">
        <f t="shared" ref="AD4525" si="1713">SUM(AD4325:AD4524)</f>
        <v>2</v>
      </c>
      <c r="AE4525" s="12">
        <f t="shared" ref="AE4525" si="1714">SUM(AE4325:AE4524)</f>
        <v>3</v>
      </c>
      <c r="AF4525" s="12">
        <f t="shared" ref="AF4525" si="1715">SUM(AF4325:AF4524)</f>
        <v>14</v>
      </c>
      <c r="AG4525" s="12">
        <f t="shared" ref="AG4525" si="1716">SUM(AG4325:AG4524)</f>
        <v>0</v>
      </c>
      <c r="AH4525" s="12">
        <f t="shared" ref="AH4525" si="1717">SUM(AH4325:AH4524)</f>
        <v>0</v>
      </c>
      <c r="AI4525" s="12">
        <f t="shared" ref="AI4525" si="1718">SUM(AI4325:AI4524)</f>
        <v>0</v>
      </c>
      <c r="AJ4525" s="12">
        <f t="shared" ref="AJ4525" si="1719">SUM(AJ4325:AJ4524)</f>
        <v>0</v>
      </c>
      <c r="AK4525" s="12">
        <f t="shared" ref="AK4525" si="1720">SUM(AK4325:AK4524)</f>
        <v>14</v>
      </c>
      <c r="AL4525" s="12">
        <f t="shared" ref="AL4525" si="1721">SUM(AL4325:AL4524)</f>
        <v>1</v>
      </c>
      <c r="AM4525" s="12">
        <f t="shared" ref="AM4525" si="1722">SUM(AM4325:AM4524)</f>
        <v>0</v>
      </c>
      <c r="AN4525" s="12">
        <f t="shared" ref="AN4525" si="1723">SUM(AN4325:AN4524)</f>
        <v>0</v>
      </c>
      <c r="AO4525" s="12">
        <f t="shared" ref="AO4525" si="1724">SUM(AO4325:AO4524)</f>
        <v>0</v>
      </c>
      <c r="AP4525" s="12">
        <f t="shared" ref="AP4525" si="1725">SUM(AP4325:AP4524)</f>
        <v>0</v>
      </c>
      <c r="AQ4525" s="12">
        <f t="shared" ref="AQ4525" si="1726">SUM(AQ4325:AQ4524)</f>
        <v>0</v>
      </c>
      <c r="AR4525" s="12">
        <f t="shared" ref="AR4525" si="1727">SUM(AR4325:AR4524)</f>
        <v>0</v>
      </c>
      <c r="AS4525" s="12">
        <f t="shared" ref="AS4525" si="1728">SUM(AS4325:AS4524)</f>
        <v>1</v>
      </c>
      <c r="AT4525" s="12">
        <f t="shared" ref="AT4525" si="1729">SUM(AT4325:AT4524)</f>
        <v>0</v>
      </c>
      <c r="AU4525" s="12">
        <f t="shared" ref="AU4525" si="1730">SUM(AU4325:AU4524)</f>
        <v>0</v>
      </c>
      <c r="AV4525" s="12">
        <f t="shared" ref="AV4525" si="1731">SUM(AV4325:AV4524)</f>
        <v>0</v>
      </c>
      <c r="AW4525" s="12">
        <f t="shared" ref="AW4525" si="1732">SUM(AW4325:AW4524)</f>
        <v>0</v>
      </c>
      <c r="AX4525" s="12">
        <f t="shared" ref="AX4525" si="1733">SUM(AX4325:AX4524)</f>
        <v>0</v>
      </c>
      <c r="AY4525" s="12">
        <f t="shared" ref="AY4525" si="1734">SUM(AY4325:AY4524)</f>
        <v>1</v>
      </c>
      <c r="AZ4525" s="12">
        <f t="shared" ref="AZ4525" si="1735">SUM(AZ4325:AZ4524)</f>
        <v>0</v>
      </c>
      <c r="BA4525" s="12">
        <f t="shared" ref="BA4525" si="1736">SUM(BA4325:BA4524)</f>
        <v>0</v>
      </c>
      <c r="BB4525" s="12">
        <f t="shared" ref="BB4525" si="1737">SUM(BB4325:BB4524)</f>
        <v>0</v>
      </c>
      <c r="BC4525" s="12">
        <f t="shared" ref="BC4525" si="1738">SUM(BC4325:BC4524)</f>
        <v>2</v>
      </c>
      <c r="BD4525" s="12">
        <f t="shared" ref="BD4525" si="1739">SUM(BD4325:BD4524)</f>
        <v>0</v>
      </c>
      <c r="BE4525" s="12">
        <f t="shared" ref="BE4525" si="1740">SUM(BE4325:BE4524)</f>
        <v>0</v>
      </c>
      <c r="BF4525" s="12">
        <f t="shared" ref="BF4525" si="1741">SUM(BF4325:BF4524)</f>
        <v>0</v>
      </c>
      <c r="BG4525" s="12">
        <f t="shared" ref="BG4525" si="1742">SUM(BG4325:BG4524)</f>
        <v>3</v>
      </c>
      <c r="BH4525" s="12">
        <f t="shared" ref="BH4525" si="1743">SUM(BH4325:BH4524)</f>
        <v>0</v>
      </c>
      <c r="BI4525" s="12">
        <f t="shared" ref="BI4525" si="1744">SUM(BI4325:BI4524)</f>
        <v>0</v>
      </c>
      <c r="BJ4525" s="12">
        <f t="shared" ref="BJ4525" si="1745">SUM(BJ4325:BJ4524)</f>
        <v>0</v>
      </c>
      <c r="BK4525" s="12">
        <f t="shared" ref="BK4525" si="1746">SUM(BK4325:BK4524)</f>
        <v>0</v>
      </c>
      <c r="BL4525" s="12">
        <f t="shared" ref="BL4525" si="1747">SUM(BL4325:BL4524)</f>
        <v>0</v>
      </c>
      <c r="BM4525" s="12">
        <f t="shared" ref="BM4525" si="1748">SUM(BM4325:BM4524)</f>
        <v>0</v>
      </c>
      <c r="BN4525" s="12">
        <f t="shared" ref="BN4525" si="1749">SUM(BN4325:BN4524)</f>
        <v>0</v>
      </c>
      <c r="BO4525" s="12">
        <f t="shared" ref="BO4525" si="1750">SUM(BO4325:BO4524)</f>
        <v>0</v>
      </c>
      <c r="BP4525" s="12">
        <f t="shared" ref="BP4525" si="1751">SUM(BP4325:BP4524)</f>
        <v>0</v>
      </c>
      <c r="BQ4525" s="12">
        <f t="shared" ref="BQ4525" si="1752">SUM(BQ4325:BQ4524)</f>
        <v>0</v>
      </c>
      <c r="BR4525" s="12">
        <f t="shared" ref="BR4525" si="1753">SUM(BR4325:BR4524)</f>
        <v>0</v>
      </c>
      <c r="BS4525" s="12">
        <f t="shared" ref="BS4525" si="1754">SUM(BS4325:BS4524)</f>
        <v>5</v>
      </c>
      <c r="BT4525" s="12">
        <f t="shared" ref="BT4525" si="1755">SUM(BT4325:BT4524)</f>
        <v>1</v>
      </c>
      <c r="BU4525" s="12">
        <f t="shared" ref="BU4525" si="1756">SUM(BU4325:BU4524)</f>
        <v>0</v>
      </c>
      <c r="BV4525" s="12">
        <f t="shared" ref="BV4525" si="1757">SUM(BV4325:BV4524)</f>
        <v>0</v>
      </c>
      <c r="BW4525" s="12">
        <f t="shared" ref="BW4525" si="1758">SUM(BW4325:BW4524)</f>
        <v>0</v>
      </c>
      <c r="BX4525" s="12">
        <f t="shared" ref="BX4525" si="1759">SUM(BX4325:BX4524)</f>
        <v>0</v>
      </c>
      <c r="BY4525" s="12">
        <f t="shared" ref="BY4525" si="1760">SUM(BY4325:BY4524)</f>
        <v>0</v>
      </c>
      <c r="BZ4525" s="12">
        <f t="shared" ref="BZ4525" si="1761">SUM(BZ4325:BZ4524)</f>
        <v>0</v>
      </c>
      <c r="CA4525" s="12">
        <f t="shared" ref="CA4525" si="1762">SUM(CA4325:CA4524)</f>
        <v>0</v>
      </c>
      <c r="CB4525" s="12">
        <f t="shared" ref="CB4525" si="1763">SUM(CB4325:CB4524)</f>
        <v>0</v>
      </c>
      <c r="CC4525" s="12">
        <f t="shared" ref="CC4525" si="1764">SUM(CC4325:CC4524)</f>
        <v>0</v>
      </c>
      <c r="CD4525" s="12">
        <f t="shared" ref="CD4525" si="1765">SUM(CD4325:CD4524)</f>
        <v>0</v>
      </c>
      <c r="CE4525" s="12">
        <f t="shared" ref="CE4525" si="1766">SUM(CE4325:CE4524)</f>
        <v>0</v>
      </c>
      <c r="CF4525" s="12">
        <f t="shared" ref="CF4525" si="1767">SUM(CF4325:CF4524)</f>
        <v>0</v>
      </c>
      <c r="CG4525" s="12">
        <f t="shared" ref="CG4525" si="1768">SUM(CG4325:CG4524)</f>
        <v>0</v>
      </c>
      <c r="CH4525" s="12">
        <f t="shared" ref="CH4525" si="1769">SUM(CH4325:CH4524)</f>
        <v>0</v>
      </c>
      <c r="CI4525" s="12">
        <f t="shared" ref="CI4525" si="1770">SUM(CI4325:CI4524)</f>
        <v>0</v>
      </c>
      <c r="CJ4525" s="12">
        <f t="shared" ref="CJ4525" si="1771">SUM(CJ4325:CJ4524)</f>
        <v>0</v>
      </c>
      <c r="CK4525" s="12">
        <f t="shared" ref="CK4525" si="1772">SUM(CK4325:CK4524)</f>
        <v>0</v>
      </c>
      <c r="CL4525" s="12">
        <f t="shared" ref="CL4525" si="1773">SUM(CL4325:CL4524)</f>
        <v>0</v>
      </c>
    </row>
    <row r="4526" spans="1:90" x14ac:dyDescent="0.3">
      <c r="A4526" s="1" t="s">
        <v>66</v>
      </c>
      <c r="B4526" s="7">
        <v>40766</v>
      </c>
      <c r="C4526" s="1">
        <v>6</v>
      </c>
      <c r="D4526" s="1">
        <v>223</v>
      </c>
      <c r="E4526" s="1">
        <v>0</v>
      </c>
      <c r="F4526" s="1">
        <v>1</v>
      </c>
      <c r="I4526" s="1">
        <v>1</v>
      </c>
      <c r="J4526" s="1">
        <v>1</v>
      </c>
    </row>
    <row r="4527" spans="1:90" x14ac:dyDescent="0.3">
      <c r="A4527" s="1" t="s">
        <v>66</v>
      </c>
      <c r="B4527" s="7">
        <v>40766</v>
      </c>
      <c r="C4527" s="1">
        <v>6</v>
      </c>
      <c r="D4527" s="1">
        <v>223</v>
      </c>
      <c r="E4527" s="1">
        <v>0</v>
      </c>
      <c r="F4527" s="1">
        <v>2</v>
      </c>
      <c r="I4527" s="1">
        <v>1</v>
      </c>
    </row>
    <row r="4528" spans="1:90" x14ac:dyDescent="0.3">
      <c r="A4528" s="1" t="s">
        <v>66</v>
      </c>
      <c r="B4528" s="7">
        <v>40766</v>
      </c>
      <c r="C4528" s="1">
        <v>6</v>
      </c>
      <c r="D4528" s="1">
        <v>223</v>
      </c>
      <c r="E4528" s="1">
        <v>0</v>
      </c>
      <c r="F4528" s="1">
        <v>3</v>
      </c>
      <c r="J4528" s="1">
        <v>1</v>
      </c>
    </row>
    <row r="4529" spans="1:61" x14ac:dyDescent="0.3">
      <c r="A4529" s="1" t="s">
        <v>66</v>
      </c>
      <c r="B4529" s="7">
        <v>40766</v>
      </c>
      <c r="C4529" s="1">
        <v>6</v>
      </c>
      <c r="D4529" s="1">
        <v>223</v>
      </c>
      <c r="E4529" s="1">
        <v>0</v>
      </c>
      <c r="F4529" s="1">
        <v>4</v>
      </c>
      <c r="J4529" s="3">
        <v>0</v>
      </c>
      <c r="K4529" s="3">
        <v>1</v>
      </c>
    </row>
    <row r="4530" spans="1:61" x14ac:dyDescent="0.3">
      <c r="A4530" s="1" t="s">
        <v>66</v>
      </c>
      <c r="B4530" s="7">
        <v>40766</v>
      </c>
      <c r="C4530" s="1">
        <v>6</v>
      </c>
      <c r="D4530" s="1">
        <v>223</v>
      </c>
      <c r="E4530" s="1">
        <v>0</v>
      </c>
      <c r="F4530" s="1">
        <v>5</v>
      </c>
      <c r="J4530" s="3">
        <v>0</v>
      </c>
      <c r="K4530" s="3">
        <v>1</v>
      </c>
    </row>
    <row r="4531" spans="1:61" x14ac:dyDescent="0.3">
      <c r="A4531" s="1" t="s">
        <v>66</v>
      </c>
      <c r="B4531" s="7">
        <v>40766</v>
      </c>
      <c r="C4531" s="1">
        <v>6</v>
      </c>
      <c r="D4531" s="1">
        <v>223</v>
      </c>
      <c r="E4531" s="1">
        <v>0</v>
      </c>
      <c r="F4531" s="1">
        <v>6</v>
      </c>
      <c r="J4531" s="1">
        <v>1</v>
      </c>
      <c r="N4531" s="1">
        <v>1</v>
      </c>
    </row>
    <row r="4532" spans="1:61" x14ac:dyDescent="0.3">
      <c r="A4532" s="1" t="s">
        <v>66</v>
      </c>
      <c r="B4532" s="7">
        <v>40766</v>
      </c>
      <c r="C4532" s="1">
        <v>6</v>
      </c>
      <c r="D4532" s="1">
        <v>223</v>
      </c>
      <c r="E4532" s="1">
        <v>0</v>
      </c>
      <c r="F4532" s="1">
        <v>7</v>
      </c>
      <c r="H4532" s="1">
        <v>1</v>
      </c>
    </row>
    <row r="4533" spans="1:61" x14ac:dyDescent="0.3">
      <c r="A4533" s="1" t="s">
        <v>66</v>
      </c>
      <c r="B4533" s="7">
        <v>40766</v>
      </c>
      <c r="C4533" s="1">
        <v>6</v>
      </c>
      <c r="D4533" s="1">
        <v>223</v>
      </c>
      <c r="E4533" s="1">
        <v>0</v>
      </c>
      <c r="F4533" s="1">
        <v>8</v>
      </c>
      <c r="J4533" s="3">
        <v>0</v>
      </c>
      <c r="K4533" s="3">
        <v>1</v>
      </c>
    </row>
    <row r="4534" spans="1:61" x14ac:dyDescent="0.3">
      <c r="A4534" s="1" t="s">
        <v>66</v>
      </c>
      <c r="B4534" s="7">
        <v>40766</v>
      </c>
      <c r="C4534" s="1">
        <v>6</v>
      </c>
      <c r="D4534" s="1">
        <v>223</v>
      </c>
      <c r="E4534" s="1">
        <v>0</v>
      </c>
      <c r="F4534" s="1">
        <v>9</v>
      </c>
      <c r="J4534" s="1">
        <v>1</v>
      </c>
    </row>
    <row r="4535" spans="1:61" x14ac:dyDescent="0.3">
      <c r="A4535" s="1" t="s">
        <v>66</v>
      </c>
      <c r="B4535" s="7">
        <v>40766</v>
      </c>
      <c r="C4535" s="1">
        <v>6</v>
      </c>
      <c r="D4535" s="1">
        <v>223</v>
      </c>
      <c r="E4535" s="1">
        <v>0</v>
      </c>
      <c r="F4535" s="1">
        <v>10</v>
      </c>
      <c r="J4535" s="1">
        <v>1</v>
      </c>
    </row>
    <row r="4536" spans="1:61" x14ac:dyDescent="0.3">
      <c r="A4536" s="1" t="s">
        <v>66</v>
      </c>
      <c r="B4536" s="7">
        <v>40766</v>
      </c>
      <c r="C4536" s="1">
        <v>6</v>
      </c>
      <c r="D4536" s="1">
        <v>223</v>
      </c>
      <c r="E4536" s="1">
        <v>0</v>
      </c>
      <c r="F4536" s="1">
        <v>11</v>
      </c>
      <c r="BI4536" s="1">
        <v>1</v>
      </c>
    </row>
    <row r="4537" spans="1:61" x14ac:dyDescent="0.3">
      <c r="A4537" s="1" t="s">
        <v>66</v>
      </c>
      <c r="B4537" s="7">
        <v>40766</v>
      </c>
      <c r="C4537" s="1">
        <v>6</v>
      </c>
      <c r="D4537" s="1">
        <v>223</v>
      </c>
      <c r="E4537" s="1">
        <v>0</v>
      </c>
      <c r="F4537" s="1">
        <v>12</v>
      </c>
      <c r="I4537" s="1">
        <v>1</v>
      </c>
    </row>
    <row r="4538" spans="1:61" x14ac:dyDescent="0.3">
      <c r="A4538" s="1" t="s">
        <v>66</v>
      </c>
      <c r="B4538" s="7">
        <v>40766</v>
      </c>
      <c r="C4538" s="1">
        <v>6</v>
      </c>
      <c r="D4538" s="1">
        <v>223</v>
      </c>
      <c r="E4538" s="1">
        <v>0</v>
      </c>
      <c r="F4538" s="1">
        <v>13</v>
      </c>
      <c r="T4538" s="1">
        <v>1</v>
      </c>
    </row>
    <row r="4539" spans="1:61" x14ac:dyDescent="0.3">
      <c r="A4539" s="1" t="s">
        <v>66</v>
      </c>
      <c r="B4539" s="7">
        <v>40766</v>
      </c>
      <c r="C4539" s="1">
        <v>6</v>
      </c>
      <c r="D4539" s="1">
        <v>223</v>
      </c>
      <c r="E4539" s="1">
        <v>0</v>
      </c>
      <c r="F4539" s="1">
        <v>14</v>
      </c>
      <c r="T4539" s="1">
        <v>1</v>
      </c>
      <c r="BI4539" s="1">
        <v>1</v>
      </c>
    </row>
    <row r="4540" spans="1:61" x14ac:dyDescent="0.3">
      <c r="A4540" s="1" t="s">
        <v>66</v>
      </c>
      <c r="B4540" s="7">
        <v>40766</v>
      </c>
      <c r="C4540" s="1">
        <v>6</v>
      </c>
      <c r="D4540" s="1">
        <v>223</v>
      </c>
      <c r="E4540" s="1">
        <v>0</v>
      </c>
      <c r="F4540" s="1">
        <v>15</v>
      </c>
      <c r="J4540" s="3">
        <v>0</v>
      </c>
      <c r="K4540" s="3">
        <v>1</v>
      </c>
      <c r="T4540" s="1">
        <v>1</v>
      </c>
    </row>
    <row r="4541" spans="1:61" x14ac:dyDescent="0.3">
      <c r="A4541" s="1" t="s">
        <v>66</v>
      </c>
      <c r="B4541" s="7">
        <v>40766</v>
      </c>
      <c r="C4541" s="1">
        <v>6</v>
      </c>
      <c r="D4541" s="1">
        <v>223</v>
      </c>
      <c r="E4541" s="1">
        <v>0</v>
      </c>
      <c r="F4541" s="1">
        <v>16</v>
      </c>
      <c r="J4541" s="3">
        <v>0</v>
      </c>
      <c r="K4541" s="3">
        <v>1</v>
      </c>
      <c r="T4541" s="1">
        <v>1</v>
      </c>
    </row>
    <row r="4542" spans="1:61" x14ac:dyDescent="0.3">
      <c r="A4542" s="1" t="s">
        <v>66</v>
      </c>
      <c r="B4542" s="7">
        <v>40766</v>
      </c>
      <c r="C4542" s="1">
        <v>6</v>
      </c>
      <c r="D4542" s="1">
        <v>223</v>
      </c>
      <c r="E4542" s="1">
        <v>0</v>
      </c>
      <c r="F4542" s="1">
        <v>17</v>
      </c>
      <c r="J4542" s="3">
        <v>0</v>
      </c>
      <c r="K4542" s="3">
        <v>1</v>
      </c>
      <c r="N4542" s="1">
        <v>1</v>
      </c>
    </row>
    <row r="4543" spans="1:61" x14ac:dyDescent="0.3">
      <c r="A4543" s="1" t="s">
        <v>66</v>
      </c>
      <c r="B4543" s="7">
        <v>40766</v>
      </c>
      <c r="C4543" s="1">
        <v>6</v>
      </c>
      <c r="D4543" s="1">
        <v>223</v>
      </c>
      <c r="E4543" s="1">
        <v>0</v>
      </c>
      <c r="F4543" s="1">
        <v>18</v>
      </c>
      <c r="J4543" s="1">
        <v>1</v>
      </c>
    </row>
    <row r="4544" spans="1:61" x14ac:dyDescent="0.3">
      <c r="A4544" s="1" t="s">
        <v>66</v>
      </c>
      <c r="B4544" s="7">
        <v>40766</v>
      </c>
      <c r="C4544" s="1">
        <v>6</v>
      </c>
      <c r="D4544" s="1">
        <v>223</v>
      </c>
      <c r="E4544" s="1">
        <v>0</v>
      </c>
      <c r="F4544" s="1">
        <v>19</v>
      </c>
      <c r="J4544" s="1">
        <v>1</v>
      </c>
      <c r="T4544" s="1">
        <v>1</v>
      </c>
    </row>
    <row r="4545" spans="1:73" x14ac:dyDescent="0.3">
      <c r="A4545" s="1" t="s">
        <v>66</v>
      </c>
      <c r="B4545" s="7">
        <v>40766</v>
      </c>
      <c r="C4545" s="1">
        <v>6</v>
      </c>
      <c r="D4545" s="1">
        <v>223</v>
      </c>
      <c r="E4545" s="1">
        <v>0</v>
      </c>
      <c r="F4545" s="1">
        <v>20</v>
      </c>
      <c r="I4545" s="1">
        <v>1</v>
      </c>
      <c r="T4545" s="1">
        <v>1</v>
      </c>
    </row>
    <row r="4546" spans="1:73" x14ac:dyDescent="0.3">
      <c r="A4546" s="1" t="s">
        <v>66</v>
      </c>
      <c r="B4546" s="7">
        <v>40766</v>
      </c>
      <c r="C4546" s="1">
        <v>6</v>
      </c>
      <c r="D4546" s="1">
        <v>223</v>
      </c>
      <c r="E4546" s="1">
        <v>0</v>
      </c>
      <c r="F4546" s="1">
        <v>21</v>
      </c>
      <c r="T4546" s="1">
        <v>1</v>
      </c>
      <c r="AB4546" s="1">
        <v>1</v>
      </c>
    </row>
    <row r="4547" spans="1:73" x14ac:dyDescent="0.3">
      <c r="A4547" s="1" t="s">
        <v>66</v>
      </c>
      <c r="B4547" s="7">
        <v>40766</v>
      </c>
      <c r="C4547" s="1">
        <v>6</v>
      </c>
      <c r="D4547" s="1">
        <v>223</v>
      </c>
      <c r="E4547" s="1">
        <v>0</v>
      </c>
      <c r="F4547" s="1">
        <v>22</v>
      </c>
      <c r="T4547" s="1">
        <v>1</v>
      </c>
    </row>
    <row r="4548" spans="1:73" x14ac:dyDescent="0.3">
      <c r="A4548" s="1" t="s">
        <v>66</v>
      </c>
      <c r="B4548" s="7">
        <v>40766</v>
      </c>
      <c r="C4548" s="1">
        <v>6</v>
      </c>
      <c r="D4548" s="1">
        <v>223</v>
      </c>
      <c r="E4548" s="1">
        <v>0</v>
      </c>
      <c r="F4548" s="1">
        <v>23</v>
      </c>
      <c r="BU4548" s="1">
        <v>1</v>
      </c>
    </row>
    <row r="4549" spans="1:73" x14ac:dyDescent="0.3">
      <c r="A4549" s="1" t="s">
        <v>66</v>
      </c>
      <c r="B4549" s="7">
        <v>40766</v>
      </c>
      <c r="C4549" s="1">
        <v>6</v>
      </c>
      <c r="D4549" s="1">
        <v>223</v>
      </c>
      <c r="E4549" s="1">
        <v>0</v>
      </c>
      <c r="F4549" s="1">
        <v>24</v>
      </c>
      <c r="I4549" s="1">
        <v>1</v>
      </c>
    </row>
    <row r="4550" spans="1:73" x14ac:dyDescent="0.3">
      <c r="A4550" s="1" t="s">
        <v>66</v>
      </c>
      <c r="B4550" s="7">
        <v>40766</v>
      </c>
      <c r="C4550" s="1">
        <v>6</v>
      </c>
      <c r="D4550" s="1">
        <v>223</v>
      </c>
      <c r="E4550" s="1">
        <v>0</v>
      </c>
      <c r="F4550" s="1">
        <v>25</v>
      </c>
      <c r="J4550" s="3">
        <v>0</v>
      </c>
      <c r="K4550" s="3">
        <v>1</v>
      </c>
    </row>
    <row r="4551" spans="1:73" x14ac:dyDescent="0.3">
      <c r="A4551" s="1" t="s">
        <v>66</v>
      </c>
      <c r="B4551" s="7">
        <v>40766</v>
      </c>
      <c r="C4551" s="1">
        <v>6</v>
      </c>
      <c r="D4551" s="1">
        <v>223</v>
      </c>
      <c r="E4551" s="1">
        <v>0</v>
      </c>
      <c r="F4551" s="1">
        <v>26</v>
      </c>
      <c r="J4551" s="3">
        <v>0</v>
      </c>
      <c r="K4551" s="3">
        <v>1</v>
      </c>
    </row>
    <row r="4552" spans="1:73" x14ac:dyDescent="0.3">
      <c r="A4552" s="1" t="s">
        <v>66</v>
      </c>
      <c r="B4552" s="7">
        <v>40766</v>
      </c>
      <c r="C4552" s="1">
        <v>6</v>
      </c>
      <c r="D4552" s="1">
        <v>223</v>
      </c>
      <c r="E4552" s="1">
        <v>0</v>
      </c>
      <c r="F4552" s="1">
        <v>27</v>
      </c>
      <c r="J4552" s="1">
        <v>1</v>
      </c>
    </row>
    <row r="4553" spans="1:73" x14ac:dyDescent="0.3">
      <c r="A4553" s="1" t="s">
        <v>66</v>
      </c>
      <c r="B4553" s="7">
        <v>40766</v>
      </c>
      <c r="C4553" s="1">
        <v>6</v>
      </c>
      <c r="D4553" s="1">
        <v>223</v>
      </c>
      <c r="E4553" s="1">
        <v>0</v>
      </c>
      <c r="F4553" s="1">
        <v>28</v>
      </c>
      <c r="J4553" s="3">
        <v>0</v>
      </c>
      <c r="K4553" s="3">
        <v>1</v>
      </c>
    </row>
    <row r="4554" spans="1:73" x14ac:dyDescent="0.3">
      <c r="A4554" s="1" t="s">
        <v>66</v>
      </c>
      <c r="B4554" s="7">
        <v>40766</v>
      </c>
      <c r="C4554" s="1">
        <v>6</v>
      </c>
      <c r="D4554" s="1">
        <v>223</v>
      </c>
      <c r="E4554" s="1">
        <v>0</v>
      </c>
      <c r="F4554" s="1">
        <v>29</v>
      </c>
      <c r="J4554" s="1">
        <v>1</v>
      </c>
    </row>
    <row r="4555" spans="1:73" x14ac:dyDescent="0.3">
      <c r="A4555" s="1" t="s">
        <v>66</v>
      </c>
      <c r="B4555" s="7">
        <v>40766</v>
      </c>
      <c r="C4555" s="1">
        <v>6</v>
      </c>
      <c r="D4555" s="1">
        <v>223</v>
      </c>
      <c r="E4555" s="1">
        <v>0</v>
      </c>
      <c r="F4555" s="1">
        <v>30</v>
      </c>
      <c r="J4555" s="1">
        <v>1</v>
      </c>
    </row>
    <row r="4556" spans="1:73" x14ac:dyDescent="0.3">
      <c r="A4556" s="1" t="s">
        <v>66</v>
      </c>
      <c r="B4556" s="7">
        <v>40766</v>
      </c>
      <c r="C4556" s="1">
        <v>6</v>
      </c>
      <c r="D4556" s="1">
        <v>223</v>
      </c>
      <c r="E4556" s="1">
        <v>0</v>
      </c>
      <c r="F4556" s="1">
        <v>31</v>
      </c>
      <c r="N4556" s="1">
        <v>1</v>
      </c>
      <c r="BU4556" s="1">
        <v>1</v>
      </c>
    </row>
    <row r="4557" spans="1:73" x14ac:dyDescent="0.3">
      <c r="A4557" s="1" t="s">
        <v>66</v>
      </c>
      <c r="B4557" s="7">
        <v>40766</v>
      </c>
      <c r="C4557" s="1">
        <v>6</v>
      </c>
      <c r="D4557" s="1">
        <v>223</v>
      </c>
      <c r="E4557" s="1">
        <v>0</v>
      </c>
      <c r="F4557" s="1">
        <v>32</v>
      </c>
      <c r="J4557" s="1">
        <v>1</v>
      </c>
    </row>
    <row r="4558" spans="1:73" x14ac:dyDescent="0.3">
      <c r="A4558" s="1" t="s">
        <v>66</v>
      </c>
      <c r="B4558" s="7">
        <v>40766</v>
      </c>
      <c r="C4558" s="1">
        <v>6</v>
      </c>
      <c r="D4558" s="1">
        <v>223</v>
      </c>
      <c r="E4558" s="1">
        <v>0</v>
      </c>
      <c r="F4558" s="1">
        <v>33</v>
      </c>
      <c r="L4558" s="1">
        <v>1</v>
      </c>
      <c r="BU4558" s="1">
        <v>1</v>
      </c>
    </row>
    <row r="4559" spans="1:73" x14ac:dyDescent="0.3">
      <c r="A4559" s="1" t="s">
        <v>66</v>
      </c>
      <c r="B4559" s="7">
        <v>40766</v>
      </c>
      <c r="C4559" s="1">
        <v>6</v>
      </c>
      <c r="D4559" s="1">
        <v>223</v>
      </c>
      <c r="E4559" s="1">
        <v>0</v>
      </c>
      <c r="F4559" s="1">
        <v>34</v>
      </c>
      <c r="J4559" s="3">
        <v>0</v>
      </c>
      <c r="K4559" s="3">
        <v>1</v>
      </c>
    </row>
    <row r="4560" spans="1:73" x14ac:dyDescent="0.3">
      <c r="A4560" s="1" t="s">
        <v>66</v>
      </c>
      <c r="B4560" s="7">
        <v>40766</v>
      </c>
      <c r="C4560" s="1">
        <v>6</v>
      </c>
      <c r="D4560" s="1">
        <v>223</v>
      </c>
      <c r="E4560" s="1">
        <v>0</v>
      </c>
      <c r="F4560" s="1">
        <v>35</v>
      </c>
      <c r="J4560" s="1">
        <v>1</v>
      </c>
      <c r="T4560" s="1">
        <v>1</v>
      </c>
    </row>
    <row r="4561" spans="1:61" x14ac:dyDescent="0.3">
      <c r="A4561" s="1" t="s">
        <v>66</v>
      </c>
      <c r="B4561" s="7">
        <v>40766</v>
      </c>
      <c r="C4561" s="1">
        <v>6</v>
      </c>
      <c r="D4561" s="1">
        <v>223</v>
      </c>
      <c r="E4561" s="1">
        <v>0</v>
      </c>
      <c r="F4561" s="1">
        <v>36</v>
      </c>
      <c r="J4561" s="3">
        <v>0</v>
      </c>
      <c r="K4561" s="3">
        <v>1</v>
      </c>
    </row>
    <row r="4562" spans="1:61" x14ac:dyDescent="0.3">
      <c r="A4562" s="1" t="s">
        <v>66</v>
      </c>
      <c r="B4562" s="7">
        <v>40766</v>
      </c>
      <c r="C4562" s="1">
        <v>6</v>
      </c>
      <c r="D4562" s="1">
        <v>223</v>
      </c>
      <c r="E4562" s="1">
        <v>0</v>
      </c>
      <c r="F4562" s="1">
        <v>37</v>
      </c>
      <c r="I4562" s="1">
        <v>1</v>
      </c>
      <c r="R4562" s="1">
        <v>1</v>
      </c>
    </row>
    <row r="4563" spans="1:61" x14ac:dyDescent="0.3">
      <c r="A4563" s="1" t="s">
        <v>66</v>
      </c>
      <c r="B4563" s="7">
        <v>40766</v>
      </c>
      <c r="C4563" s="1">
        <v>6</v>
      </c>
      <c r="D4563" s="1">
        <v>223</v>
      </c>
      <c r="E4563" s="1">
        <v>0</v>
      </c>
      <c r="F4563" s="1">
        <v>38</v>
      </c>
      <c r="J4563" s="1">
        <v>1</v>
      </c>
      <c r="L4563" s="1">
        <v>1</v>
      </c>
    </row>
    <row r="4564" spans="1:61" x14ac:dyDescent="0.3">
      <c r="A4564" s="1" t="s">
        <v>66</v>
      </c>
      <c r="B4564" s="7">
        <v>40766</v>
      </c>
      <c r="C4564" s="1">
        <v>6</v>
      </c>
      <c r="D4564" s="1">
        <v>223</v>
      </c>
      <c r="E4564" s="1">
        <v>0</v>
      </c>
      <c r="F4564" s="1">
        <v>39</v>
      </c>
      <c r="J4564" s="1">
        <v>1</v>
      </c>
      <c r="R4564" s="1">
        <v>1</v>
      </c>
    </row>
    <row r="4565" spans="1:61" x14ac:dyDescent="0.3">
      <c r="A4565" s="1" t="s">
        <v>66</v>
      </c>
      <c r="B4565" s="7">
        <v>40766</v>
      </c>
      <c r="C4565" s="1">
        <v>6</v>
      </c>
      <c r="D4565" s="1">
        <v>223</v>
      </c>
      <c r="E4565" s="1">
        <v>0</v>
      </c>
      <c r="F4565" s="1">
        <v>40</v>
      </c>
      <c r="J4565" s="1">
        <v>1</v>
      </c>
      <c r="N4565" s="1">
        <v>1</v>
      </c>
    </row>
    <row r="4566" spans="1:61" x14ac:dyDescent="0.3">
      <c r="A4566" s="1" t="s">
        <v>66</v>
      </c>
      <c r="B4566" s="7">
        <v>40766</v>
      </c>
      <c r="C4566" s="1">
        <v>6</v>
      </c>
      <c r="D4566" s="1">
        <v>223</v>
      </c>
      <c r="E4566" s="1">
        <v>0</v>
      </c>
      <c r="F4566" s="1">
        <v>41</v>
      </c>
      <c r="J4566" s="1">
        <v>1</v>
      </c>
      <c r="BG4566" s="1">
        <v>1</v>
      </c>
    </row>
    <row r="4567" spans="1:61" x14ac:dyDescent="0.3">
      <c r="A4567" s="1" t="s">
        <v>66</v>
      </c>
      <c r="B4567" s="7">
        <v>40766</v>
      </c>
      <c r="C4567" s="1">
        <v>6</v>
      </c>
      <c r="D4567" s="1">
        <v>223</v>
      </c>
      <c r="E4567" s="1">
        <v>0</v>
      </c>
      <c r="F4567" s="1">
        <v>42</v>
      </c>
      <c r="J4567" s="1">
        <v>1</v>
      </c>
    </row>
    <row r="4568" spans="1:61" x14ac:dyDescent="0.3">
      <c r="A4568" s="1" t="s">
        <v>66</v>
      </c>
      <c r="B4568" s="7">
        <v>40766</v>
      </c>
      <c r="C4568" s="1">
        <v>6</v>
      </c>
      <c r="D4568" s="1">
        <v>223</v>
      </c>
      <c r="E4568" s="1">
        <v>0</v>
      </c>
      <c r="F4568" s="1">
        <v>43</v>
      </c>
      <c r="J4568" s="1">
        <v>1</v>
      </c>
    </row>
    <row r="4569" spans="1:61" x14ac:dyDescent="0.3">
      <c r="A4569" s="1" t="s">
        <v>66</v>
      </c>
      <c r="B4569" s="7">
        <v>40766</v>
      </c>
      <c r="C4569" s="1">
        <v>6</v>
      </c>
      <c r="D4569" s="1">
        <v>223</v>
      </c>
      <c r="E4569" s="1">
        <v>0</v>
      </c>
      <c r="F4569" s="1">
        <v>44</v>
      </c>
      <c r="J4569" s="1">
        <v>1</v>
      </c>
    </row>
    <row r="4570" spans="1:61" x14ac:dyDescent="0.3">
      <c r="A4570" s="1" t="s">
        <v>66</v>
      </c>
      <c r="B4570" s="7">
        <v>40766</v>
      </c>
      <c r="C4570" s="1">
        <v>6</v>
      </c>
      <c r="D4570" s="1">
        <v>223</v>
      </c>
      <c r="E4570" s="1">
        <v>0</v>
      </c>
      <c r="F4570" s="1">
        <v>45</v>
      </c>
      <c r="L4570" s="1">
        <v>1</v>
      </c>
      <c r="BI4570" s="1">
        <v>1</v>
      </c>
    </row>
    <row r="4571" spans="1:61" x14ac:dyDescent="0.3">
      <c r="A4571" s="1" t="s">
        <v>66</v>
      </c>
      <c r="B4571" s="7">
        <v>40766</v>
      </c>
      <c r="C4571" s="1">
        <v>6</v>
      </c>
      <c r="D4571" s="1">
        <v>223</v>
      </c>
      <c r="E4571" s="1">
        <v>0</v>
      </c>
      <c r="F4571" s="1">
        <v>46</v>
      </c>
      <c r="I4571" s="1">
        <v>1</v>
      </c>
      <c r="J4571" s="1">
        <v>1</v>
      </c>
    </row>
    <row r="4572" spans="1:61" x14ac:dyDescent="0.3">
      <c r="A4572" s="1" t="s">
        <v>66</v>
      </c>
      <c r="B4572" s="7">
        <v>40766</v>
      </c>
      <c r="C4572" s="1">
        <v>6</v>
      </c>
      <c r="D4572" s="1">
        <v>223</v>
      </c>
      <c r="E4572" s="1">
        <v>0</v>
      </c>
      <c r="F4572" s="1">
        <v>47</v>
      </c>
      <c r="J4572" s="1">
        <v>1</v>
      </c>
      <c r="R4572" s="1">
        <v>1</v>
      </c>
    </row>
    <row r="4573" spans="1:61" x14ac:dyDescent="0.3">
      <c r="A4573" s="1" t="s">
        <v>66</v>
      </c>
      <c r="B4573" s="7">
        <v>40766</v>
      </c>
      <c r="C4573" s="1">
        <v>6</v>
      </c>
      <c r="D4573" s="1">
        <v>223</v>
      </c>
      <c r="E4573" s="1">
        <v>0</v>
      </c>
      <c r="F4573" s="1">
        <v>48</v>
      </c>
      <c r="J4573" s="1">
        <v>1</v>
      </c>
      <c r="BI4573" s="1">
        <v>1</v>
      </c>
    </row>
    <row r="4574" spans="1:61" x14ac:dyDescent="0.3">
      <c r="A4574" s="1" t="s">
        <v>66</v>
      </c>
      <c r="B4574" s="7">
        <v>40766</v>
      </c>
      <c r="C4574" s="1">
        <v>6</v>
      </c>
      <c r="D4574" s="1">
        <v>223</v>
      </c>
      <c r="E4574" s="1">
        <v>0</v>
      </c>
      <c r="F4574" s="1">
        <v>49</v>
      </c>
      <c r="J4574" s="3">
        <v>0</v>
      </c>
      <c r="K4574" s="3">
        <v>1</v>
      </c>
      <c r="T4574" s="1">
        <v>1</v>
      </c>
    </row>
    <row r="4575" spans="1:61" x14ac:dyDescent="0.3">
      <c r="A4575" s="1" t="s">
        <v>66</v>
      </c>
      <c r="B4575" s="7">
        <v>40766</v>
      </c>
      <c r="C4575" s="1">
        <v>6</v>
      </c>
      <c r="D4575" s="1">
        <v>223</v>
      </c>
      <c r="E4575" s="1">
        <v>0</v>
      </c>
      <c r="F4575" s="1">
        <v>50</v>
      </c>
      <c r="N4575" s="1">
        <v>1</v>
      </c>
      <c r="R4575" s="1">
        <v>1</v>
      </c>
      <c r="AB4575" s="1">
        <v>1</v>
      </c>
    </row>
    <row r="4576" spans="1:61" x14ac:dyDescent="0.3">
      <c r="A4576" s="1" t="s">
        <v>66</v>
      </c>
      <c r="B4576" s="7">
        <v>40766</v>
      </c>
      <c r="C4576" s="1">
        <v>6</v>
      </c>
      <c r="D4576" s="1">
        <v>223</v>
      </c>
      <c r="E4576" s="1">
        <v>0</v>
      </c>
      <c r="F4576" s="1">
        <v>51</v>
      </c>
      <c r="J4576" s="3">
        <v>0</v>
      </c>
      <c r="K4576" s="3">
        <v>1</v>
      </c>
      <c r="T4576" s="1">
        <v>1</v>
      </c>
    </row>
    <row r="4577" spans="1:61" x14ac:dyDescent="0.3">
      <c r="A4577" s="1" t="s">
        <v>66</v>
      </c>
      <c r="B4577" s="7">
        <v>40766</v>
      </c>
      <c r="C4577" s="1">
        <v>6</v>
      </c>
      <c r="D4577" s="1">
        <v>223</v>
      </c>
      <c r="E4577" s="1">
        <v>0</v>
      </c>
      <c r="F4577" s="1">
        <v>52</v>
      </c>
      <c r="J4577" s="1">
        <v>1</v>
      </c>
    </row>
    <row r="4578" spans="1:61" x14ac:dyDescent="0.3">
      <c r="A4578" s="1" t="s">
        <v>66</v>
      </c>
      <c r="B4578" s="7">
        <v>40766</v>
      </c>
      <c r="C4578" s="1">
        <v>6</v>
      </c>
      <c r="D4578" s="1">
        <v>223</v>
      </c>
      <c r="E4578" s="1">
        <v>0</v>
      </c>
      <c r="F4578" s="1">
        <v>53</v>
      </c>
      <c r="J4578" s="1">
        <v>1</v>
      </c>
    </row>
    <row r="4579" spans="1:61" x14ac:dyDescent="0.3">
      <c r="A4579" s="1" t="s">
        <v>66</v>
      </c>
      <c r="B4579" s="7">
        <v>40766</v>
      </c>
      <c r="C4579" s="1">
        <v>6</v>
      </c>
      <c r="D4579" s="1">
        <v>223</v>
      </c>
      <c r="E4579" s="1">
        <v>0</v>
      </c>
      <c r="F4579" s="1">
        <v>54</v>
      </c>
      <c r="J4579" s="1">
        <v>1</v>
      </c>
      <c r="T4579" s="1">
        <v>1</v>
      </c>
    </row>
    <row r="4580" spans="1:61" x14ac:dyDescent="0.3">
      <c r="A4580" s="1" t="s">
        <v>66</v>
      </c>
      <c r="B4580" s="7">
        <v>40766</v>
      </c>
      <c r="C4580" s="1">
        <v>6</v>
      </c>
      <c r="D4580" s="1">
        <v>223</v>
      </c>
      <c r="E4580" s="1">
        <v>0</v>
      </c>
      <c r="F4580" s="1">
        <v>55</v>
      </c>
      <c r="J4580" s="1">
        <v>1</v>
      </c>
    </row>
    <row r="4581" spans="1:61" x14ac:dyDescent="0.3">
      <c r="A4581" s="1" t="s">
        <v>66</v>
      </c>
      <c r="B4581" s="7">
        <v>40766</v>
      </c>
      <c r="C4581" s="1">
        <v>6</v>
      </c>
      <c r="D4581" s="1">
        <v>223</v>
      </c>
      <c r="E4581" s="1">
        <v>0</v>
      </c>
      <c r="F4581" s="1">
        <v>56</v>
      </c>
      <c r="J4581" s="3">
        <v>0</v>
      </c>
      <c r="K4581" s="3">
        <v>1</v>
      </c>
    </row>
    <row r="4582" spans="1:61" x14ac:dyDescent="0.3">
      <c r="A4582" s="1" t="s">
        <v>66</v>
      </c>
      <c r="B4582" s="7">
        <v>40766</v>
      </c>
      <c r="C4582" s="1">
        <v>6</v>
      </c>
      <c r="D4582" s="1">
        <v>223</v>
      </c>
      <c r="E4582" s="1">
        <v>0</v>
      </c>
      <c r="F4582" s="1">
        <v>57</v>
      </c>
      <c r="J4582" s="1">
        <v>1</v>
      </c>
    </row>
    <row r="4583" spans="1:61" x14ac:dyDescent="0.3">
      <c r="A4583" s="1" t="s">
        <v>66</v>
      </c>
      <c r="B4583" s="7">
        <v>40766</v>
      </c>
      <c r="C4583" s="1">
        <v>6</v>
      </c>
      <c r="D4583" s="1">
        <v>223</v>
      </c>
      <c r="E4583" s="1">
        <v>0</v>
      </c>
      <c r="F4583" s="1">
        <v>58</v>
      </c>
      <c r="J4583" s="3">
        <v>0</v>
      </c>
      <c r="K4583" s="3">
        <v>1</v>
      </c>
    </row>
    <row r="4584" spans="1:61" x14ac:dyDescent="0.3">
      <c r="A4584" s="1" t="s">
        <v>66</v>
      </c>
      <c r="B4584" s="7">
        <v>40766</v>
      </c>
      <c r="C4584" s="1">
        <v>6</v>
      </c>
      <c r="D4584" s="1">
        <v>223</v>
      </c>
      <c r="E4584" s="1">
        <v>0</v>
      </c>
      <c r="F4584" s="1">
        <v>59</v>
      </c>
      <c r="L4584" s="1">
        <v>1</v>
      </c>
    </row>
    <row r="4585" spans="1:61" x14ac:dyDescent="0.3">
      <c r="A4585" s="1" t="s">
        <v>66</v>
      </c>
      <c r="B4585" s="7">
        <v>40766</v>
      </c>
      <c r="C4585" s="1">
        <v>6</v>
      </c>
      <c r="D4585" s="1">
        <v>223</v>
      </c>
      <c r="E4585" s="1">
        <v>0</v>
      </c>
      <c r="F4585" s="1">
        <v>60</v>
      </c>
      <c r="R4585" s="1">
        <v>1</v>
      </c>
      <c r="BI4585" s="1">
        <v>1</v>
      </c>
    </row>
    <row r="4586" spans="1:61" x14ac:dyDescent="0.3">
      <c r="A4586" s="1" t="s">
        <v>66</v>
      </c>
      <c r="B4586" s="7">
        <v>40766</v>
      </c>
      <c r="C4586" s="1">
        <v>6</v>
      </c>
      <c r="D4586" s="1">
        <v>223</v>
      </c>
      <c r="E4586" s="1">
        <v>0</v>
      </c>
      <c r="F4586" s="1">
        <v>61</v>
      </c>
      <c r="J4586" s="1">
        <v>1</v>
      </c>
      <c r="BI4586" s="1">
        <v>1</v>
      </c>
    </row>
    <row r="4587" spans="1:61" x14ac:dyDescent="0.3">
      <c r="A4587" s="1" t="s">
        <v>66</v>
      </c>
      <c r="B4587" s="7">
        <v>40766</v>
      </c>
      <c r="C4587" s="1">
        <v>6</v>
      </c>
      <c r="D4587" s="1">
        <v>223</v>
      </c>
      <c r="E4587" s="1">
        <v>0</v>
      </c>
      <c r="F4587" s="1">
        <v>62</v>
      </c>
      <c r="J4587" s="1">
        <v>1</v>
      </c>
      <c r="T4587" s="1">
        <v>1</v>
      </c>
    </row>
    <row r="4588" spans="1:61" x14ac:dyDescent="0.3">
      <c r="A4588" s="1" t="s">
        <v>66</v>
      </c>
      <c r="B4588" s="7">
        <v>40766</v>
      </c>
      <c r="C4588" s="1">
        <v>6</v>
      </c>
      <c r="D4588" s="1">
        <v>223</v>
      </c>
      <c r="E4588" s="1">
        <v>0</v>
      </c>
      <c r="F4588" s="1">
        <v>63</v>
      </c>
      <c r="J4588" s="1">
        <v>1</v>
      </c>
    </row>
    <row r="4589" spans="1:61" x14ac:dyDescent="0.3">
      <c r="A4589" s="1" t="s">
        <v>66</v>
      </c>
      <c r="B4589" s="7">
        <v>40766</v>
      </c>
      <c r="C4589" s="1">
        <v>6</v>
      </c>
      <c r="D4589" s="1">
        <v>223</v>
      </c>
      <c r="E4589" s="1">
        <v>0</v>
      </c>
      <c r="F4589" s="1">
        <v>64</v>
      </c>
      <c r="J4589" s="1">
        <v>1</v>
      </c>
      <c r="N4589" s="1">
        <v>1</v>
      </c>
    </row>
    <row r="4590" spans="1:61" x14ac:dyDescent="0.3">
      <c r="A4590" s="1" t="s">
        <v>66</v>
      </c>
      <c r="B4590" s="7">
        <v>40766</v>
      </c>
      <c r="C4590" s="1">
        <v>6</v>
      </c>
      <c r="D4590" s="1">
        <v>223</v>
      </c>
      <c r="E4590" s="1">
        <v>0</v>
      </c>
      <c r="F4590" s="1">
        <v>65</v>
      </c>
      <c r="J4590" s="1">
        <v>1</v>
      </c>
      <c r="T4590" s="1">
        <v>1</v>
      </c>
    </row>
    <row r="4591" spans="1:61" x14ac:dyDescent="0.3">
      <c r="A4591" s="1" t="s">
        <v>66</v>
      </c>
      <c r="B4591" s="7">
        <v>40766</v>
      </c>
      <c r="C4591" s="1">
        <v>6</v>
      </c>
      <c r="D4591" s="1">
        <v>223</v>
      </c>
      <c r="E4591" s="1">
        <v>0</v>
      </c>
      <c r="F4591" s="1">
        <v>66</v>
      </c>
      <c r="J4591" s="1">
        <v>1</v>
      </c>
    </row>
    <row r="4592" spans="1:61" x14ac:dyDescent="0.3">
      <c r="A4592" s="1" t="s">
        <v>66</v>
      </c>
      <c r="B4592" s="7">
        <v>40766</v>
      </c>
      <c r="C4592" s="1">
        <v>6</v>
      </c>
      <c r="D4592" s="1">
        <v>223</v>
      </c>
      <c r="E4592" s="1">
        <v>0</v>
      </c>
      <c r="F4592" s="1">
        <v>67</v>
      </c>
      <c r="R4592" s="1">
        <v>1</v>
      </c>
      <c r="BI4592" s="1">
        <v>1</v>
      </c>
    </row>
    <row r="4593" spans="1:61" x14ac:dyDescent="0.3">
      <c r="A4593" s="1" t="s">
        <v>66</v>
      </c>
      <c r="B4593" s="7">
        <v>40766</v>
      </c>
      <c r="C4593" s="1">
        <v>6</v>
      </c>
      <c r="D4593" s="1">
        <v>223</v>
      </c>
      <c r="E4593" s="1">
        <v>0</v>
      </c>
      <c r="F4593" s="1">
        <v>68</v>
      </c>
      <c r="T4593" s="1">
        <v>1</v>
      </c>
    </row>
    <row r="4594" spans="1:61" x14ac:dyDescent="0.3">
      <c r="A4594" s="1" t="s">
        <v>66</v>
      </c>
      <c r="B4594" s="7">
        <v>40766</v>
      </c>
      <c r="C4594" s="1">
        <v>6</v>
      </c>
      <c r="D4594" s="1">
        <v>223</v>
      </c>
      <c r="E4594" s="1">
        <v>0</v>
      </c>
      <c r="F4594" s="1">
        <v>69</v>
      </c>
      <c r="R4594" s="1">
        <v>1</v>
      </c>
    </row>
    <row r="4595" spans="1:61" x14ac:dyDescent="0.3">
      <c r="A4595" s="1" t="s">
        <v>66</v>
      </c>
      <c r="B4595" s="7">
        <v>40766</v>
      </c>
      <c r="C4595" s="1">
        <v>6</v>
      </c>
      <c r="D4595" s="1">
        <v>223</v>
      </c>
      <c r="E4595" s="1">
        <v>0</v>
      </c>
      <c r="F4595" s="1">
        <v>70</v>
      </c>
      <c r="R4595" s="1">
        <v>1</v>
      </c>
      <c r="BI4595" s="1">
        <v>1</v>
      </c>
    </row>
    <row r="4596" spans="1:61" x14ac:dyDescent="0.3">
      <c r="A4596" s="1" t="s">
        <v>66</v>
      </c>
      <c r="B4596" s="7">
        <v>40766</v>
      </c>
      <c r="C4596" s="1">
        <v>6</v>
      </c>
      <c r="D4596" s="1">
        <v>223</v>
      </c>
      <c r="E4596" s="1">
        <v>0</v>
      </c>
      <c r="F4596" s="1">
        <v>71</v>
      </c>
      <c r="L4596" s="1">
        <v>1</v>
      </c>
      <c r="T4596" s="1">
        <v>1</v>
      </c>
    </row>
    <row r="4597" spans="1:61" x14ac:dyDescent="0.3">
      <c r="A4597" s="1" t="s">
        <v>66</v>
      </c>
      <c r="B4597" s="7">
        <v>40766</v>
      </c>
      <c r="C4597" s="1">
        <v>6</v>
      </c>
      <c r="D4597" s="1">
        <v>223</v>
      </c>
      <c r="E4597" s="1">
        <v>0</v>
      </c>
      <c r="F4597" s="1">
        <v>72</v>
      </c>
      <c r="J4597" s="3">
        <v>0</v>
      </c>
      <c r="K4597" s="3">
        <v>1</v>
      </c>
      <c r="T4597" s="1">
        <v>1</v>
      </c>
    </row>
    <row r="4598" spans="1:61" x14ac:dyDescent="0.3">
      <c r="A4598" s="1" t="s">
        <v>66</v>
      </c>
      <c r="B4598" s="7">
        <v>40766</v>
      </c>
      <c r="C4598" s="1">
        <v>6</v>
      </c>
      <c r="D4598" s="1">
        <v>223</v>
      </c>
      <c r="E4598" s="1">
        <v>0</v>
      </c>
      <c r="F4598" s="1">
        <v>73</v>
      </c>
      <c r="J4598" s="1">
        <v>1</v>
      </c>
      <c r="N4598" s="1">
        <v>1</v>
      </c>
    </row>
    <row r="4599" spans="1:61" x14ac:dyDescent="0.3">
      <c r="A4599" s="1" t="s">
        <v>66</v>
      </c>
      <c r="B4599" s="7">
        <v>40766</v>
      </c>
      <c r="C4599" s="1">
        <v>6</v>
      </c>
      <c r="D4599" s="1">
        <v>223</v>
      </c>
      <c r="E4599" s="1">
        <v>0</v>
      </c>
      <c r="F4599" s="1">
        <v>74</v>
      </c>
      <c r="J4599" s="3">
        <v>0</v>
      </c>
      <c r="K4599" s="3">
        <v>1</v>
      </c>
      <c r="T4599" s="1">
        <v>1</v>
      </c>
    </row>
    <row r="4600" spans="1:61" x14ac:dyDescent="0.3">
      <c r="A4600" s="1" t="s">
        <v>66</v>
      </c>
      <c r="B4600" s="7">
        <v>40766</v>
      </c>
      <c r="C4600" s="1">
        <v>6</v>
      </c>
      <c r="D4600" s="1">
        <v>223</v>
      </c>
      <c r="E4600" s="1">
        <v>0</v>
      </c>
      <c r="F4600" s="1">
        <v>75</v>
      </c>
      <c r="J4600" s="1">
        <v>1</v>
      </c>
      <c r="T4600" s="1">
        <v>1</v>
      </c>
    </row>
    <row r="4601" spans="1:61" x14ac:dyDescent="0.3">
      <c r="A4601" s="1" t="s">
        <v>66</v>
      </c>
      <c r="B4601" s="7">
        <v>40766</v>
      </c>
      <c r="C4601" s="1">
        <v>6</v>
      </c>
      <c r="D4601" s="1">
        <v>223</v>
      </c>
      <c r="E4601" s="1">
        <v>0</v>
      </c>
      <c r="F4601" s="1">
        <v>76</v>
      </c>
      <c r="J4601" s="1">
        <v>1</v>
      </c>
    </row>
    <row r="4602" spans="1:61" x14ac:dyDescent="0.3">
      <c r="A4602" s="1" t="s">
        <v>66</v>
      </c>
      <c r="B4602" s="7">
        <v>40766</v>
      </c>
      <c r="C4602" s="1">
        <v>6</v>
      </c>
      <c r="D4602" s="1">
        <v>223</v>
      </c>
      <c r="E4602" s="1">
        <v>0</v>
      </c>
      <c r="F4602" s="1">
        <v>77</v>
      </c>
      <c r="J4602" s="3">
        <v>0</v>
      </c>
      <c r="K4602" s="3">
        <v>1</v>
      </c>
      <c r="T4602" s="1">
        <v>1</v>
      </c>
    </row>
    <row r="4603" spans="1:61" x14ac:dyDescent="0.3">
      <c r="A4603" s="1" t="s">
        <v>66</v>
      </c>
      <c r="B4603" s="7">
        <v>40766</v>
      </c>
      <c r="C4603" s="1">
        <v>6</v>
      </c>
      <c r="D4603" s="1">
        <v>223</v>
      </c>
      <c r="E4603" s="1">
        <v>0</v>
      </c>
      <c r="F4603" s="1">
        <v>78</v>
      </c>
      <c r="R4603" s="1">
        <v>1</v>
      </c>
    </row>
    <row r="4604" spans="1:61" x14ac:dyDescent="0.3">
      <c r="A4604" s="1" t="s">
        <v>66</v>
      </c>
      <c r="B4604" s="7">
        <v>40766</v>
      </c>
      <c r="C4604" s="1">
        <v>6</v>
      </c>
      <c r="D4604" s="1">
        <v>223</v>
      </c>
      <c r="E4604" s="1">
        <v>0</v>
      </c>
      <c r="F4604" s="1">
        <v>79</v>
      </c>
      <c r="BI4604" s="1">
        <v>1</v>
      </c>
    </row>
    <row r="4605" spans="1:61" x14ac:dyDescent="0.3">
      <c r="A4605" s="1" t="s">
        <v>66</v>
      </c>
      <c r="B4605" s="7">
        <v>40766</v>
      </c>
      <c r="C4605" s="1">
        <v>6</v>
      </c>
      <c r="D4605" s="1">
        <v>223</v>
      </c>
      <c r="E4605" s="1">
        <v>0</v>
      </c>
      <c r="F4605" s="1">
        <v>80</v>
      </c>
      <c r="N4605" s="1">
        <v>1</v>
      </c>
      <c r="BI4605" s="1">
        <v>1</v>
      </c>
    </row>
    <row r="4606" spans="1:61" x14ac:dyDescent="0.3">
      <c r="A4606" s="1" t="s">
        <v>66</v>
      </c>
      <c r="B4606" s="7">
        <v>40766</v>
      </c>
      <c r="C4606" s="1">
        <v>6</v>
      </c>
      <c r="D4606" s="1">
        <v>223</v>
      </c>
      <c r="E4606" s="1">
        <v>0</v>
      </c>
      <c r="F4606" s="1">
        <v>81</v>
      </c>
      <c r="T4606" s="1">
        <v>1</v>
      </c>
    </row>
    <row r="4607" spans="1:61" x14ac:dyDescent="0.3">
      <c r="A4607" s="1" t="s">
        <v>66</v>
      </c>
      <c r="B4607" s="7">
        <v>40766</v>
      </c>
      <c r="C4607" s="1">
        <v>6</v>
      </c>
      <c r="D4607" s="1">
        <v>223</v>
      </c>
      <c r="E4607" s="1">
        <v>0</v>
      </c>
      <c r="F4607" s="1">
        <v>82</v>
      </c>
      <c r="J4607" s="1">
        <v>1</v>
      </c>
    </row>
    <row r="4608" spans="1:61" x14ac:dyDescent="0.3">
      <c r="A4608" s="1" t="s">
        <v>66</v>
      </c>
      <c r="B4608" s="7">
        <v>40766</v>
      </c>
      <c r="C4608" s="1">
        <v>6</v>
      </c>
      <c r="D4608" s="1">
        <v>223</v>
      </c>
      <c r="E4608" s="1">
        <v>0</v>
      </c>
      <c r="F4608" s="1">
        <v>83</v>
      </c>
      <c r="I4608" s="1">
        <v>1</v>
      </c>
      <c r="J4608" s="1">
        <v>1</v>
      </c>
    </row>
    <row r="4609" spans="1:63" x14ac:dyDescent="0.3">
      <c r="A4609" s="1" t="s">
        <v>66</v>
      </c>
      <c r="B4609" s="7">
        <v>40766</v>
      </c>
      <c r="C4609" s="1">
        <v>6</v>
      </c>
      <c r="D4609" s="1">
        <v>223</v>
      </c>
      <c r="E4609" s="1">
        <v>0</v>
      </c>
      <c r="F4609" s="1">
        <v>84</v>
      </c>
      <c r="I4609" s="1">
        <v>1</v>
      </c>
      <c r="J4609" s="1">
        <v>1</v>
      </c>
    </row>
    <row r="4610" spans="1:63" x14ac:dyDescent="0.3">
      <c r="A4610" s="1" t="s">
        <v>66</v>
      </c>
      <c r="B4610" s="7">
        <v>40766</v>
      </c>
      <c r="C4610" s="1">
        <v>6</v>
      </c>
      <c r="D4610" s="1">
        <v>223</v>
      </c>
      <c r="E4610" s="1">
        <v>0</v>
      </c>
      <c r="F4610" s="1">
        <v>85</v>
      </c>
      <c r="J4610" s="3">
        <v>0</v>
      </c>
      <c r="K4610" s="3">
        <v>1</v>
      </c>
      <c r="N4610" s="1">
        <v>1</v>
      </c>
    </row>
    <row r="4611" spans="1:63" x14ac:dyDescent="0.3">
      <c r="A4611" s="1" t="s">
        <v>66</v>
      </c>
      <c r="B4611" s="7">
        <v>40766</v>
      </c>
      <c r="C4611" s="1">
        <v>6</v>
      </c>
      <c r="D4611" s="1">
        <v>223</v>
      </c>
      <c r="E4611" s="1">
        <v>0</v>
      </c>
      <c r="F4611" s="1">
        <v>86</v>
      </c>
      <c r="J4611" s="3">
        <v>0</v>
      </c>
      <c r="K4611" s="3">
        <v>1</v>
      </c>
    </row>
    <row r="4612" spans="1:63" x14ac:dyDescent="0.3">
      <c r="A4612" s="1" t="s">
        <v>66</v>
      </c>
      <c r="B4612" s="7">
        <v>40766</v>
      </c>
      <c r="C4612" s="1">
        <v>6</v>
      </c>
      <c r="D4612" s="1">
        <v>223</v>
      </c>
      <c r="E4612" s="1">
        <v>0</v>
      </c>
      <c r="F4612" s="1">
        <v>87</v>
      </c>
      <c r="J4612" s="3">
        <v>0</v>
      </c>
      <c r="K4612" s="3">
        <v>1</v>
      </c>
    </row>
    <row r="4613" spans="1:63" x14ac:dyDescent="0.3">
      <c r="A4613" s="1" t="s">
        <v>66</v>
      </c>
      <c r="B4613" s="7">
        <v>40766</v>
      </c>
      <c r="C4613" s="1">
        <v>6</v>
      </c>
      <c r="D4613" s="1">
        <v>223</v>
      </c>
      <c r="E4613" s="1">
        <v>0</v>
      </c>
      <c r="F4613" s="1">
        <v>88</v>
      </c>
      <c r="J4613" s="3">
        <v>0</v>
      </c>
      <c r="K4613" s="3">
        <v>1</v>
      </c>
    </row>
    <row r="4614" spans="1:63" x14ac:dyDescent="0.3">
      <c r="A4614" s="1" t="s">
        <v>66</v>
      </c>
      <c r="B4614" s="7">
        <v>40766</v>
      </c>
      <c r="C4614" s="1">
        <v>6</v>
      </c>
      <c r="D4614" s="1">
        <v>223</v>
      </c>
      <c r="E4614" s="1">
        <v>0</v>
      </c>
      <c r="F4614" s="1">
        <v>89</v>
      </c>
      <c r="J4614" s="1">
        <v>1</v>
      </c>
      <c r="R4614" s="1">
        <v>1</v>
      </c>
    </row>
    <row r="4615" spans="1:63" x14ac:dyDescent="0.3">
      <c r="A4615" s="1" t="s">
        <v>66</v>
      </c>
      <c r="B4615" s="7">
        <v>40766</v>
      </c>
      <c r="C4615" s="1">
        <v>6</v>
      </c>
      <c r="D4615" s="1">
        <v>223</v>
      </c>
      <c r="E4615" s="1">
        <v>0</v>
      </c>
      <c r="F4615" s="1">
        <v>90</v>
      </c>
      <c r="R4615" s="1">
        <v>1</v>
      </c>
      <c r="T4615" s="1">
        <v>1</v>
      </c>
    </row>
    <row r="4616" spans="1:63" x14ac:dyDescent="0.3">
      <c r="A4616" s="1" t="s">
        <v>66</v>
      </c>
      <c r="B4616" s="7">
        <v>40766</v>
      </c>
      <c r="C4616" s="1">
        <v>6</v>
      </c>
      <c r="D4616" s="1">
        <v>223</v>
      </c>
      <c r="E4616" s="1">
        <v>0</v>
      </c>
      <c r="F4616" s="1">
        <v>91</v>
      </c>
      <c r="J4616" s="1">
        <v>1</v>
      </c>
      <c r="T4616" s="1">
        <v>1</v>
      </c>
    </row>
    <row r="4617" spans="1:63" x14ac:dyDescent="0.3">
      <c r="A4617" s="1" t="s">
        <v>66</v>
      </c>
      <c r="B4617" s="7">
        <v>40766</v>
      </c>
      <c r="C4617" s="1">
        <v>6</v>
      </c>
      <c r="D4617" s="1">
        <v>223</v>
      </c>
      <c r="E4617" s="1">
        <v>0</v>
      </c>
      <c r="F4617" s="1">
        <v>92</v>
      </c>
      <c r="J4617" s="3">
        <v>0</v>
      </c>
      <c r="K4617" s="3">
        <v>1</v>
      </c>
      <c r="T4617" s="1">
        <v>1</v>
      </c>
    </row>
    <row r="4618" spans="1:63" x14ac:dyDescent="0.3">
      <c r="A4618" s="1" t="s">
        <v>66</v>
      </c>
      <c r="B4618" s="7">
        <v>40766</v>
      </c>
      <c r="C4618" s="1">
        <v>6</v>
      </c>
      <c r="D4618" s="1">
        <v>223</v>
      </c>
      <c r="E4618" s="1">
        <v>0</v>
      </c>
      <c r="F4618" s="1">
        <v>93</v>
      </c>
      <c r="J4618" s="1">
        <v>1</v>
      </c>
    </row>
    <row r="4619" spans="1:63" x14ac:dyDescent="0.3">
      <c r="A4619" s="1" t="s">
        <v>66</v>
      </c>
      <c r="B4619" s="7">
        <v>40766</v>
      </c>
      <c r="C4619" s="1">
        <v>6</v>
      </c>
      <c r="D4619" s="1">
        <v>223</v>
      </c>
      <c r="E4619" s="1">
        <v>0</v>
      </c>
      <c r="F4619" s="1">
        <v>94</v>
      </c>
      <c r="J4619" s="1">
        <v>1</v>
      </c>
      <c r="T4619" s="1">
        <v>1</v>
      </c>
    </row>
    <row r="4620" spans="1:63" x14ac:dyDescent="0.3">
      <c r="A4620" s="1" t="s">
        <v>66</v>
      </c>
      <c r="B4620" s="7">
        <v>40766</v>
      </c>
      <c r="C4620" s="1">
        <v>6</v>
      </c>
      <c r="D4620" s="1">
        <v>223</v>
      </c>
      <c r="E4620" s="1">
        <v>0</v>
      </c>
      <c r="F4620" s="1">
        <v>95</v>
      </c>
      <c r="J4620" s="1">
        <v>1</v>
      </c>
    </row>
    <row r="4621" spans="1:63" x14ac:dyDescent="0.3">
      <c r="A4621" s="1" t="s">
        <v>66</v>
      </c>
      <c r="B4621" s="7">
        <v>40766</v>
      </c>
      <c r="C4621" s="1">
        <v>6</v>
      </c>
      <c r="D4621" s="1">
        <v>223</v>
      </c>
      <c r="E4621" s="1">
        <v>0</v>
      </c>
      <c r="F4621" s="1">
        <v>96</v>
      </c>
      <c r="J4621" s="1">
        <v>1</v>
      </c>
    </row>
    <row r="4622" spans="1:63" x14ac:dyDescent="0.3">
      <c r="A4622" s="1" t="s">
        <v>66</v>
      </c>
      <c r="B4622" s="7">
        <v>40766</v>
      </c>
      <c r="C4622" s="1">
        <v>6</v>
      </c>
      <c r="D4622" s="1">
        <v>223</v>
      </c>
      <c r="E4622" s="1">
        <v>0</v>
      </c>
      <c r="F4622" s="1">
        <v>97</v>
      </c>
      <c r="J4622" s="1">
        <v>1</v>
      </c>
      <c r="BK4622" s="1">
        <v>1</v>
      </c>
    </row>
    <row r="4623" spans="1:63" x14ac:dyDescent="0.3">
      <c r="A4623" s="1" t="s">
        <v>66</v>
      </c>
      <c r="B4623" s="7">
        <v>40766</v>
      </c>
      <c r="C4623" s="1">
        <v>6</v>
      </c>
      <c r="D4623" s="1">
        <v>223</v>
      </c>
      <c r="E4623" s="1">
        <v>0</v>
      </c>
      <c r="F4623" s="1">
        <v>98</v>
      </c>
      <c r="J4623" s="3">
        <v>0</v>
      </c>
      <c r="K4623" s="3">
        <v>1</v>
      </c>
    </row>
    <row r="4624" spans="1:63" x14ac:dyDescent="0.3">
      <c r="A4624" s="1" t="s">
        <v>66</v>
      </c>
      <c r="B4624" s="7">
        <v>40766</v>
      </c>
      <c r="C4624" s="1">
        <v>6</v>
      </c>
      <c r="D4624" s="1">
        <v>223</v>
      </c>
      <c r="E4624" s="1">
        <v>0</v>
      </c>
      <c r="F4624" s="1">
        <v>99</v>
      </c>
      <c r="J4624" s="1">
        <v>1</v>
      </c>
    </row>
    <row r="4625" spans="1:78" x14ac:dyDescent="0.3">
      <c r="A4625" s="1" t="s">
        <v>66</v>
      </c>
      <c r="B4625" s="7">
        <v>40766</v>
      </c>
      <c r="C4625" s="1">
        <v>6</v>
      </c>
      <c r="D4625" s="1">
        <v>223</v>
      </c>
      <c r="E4625" s="1">
        <v>0</v>
      </c>
      <c r="F4625" s="1">
        <v>100</v>
      </c>
      <c r="T4625" s="1">
        <v>1</v>
      </c>
    </row>
    <row r="4626" spans="1:78" x14ac:dyDescent="0.3">
      <c r="A4626" s="1" t="s">
        <v>66</v>
      </c>
      <c r="B4626" s="7">
        <v>40766</v>
      </c>
      <c r="C4626" s="1">
        <v>12</v>
      </c>
      <c r="D4626" s="1">
        <v>303</v>
      </c>
      <c r="E4626" s="1">
        <v>0.5</v>
      </c>
      <c r="F4626" s="1">
        <v>1</v>
      </c>
      <c r="L4626" s="1">
        <v>1</v>
      </c>
    </row>
    <row r="4627" spans="1:78" x14ac:dyDescent="0.3">
      <c r="A4627" s="1" t="s">
        <v>66</v>
      </c>
      <c r="B4627" s="7">
        <v>40766</v>
      </c>
      <c r="C4627" s="1">
        <v>12</v>
      </c>
      <c r="D4627" s="1">
        <v>303</v>
      </c>
      <c r="E4627" s="1">
        <v>0.5</v>
      </c>
      <c r="F4627" s="1">
        <v>2</v>
      </c>
      <c r="R4627" s="1">
        <v>1</v>
      </c>
      <c r="AU4627" s="1">
        <v>1</v>
      </c>
      <c r="BZ4627" s="1">
        <v>1</v>
      </c>
    </row>
    <row r="4628" spans="1:78" x14ac:dyDescent="0.3">
      <c r="A4628" s="1" t="s">
        <v>66</v>
      </c>
      <c r="B4628" s="7">
        <v>40766</v>
      </c>
      <c r="C4628" s="1">
        <v>12</v>
      </c>
      <c r="D4628" s="1">
        <v>303</v>
      </c>
      <c r="E4628" s="1">
        <v>0.5</v>
      </c>
      <c r="F4628" s="1">
        <v>3</v>
      </c>
      <c r="L4628" s="1">
        <v>1</v>
      </c>
      <c r="Y4628" s="1">
        <v>1</v>
      </c>
    </row>
    <row r="4629" spans="1:78" x14ac:dyDescent="0.3">
      <c r="A4629" s="1" t="s">
        <v>66</v>
      </c>
      <c r="B4629" s="7">
        <v>40766</v>
      </c>
      <c r="C4629" s="1">
        <v>12</v>
      </c>
      <c r="D4629" s="1">
        <v>303</v>
      </c>
      <c r="E4629" s="1">
        <v>0.5</v>
      </c>
      <c r="F4629" s="1">
        <v>4</v>
      </c>
      <c r="L4629" s="1">
        <v>1</v>
      </c>
      <c r="BE4629" s="1">
        <v>1</v>
      </c>
    </row>
    <row r="4630" spans="1:78" x14ac:dyDescent="0.3">
      <c r="A4630" s="1" t="s">
        <v>66</v>
      </c>
      <c r="B4630" s="7">
        <v>40766</v>
      </c>
      <c r="C4630" s="1">
        <v>12</v>
      </c>
      <c r="D4630" s="1">
        <v>303</v>
      </c>
      <c r="E4630" s="1">
        <v>0.5</v>
      </c>
      <c r="F4630" s="1">
        <v>5</v>
      </c>
      <c r="L4630" s="8">
        <v>1</v>
      </c>
      <c r="M4630" s="8"/>
    </row>
    <row r="4631" spans="1:78" x14ac:dyDescent="0.3">
      <c r="A4631" s="1" t="s">
        <v>66</v>
      </c>
      <c r="B4631" s="7">
        <v>40766</v>
      </c>
      <c r="C4631" s="1">
        <v>12</v>
      </c>
      <c r="D4631" s="1">
        <v>303</v>
      </c>
      <c r="E4631" s="1">
        <v>0.5</v>
      </c>
      <c r="F4631" s="1">
        <v>6</v>
      </c>
      <c r="L4631" s="1">
        <v>1</v>
      </c>
    </row>
    <row r="4632" spans="1:78" x14ac:dyDescent="0.3">
      <c r="A4632" s="1" t="s">
        <v>66</v>
      </c>
      <c r="B4632" s="7">
        <v>40766</v>
      </c>
      <c r="C4632" s="1">
        <v>12</v>
      </c>
      <c r="D4632" s="1">
        <v>303</v>
      </c>
      <c r="E4632" s="1">
        <v>0.5</v>
      </c>
      <c r="F4632" s="1">
        <v>7</v>
      </c>
      <c r="L4632" s="1">
        <v>1</v>
      </c>
      <c r="AF4632" s="1">
        <v>1</v>
      </c>
    </row>
    <row r="4633" spans="1:78" x14ac:dyDescent="0.3">
      <c r="A4633" s="1" t="s">
        <v>66</v>
      </c>
      <c r="B4633" s="7">
        <v>40766</v>
      </c>
      <c r="C4633" s="1">
        <v>12</v>
      </c>
      <c r="D4633" s="1">
        <v>303</v>
      </c>
      <c r="E4633" s="1">
        <v>0.5</v>
      </c>
      <c r="F4633" s="1">
        <v>8</v>
      </c>
      <c r="L4633" s="1">
        <v>1</v>
      </c>
      <c r="BZ4633" s="1">
        <v>1</v>
      </c>
    </row>
    <row r="4634" spans="1:78" x14ac:dyDescent="0.3">
      <c r="A4634" s="1" t="s">
        <v>66</v>
      </c>
      <c r="B4634" s="7">
        <v>40766</v>
      </c>
      <c r="C4634" s="1">
        <v>12</v>
      </c>
      <c r="D4634" s="1">
        <v>303</v>
      </c>
      <c r="E4634" s="1">
        <v>0.5</v>
      </c>
      <c r="F4634" s="1">
        <v>9</v>
      </c>
      <c r="L4634" s="1">
        <v>1</v>
      </c>
    </row>
    <row r="4635" spans="1:78" x14ac:dyDescent="0.3">
      <c r="A4635" s="1" t="s">
        <v>66</v>
      </c>
      <c r="B4635" s="7">
        <v>40766</v>
      </c>
      <c r="C4635" s="1">
        <v>12</v>
      </c>
      <c r="D4635" s="1">
        <v>303</v>
      </c>
      <c r="E4635" s="1">
        <v>0.5</v>
      </c>
      <c r="F4635" s="1">
        <v>10</v>
      </c>
      <c r="L4635" s="1">
        <v>1</v>
      </c>
      <c r="AF4635" s="1">
        <v>1</v>
      </c>
    </row>
    <row r="4636" spans="1:78" x14ac:dyDescent="0.3">
      <c r="A4636" s="1" t="s">
        <v>66</v>
      </c>
      <c r="B4636" s="7">
        <v>40766</v>
      </c>
      <c r="C4636" s="1">
        <v>12</v>
      </c>
      <c r="D4636" s="1">
        <v>303</v>
      </c>
      <c r="E4636" s="1">
        <v>0.5</v>
      </c>
      <c r="F4636" s="1">
        <v>11</v>
      </c>
      <c r="L4636" s="1">
        <v>1</v>
      </c>
      <c r="R4636" s="1">
        <v>1</v>
      </c>
    </row>
    <row r="4637" spans="1:78" x14ac:dyDescent="0.3">
      <c r="A4637" s="1" t="s">
        <v>66</v>
      </c>
      <c r="B4637" s="7">
        <v>40766</v>
      </c>
      <c r="C4637" s="1">
        <v>12</v>
      </c>
      <c r="D4637" s="1">
        <v>303</v>
      </c>
      <c r="E4637" s="1">
        <v>0.5</v>
      </c>
      <c r="F4637" s="1">
        <v>12</v>
      </c>
      <c r="L4637" s="1">
        <v>1</v>
      </c>
      <c r="V4637" s="1">
        <v>1</v>
      </c>
    </row>
    <row r="4638" spans="1:78" x14ac:dyDescent="0.3">
      <c r="A4638" s="1" t="s">
        <v>66</v>
      </c>
      <c r="B4638" s="7">
        <v>40766</v>
      </c>
      <c r="C4638" s="1">
        <v>12</v>
      </c>
      <c r="D4638" s="1">
        <v>303</v>
      </c>
      <c r="E4638" s="1">
        <v>0.5</v>
      </c>
      <c r="F4638" s="1">
        <v>13</v>
      </c>
      <c r="L4638" s="1">
        <v>1</v>
      </c>
    </row>
    <row r="4639" spans="1:78" x14ac:dyDescent="0.3">
      <c r="A4639" s="1" t="s">
        <v>66</v>
      </c>
      <c r="B4639" s="7">
        <v>40766</v>
      </c>
      <c r="C4639" s="1">
        <v>12</v>
      </c>
      <c r="D4639" s="1">
        <v>303</v>
      </c>
      <c r="E4639" s="1">
        <v>0.5</v>
      </c>
      <c r="F4639" s="1">
        <v>14</v>
      </c>
      <c r="L4639" s="1">
        <v>1</v>
      </c>
    </row>
    <row r="4640" spans="1:78" x14ac:dyDescent="0.3">
      <c r="A4640" s="1" t="s">
        <v>66</v>
      </c>
      <c r="B4640" s="7">
        <v>40766</v>
      </c>
      <c r="C4640" s="1">
        <v>12</v>
      </c>
      <c r="D4640" s="1">
        <v>303</v>
      </c>
      <c r="E4640" s="1">
        <v>0.5</v>
      </c>
      <c r="F4640" s="1">
        <v>15</v>
      </c>
      <c r="L4640" s="1">
        <v>1</v>
      </c>
      <c r="R4640" s="3">
        <v>0</v>
      </c>
      <c r="S4640" s="3">
        <v>1</v>
      </c>
    </row>
    <row r="4641" spans="1:79" x14ac:dyDescent="0.3">
      <c r="A4641" s="1" t="s">
        <v>66</v>
      </c>
      <c r="B4641" s="7">
        <v>40766</v>
      </c>
      <c r="C4641" s="1">
        <v>12</v>
      </c>
      <c r="D4641" s="1">
        <v>303</v>
      </c>
      <c r="E4641" s="1">
        <v>0.5</v>
      </c>
      <c r="F4641" s="1">
        <v>16</v>
      </c>
      <c r="L4641" s="1">
        <v>1</v>
      </c>
      <c r="BZ4641" s="3">
        <v>0</v>
      </c>
      <c r="CA4641" s="3">
        <v>1</v>
      </c>
    </row>
    <row r="4642" spans="1:79" x14ac:dyDescent="0.3">
      <c r="A4642" s="1" t="s">
        <v>66</v>
      </c>
      <c r="B4642" s="7">
        <v>40766</v>
      </c>
      <c r="C4642" s="1">
        <v>12</v>
      </c>
      <c r="D4642" s="1">
        <v>303</v>
      </c>
      <c r="E4642" s="1">
        <v>0.5</v>
      </c>
      <c r="F4642" s="1">
        <v>17</v>
      </c>
      <c r="L4642" s="1">
        <v>1</v>
      </c>
    </row>
    <row r="4643" spans="1:79" x14ac:dyDescent="0.3">
      <c r="A4643" s="1" t="s">
        <v>66</v>
      </c>
      <c r="B4643" s="7">
        <v>40766</v>
      </c>
      <c r="C4643" s="1">
        <v>12</v>
      </c>
      <c r="D4643" s="1">
        <v>303</v>
      </c>
      <c r="E4643" s="1">
        <v>0.5</v>
      </c>
      <c r="F4643" s="1">
        <v>18</v>
      </c>
      <c r="L4643" s="1">
        <v>1</v>
      </c>
    </row>
    <row r="4644" spans="1:79" x14ac:dyDescent="0.3">
      <c r="A4644" s="1" t="s">
        <v>66</v>
      </c>
      <c r="B4644" s="7">
        <v>40766</v>
      </c>
      <c r="C4644" s="1">
        <v>12</v>
      </c>
      <c r="D4644" s="1">
        <v>303</v>
      </c>
      <c r="E4644" s="1">
        <v>0.5</v>
      </c>
      <c r="F4644" s="1">
        <v>19</v>
      </c>
      <c r="L4644" s="1">
        <v>1</v>
      </c>
      <c r="R4644" s="3">
        <v>0</v>
      </c>
      <c r="S4644" s="3">
        <v>1</v>
      </c>
    </row>
    <row r="4645" spans="1:79" x14ac:dyDescent="0.3">
      <c r="A4645" s="1" t="s">
        <v>66</v>
      </c>
      <c r="B4645" s="7">
        <v>40766</v>
      </c>
      <c r="C4645" s="1">
        <v>12</v>
      </c>
      <c r="D4645" s="1">
        <v>303</v>
      </c>
      <c r="E4645" s="1">
        <v>0.5</v>
      </c>
      <c r="F4645" s="1">
        <v>20</v>
      </c>
      <c r="L4645" s="1">
        <v>1</v>
      </c>
    </row>
    <row r="4646" spans="1:79" x14ac:dyDescent="0.3">
      <c r="A4646" s="1" t="s">
        <v>66</v>
      </c>
      <c r="B4646" s="7">
        <v>40766</v>
      </c>
      <c r="C4646" s="1">
        <v>12</v>
      </c>
      <c r="D4646" s="1">
        <v>303</v>
      </c>
      <c r="E4646" s="1">
        <v>0.5</v>
      </c>
      <c r="F4646" s="1">
        <v>21</v>
      </c>
      <c r="L4646" s="1">
        <v>1</v>
      </c>
      <c r="AU4646" s="1">
        <v>1</v>
      </c>
    </row>
    <row r="4647" spans="1:79" x14ac:dyDescent="0.3">
      <c r="A4647" s="1" t="s">
        <v>66</v>
      </c>
      <c r="B4647" s="7">
        <v>40766</v>
      </c>
      <c r="C4647" s="1">
        <v>12</v>
      </c>
      <c r="D4647" s="1">
        <v>303</v>
      </c>
      <c r="E4647" s="1">
        <v>0.5</v>
      </c>
      <c r="F4647" s="1">
        <v>22</v>
      </c>
      <c r="L4647" s="1">
        <v>1</v>
      </c>
      <c r="AY4647" s="1">
        <v>1</v>
      </c>
      <c r="BZ4647" s="1">
        <v>1</v>
      </c>
    </row>
    <row r="4648" spans="1:79" x14ac:dyDescent="0.3">
      <c r="A4648" s="1" t="s">
        <v>66</v>
      </c>
      <c r="B4648" s="7">
        <v>40766</v>
      </c>
      <c r="C4648" s="1">
        <v>12</v>
      </c>
      <c r="D4648" s="1">
        <v>303</v>
      </c>
      <c r="E4648" s="1">
        <v>0.5</v>
      </c>
      <c r="F4648" s="1">
        <v>23</v>
      </c>
      <c r="L4648" s="1">
        <v>1</v>
      </c>
      <c r="BZ4648" s="1">
        <v>1</v>
      </c>
    </row>
    <row r="4649" spans="1:79" x14ac:dyDescent="0.3">
      <c r="A4649" s="1" t="s">
        <v>66</v>
      </c>
      <c r="B4649" s="7">
        <v>40766</v>
      </c>
      <c r="C4649" s="1">
        <v>12</v>
      </c>
      <c r="D4649" s="1">
        <v>303</v>
      </c>
      <c r="E4649" s="1">
        <v>0.5</v>
      </c>
      <c r="F4649" s="1">
        <v>24</v>
      </c>
      <c r="L4649" s="1">
        <v>1</v>
      </c>
    </row>
    <row r="4650" spans="1:79" x14ac:dyDescent="0.3">
      <c r="A4650" s="1" t="s">
        <v>66</v>
      </c>
      <c r="B4650" s="7">
        <v>40766</v>
      </c>
      <c r="C4650" s="1">
        <v>12</v>
      </c>
      <c r="D4650" s="1">
        <v>303</v>
      </c>
      <c r="E4650" s="1">
        <v>0.5</v>
      </c>
      <c r="F4650" s="1">
        <v>25</v>
      </c>
      <c r="R4650" s="1">
        <v>1</v>
      </c>
      <c r="BZ4650" s="1">
        <v>1</v>
      </c>
    </row>
    <row r="4651" spans="1:79" x14ac:dyDescent="0.3">
      <c r="A4651" s="1" t="s">
        <v>66</v>
      </c>
      <c r="B4651" s="7">
        <v>40766</v>
      </c>
      <c r="C4651" s="1">
        <v>12</v>
      </c>
      <c r="D4651" s="1">
        <v>303</v>
      </c>
      <c r="E4651" s="1">
        <v>0.5</v>
      </c>
      <c r="F4651" s="1">
        <v>26</v>
      </c>
      <c r="L4651" s="1">
        <v>1</v>
      </c>
    </row>
    <row r="4652" spans="1:79" x14ac:dyDescent="0.3">
      <c r="A4652" s="1" t="s">
        <v>66</v>
      </c>
      <c r="B4652" s="7">
        <v>40766</v>
      </c>
      <c r="C4652" s="1">
        <v>12</v>
      </c>
      <c r="D4652" s="1">
        <v>303</v>
      </c>
      <c r="E4652" s="1">
        <v>0.5</v>
      </c>
      <c r="F4652" s="1">
        <v>27</v>
      </c>
      <c r="L4652" s="8">
        <v>1</v>
      </c>
      <c r="M4652" s="8"/>
    </row>
    <row r="4653" spans="1:79" x14ac:dyDescent="0.3">
      <c r="A4653" s="1" t="s">
        <v>66</v>
      </c>
      <c r="B4653" s="7">
        <v>40766</v>
      </c>
      <c r="C4653" s="1">
        <v>12</v>
      </c>
      <c r="D4653" s="1">
        <v>303</v>
      </c>
      <c r="E4653" s="1">
        <v>0.5</v>
      </c>
      <c r="F4653" s="1">
        <v>28</v>
      </c>
      <c r="L4653" s="1">
        <v>1</v>
      </c>
      <c r="AF4653" s="1">
        <v>1</v>
      </c>
    </row>
    <row r="4654" spans="1:79" x14ac:dyDescent="0.3">
      <c r="A4654" s="1" t="s">
        <v>66</v>
      </c>
      <c r="B4654" s="7">
        <v>40766</v>
      </c>
      <c r="C4654" s="1">
        <v>12</v>
      </c>
      <c r="D4654" s="1">
        <v>303</v>
      </c>
      <c r="E4654" s="1">
        <v>0.5</v>
      </c>
      <c r="F4654" s="1">
        <v>29</v>
      </c>
      <c r="R4654" s="8">
        <v>1</v>
      </c>
      <c r="S4654" s="8"/>
    </row>
    <row r="4655" spans="1:79" x14ac:dyDescent="0.3">
      <c r="A4655" s="1" t="s">
        <v>66</v>
      </c>
      <c r="B4655" s="7">
        <v>40766</v>
      </c>
      <c r="C4655" s="1">
        <v>12</v>
      </c>
      <c r="D4655" s="1">
        <v>303</v>
      </c>
      <c r="E4655" s="1">
        <v>0.5</v>
      </c>
      <c r="F4655" s="1">
        <v>30</v>
      </c>
      <c r="L4655" s="1">
        <v>1</v>
      </c>
      <c r="BZ4655" s="1">
        <v>1</v>
      </c>
    </row>
    <row r="4656" spans="1:79" x14ac:dyDescent="0.3">
      <c r="A4656" s="1" t="s">
        <v>66</v>
      </c>
      <c r="B4656" s="7">
        <v>40766</v>
      </c>
      <c r="C4656" s="1">
        <v>12</v>
      </c>
      <c r="D4656" s="1">
        <v>303</v>
      </c>
      <c r="E4656" s="1">
        <v>0.5</v>
      </c>
      <c r="F4656" s="1">
        <v>31</v>
      </c>
      <c r="L4656" s="1">
        <v>1</v>
      </c>
      <c r="AU4656" s="1">
        <v>1</v>
      </c>
    </row>
    <row r="4657" spans="1:78" x14ac:dyDescent="0.3">
      <c r="A4657" s="1" t="s">
        <v>66</v>
      </c>
      <c r="B4657" s="7">
        <v>40766</v>
      </c>
      <c r="C4657" s="1">
        <v>12</v>
      </c>
      <c r="D4657" s="1">
        <v>303</v>
      </c>
      <c r="E4657" s="1">
        <v>0.5</v>
      </c>
      <c r="F4657" s="1">
        <v>32</v>
      </c>
      <c r="L4657" s="1">
        <v>1</v>
      </c>
      <c r="R4657" s="1">
        <v>1</v>
      </c>
    </row>
    <row r="4658" spans="1:78" x14ac:dyDescent="0.3">
      <c r="A4658" s="1" t="s">
        <v>66</v>
      </c>
      <c r="B4658" s="7">
        <v>40766</v>
      </c>
      <c r="C4658" s="1">
        <v>12</v>
      </c>
      <c r="D4658" s="1">
        <v>303</v>
      </c>
      <c r="E4658" s="1">
        <v>0.5</v>
      </c>
      <c r="F4658" s="1">
        <v>33</v>
      </c>
      <c r="L4658" s="1">
        <v>1</v>
      </c>
      <c r="BZ4658" s="1">
        <v>1</v>
      </c>
    </row>
    <row r="4659" spans="1:78" x14ac:dyDescent="0.3">
      <c r="A4659" s="1" t="s">
        <v>66</v>
      </c>
      <c r="B4659" s="7">
        <v>40766</v>
      </c>
      <c r="C4659" s="1">
        <v>12</v>
      </c>
      <c r="D4659" s="1">
        <v>303</v>
      </c>
      <c r="E4659" s="1">
        <v>0.5</v>
      </c>
      <c r="F4659" s="1">
        <v>34</v>
      </c>
      <c r="L4659" s="1">
        <v>1</v>
      </c>
      <c r="R4659" s="1">
        <v>1</v>
      </c>
    </row>
    <row r="4660" spans="1:78" x14ac:dyDescent="0.3">
      <c r="A4660" s="1" t="s">
        <v>66</v>
      </c>
      <c r="B4660" s="7">
        <v>40766</v>
      </c>
      <c r="C4660" s="1">
        <v>12</v>
      </c>
      <c r="D4660" s="1">
        <v>303</v>
      </c>
      <c r="E4660" s="1">
        <v>0.5</v>
      </c>
      <c r="F4660" s="1">
        <v>35</v>
      </c>
      <c r="R4660" s="1">
        <v>1</v>
      </c>
      <c r="BZ4660" s="1">
        <v>1</v>
      </c>
    </row>
    <row r="4661" spans="1:78" x14ac:dyDescent="0.3">
      <c r="A4661" s="1" t="s">
        <v>66</v>
      </c>
      <c r="B4661" s="7">
        <v>40766</v>
      </c>
      <c r="C4661" s="1">
        <v>12</v>
      </c>
      <c r="D4661" s="1">
        <v>303</v>
      </c>
      <c r="E4661" s="1">
        <v>0.5</v>
      </c>
      <c r="F4661" s="1">
        <v>36</v>
      </c>
      <c r="L4661" s="1">
        <v>1</v>
      </c>
      <c r="AK4661" s="1">
        <v>1</v>
      </c>
    </row>
    <row r="4662" spans="1:78" x14ac:dyDescent="0.3">
      <c r="A4662" s="1" t="s">
        <v>66</v>
      </c>
      <c r="B4662" s="7">
        <v>40766</v>
      </c>
      <c r="C4662" s="1">
        <v>12</v>
      </c>
      <c r="D4662" s="1">
        <v>303</v>
      </c>
      <c r="E4662" s="1">
        <v>0.5</v>
      </c>
      <c r="F4662" s="1">
        <v>37</v>
      </c>
      <c r="R4662" s="3">
        <v>0</v>
      </c>
      <c r="S4662" s="3">
        <v>1</v>
      </c>
      <c r="AK4662" s="1">
        <v>1</v>
      </c>
    </row>
    <row r="4663" spans="1:78" x14ac:dyDescent="0.3">
      <c r="A4663" s="1" t="s">
        <v>66</v>
      </c>
      <c r="B4663" s="7">
        <v>40766</v>
      </c>
      <c r="C4663" s="1">
        <v>12</v>
      </c>
      <c r="D4663" s="1">
        <v>303</v>
      </c>
      <c r="E4663" s="1">
        <v>0.5</v>
      </c>
      <c r="F4663" s="1">
        <v>38</v>
      </c>
      <c r="L4663" s="1">
        <v>1</v>
      </c>
      <c r="R4663" s="3">
        <v>0</v>
      </c>
      <c r="S4663" s="3">
        <v>1</v>
      </c>
    </row>
    <row r="4664" spans="1:78" x14ac:dyDescent="0.3">
      <c r="A4664" s="1" t="s">
        <v>66</v>
      </c>
      <c r="B4664" s="7">
        <v>40766</v>
      </c>
      <c r="C4664" s="1">
        <v>12</v>
      </c>
      <c r="D4664" s="1">
        <v>303</v>
      </c>
      <c r="E4664" s="1">
        <v>0.5</v>
      </c>
      <c r="F4664" s="1">
        <v>39</v>
      </c>
      <c r="L4664" s="1">
        <v>1</v>
      </c>
      <c r="R4664" s="1">
        <v>1</v>
      </c>
    </row>
    <row r="4665" spans="1:78" x14ac:dyDescent="0.3">
      <c r="A4665" s="1" t="s">
        <v>66</v>
      </c>
      <c r="B4665" s="7">
        <v>40766</v>
      </c>
      <c r="C4665" s="1">
        <v>12</v>
      </c>
      <c r="D4665" s="1">
        <v>303</v>
      </c>
      <c r="E4665" s="1">
        <v>0.5</v>
      </c>
      <c r="F4665" s="1">
        <v>40</v>
      </c>
      <c r="L4665" s="1">
        <v>1</v>
      </c>
    </row>
    <row r="4666" spans="1:78" x14ac:dyDescent="0.3">
      <c r="A4666" s="1" t="s">
        <v>66</v>
      </c>
      <c r="B4666" s="7">
        <v>40766</v>
      </c>
      <c r="C4666" s="1">
        <v>12</v>
      </c>
      <c r="D4666" s="1">
        <v>303</v>
      </c>
      <c r="E4666" s="1">
        <v>0.5</v>
      </c>
      <c r="F4666" s="1">
        <v>41</v>
      </c>
      <c r="L4666" s="8">
        <v>1</v>
      </c>
      <c r="M4666" s="8"/>
      <c r="R4666" s="1">
        <v>1</v>
      </c>
    </row>
    <row r="4667" spans="1:78" x14ac:dyDescent="0.3">
      <c r="A4667" s="1" t="s">
        <v>66</v>
      </c>
      <c r="B4667" s="7">
        <v>40766</v>
      </c>
      <c r="C4667" s="1">
        <v>12</v>
      </c>
      <c r="D4667" s="1">
        <v>303</v>
      </c>
      <c r="E4667" s="1">
        <v>0.5</v>
      </c>
      <c r="F4667" s="1">
        <v>42</v>
      </c>
      <c r="R4667" s="3">
        <v>0</v>
      </c>
      <c r="S4667" s="3">
        <v>1</v>
      </c>
      <c r="AF4667" s="1">
        <v>1</v>
      </c>
    </row>
    <row r="4668" spans="1:78" x14ac:dyDescent="0.3">
      <c r="A4668" s="1" t="s">
        <v>66</v>
      </c>
      <c r="B4668" s="7">
        <v>40766</v>
      </c>
      <c r="C4668" s="1">
        <v>12</v>
      </c>
      <c r="D4668" s="1">
        <v>303</v>
      </c>
      <c r="E4668" s="1">
        <v>0.5</v>
      </c>
      <c r="F4668" s="1">
        <v>43</v>
      </c>
      <c r="I4668" s="1">
        <v>1</v>
      </c>
      <c r="L4668" s="1">
        <v>1</v>
      </c>
      <c r="R4668" s="1">
        <v>1</v>
      </c>
    </row>
    <row r="4669" spans="1:78" x14ac:dyDescent="0.3">
      <c r="A4669" s="1" t="s">
        <v>66</v>
      </c>
      <c r="B4669" s="7">
        <v>40766</v>
      </c>
      <c r="C4669" s="1">
        <v>12</v>
      </c>
      <c r="D4669" s="1">
        <v>303</v>
      </c>
      <c r="E4669" s="1">
        <v>0.5</v>
      </c>
      <c r="F4669" s="1">
        <v>44</v>
      </c>
      <c r="R4669" s="1">
        <v>1</v>
      </c>
      <c r="AF4669" s="1">
        <v>1</v>
      </c>
      <c r="AK4669" s="1">
        <v>1</v>
      </c>
    </row>
    <row r="4670" spans="1:78" x14ac:dyDescent="0.3">
      <c r="A4670" s="1" t="s">
        <v>66</v>
      </c>
      <c r="B4670" s="7">
        <v>40766</v>
      </c>
      <c r="C4670" s="1">
        <v>12</v>
      </c>
      <c r="D4670" s="1">
        <v>303</v>
      </c>
      <c r="E4670" s="1">
        <v>0.5</v>
      </c>
      <c r="F4670" s="1">
        <v>45</v>
      </c>
      <c r="AF4670" s="1">
        <v>1</v>
      </c>
      <c r="BZ4670" s="1">
        <v>1</v>
      </c>
    </row>
    <row r="4671" spans="1:78" x14ac:dyDescent="0.3">
      <c r="A4671" s="1" t="s">
        <v>66</v>
      </c>
      <c r="B4671" s="7">
        <v>40766</v>
      </c>
      <c r="C4671" s="1">
        <v>12</v>
      </c>
      <c r="D4671" s="1">
        <v>303</v>
      </c>
      <c r="E4671" s="1">
        <v>0.5</v>
      </c>
      <c r="F4671" s="1">
        <v>46</v>
      </c>
      <c r="L4671" s="1">
        <v>1</v>
      </c>
      <c r="R4671" s="1">
        <v>1</v>
      </c>
    </row>
    <row r="4672" spans="1:78" x14ac:dyDescent="0.3">
      <c r="A4672" s="1" t="s">
        <v>66</v>
      </c>
      <c r="B4672" s="7">
        <v>40766</v>
      </c>
      <c r="C4672" s="1">
        <v>12</v>
      </c>
      <c r="D4672" s="1">
        <v>303</v>
      </c>
      <c r="E4672" s="1">
        <v>0.5</v>
      </c>
      <c r="F4672" s="1">
        <v>47</v>
      </c>
      <c r="L4672" s="1">
        <v>1</v>
      </c>
      <c r="V4672" s="1">
        <v>1</v>
      </c>
    </row>
    <row r="4673" spans="1:78" x14ac:dyDescent="0.3">
      <c r="A4673" s="1" t="s">
        <v>66</v>
      </c>
      <c r="B4673" s="7">
        <v>40766</v>
      </c>
      <c r="C4673" s="1">
        <v>12</v>
      </c>
      <c r="D4673" s="1">
        <v>303</v>
      </c>
      <c r="E4673" s="1">
        <v>0.5</v>
      </c>
      <c r="F4673" s="1">
        <v>48</v>
      </c>
      <c r="L4673" s="1">
        <v>1</v>
      </c>
      <c r="AF4673" s="1">
        <v>1</v>
      </c>
      <c r="BZ4673" s="1">
        <v>1</v>
      </c>
    </row>
    <row r="4674" spans="1:78" x14ac:dyDescent="0.3">
      <c r="A4674" s="1" t="s">
        <v>66</v>
      </c>
      <c r="B4674" s="7">
        <v>40766</v>
      </c>
      <c r="C4674" s="1">
        <v>12</v>
      </c>
      <c r="D4674" s="1">
        <v>303</v>
      </c>
      <c r="E4674" s="1">
        <v>0.5</v>
      </c>
      <c r="F4674" s="1">
        <v>49</v>
      </c>
      <c r="L4674" s="1">
        <v>1</v>
      </c>
      <c r="AF4674" s="1">
        <v>1</v>
      </c>
      <c r="BZ4674" s="1">
        <v>1</v>
      </c>
    </row>
    <row r="4675" spans="1:78" x14ac:dyDescent="0.3">
      <c r="A4675" s="1" t="s">
        <v>66</v>
      </c>
      <c r="B4675" s="7">
        <v>40766</v>
      </c>
      <c r="C4675" s="1">
        <v>12</v>
      </c>
      <c r="D4675" s="1">
        <v>303</v>
      </c>
      <c r="E4675" s="1">
        <v>0.5</v>
      </c>
      <c r="F4675" s="1">
        <v>50</v>
      </c>
      <c r="L4675" s="8">
        <v>1</v>
      </c>
      <c r="M4675" s="8"/>
      <c r="V4675" s="1">
        <v>1</v>
      </c>
    </row>
    <row r="4676" spans="1:78" x14ac:dyDescent="0.3">
      <c r="A4676" s="1" t="s">
        <v>66</v>
      </c>
      <c r="B4676" s="7">
        <v>40766</v>
      </c>
      <c r="C4676" s="1">
        <v>12</v>
      </c>
      <c r="D4676" s="1">
        <v>303</v>
      </c>
      <c r="E4676" s="1">
        <v>0.5</v>
      </c>
      <c r="F4676" s="1">
        <v>51</v>
      </c>
      <c r="L4676" s="1">
        <v>1</v>
      </c>
      <c r="R4676" s="3">
        <v>0</v>
      </c>
      <c r="S4676" s="3">
        <v>1</v>
      </c>
      <c r="AU4676" s="1">
        <v>1</v>
      </c>
    </row>
    <row r="4677" spans="1:78" x14ac:dyDescent="0.3">
      <c r="A4677" s="1" t="s">
        <v>66</v>
      </c>
      <c r="B4677" s="7">
        <v>40766</v>
      </c>
      <c r="C4677" s="1">
        <v>12</v>
      </c>
      <c r="D4677" s="1">
        <v>303</v>
      </c>
      <c r="E4677" s="1">
        <v>0.5</v>
      </c>
      <c r="F4677" s="1">
        <v>52</v>
      </c>
      <c r="L4677" s="1">
        <v>1</v>
      </c>
      <c r="R4677" s="1">
        <v>1</v>
      </c>
    </row>
    <row r="4678" spans="1:78" x14ac:dyDescent="0.3">
      <c r="A4678" s="1" t="s">
        <v>66</v>
      </c>
      <c r="B4678" s="7">
        <v>40766</v>
      </c>
      <c r="C4678" s="1">
        <v>12</v>
      </c>
      <c r="D4678" s="1">
        <v>303</v>
      </c>
      <c r="E4678" s="1">
        <v>0.5</v>
      </c>
      <c r="F4678" s="1">
        <v>53</v>
      </c>
      <c r="R4678" s="1">
        <v>1</v>
      </c>
      <c r="AF4678" s="1">
        <v>1</v>
      </c>
    </row>
    <row r="4679" spans="1:78" x14ac:dyDescent="0.3">
      <c r="A4679" s="1" t="s">
        <v>66</v>
      </c>
      <c r="B4679" s="7">
        <v>40766</v>
      </c>
      <c r="C4679" s="1">
        <v>12</v>
      </c>
      <c r="D4679" s="1">
        <v>303</v>
      </c>
      <c r="E4679" s="1">
        <v>0.5</v>
      </c>
      <c r="F4679" s="1">
        <v>54</v>
      </c>
      <c r="L4679" s="1">
        <v>1</v>
      </c>
      <c r="R4679" s="3">
        <v>0</v>
      </c>
      <c r="S4679" s="3">
        <v>1</v>
      </c>
    </row>
    <row r="4680" spans="1:78" x14ac:dyDescent="0.3">
      <c r="A4680" s="1" t="s">
        <v>66</v>
      </c>
      <c r="B4680" s="7">
        <v>40766</v>
      </c>
      <c r="C4680" s="1">
        <v>12</v>
      </c>
      <c r="D4680" s="1">
        <v>303</v>
      </c>
      <c r="E4680" s="1">
        <v>0.5</v>
      </c>
      <c r="F4680" s="1">
        <v>55</v>
      </c>
      <c r="L4680" s="1">
        <v>1</v>
      </c>
      <c r="R4680" s="1">
        <v>1</v>
      </c>
    </row>
    <row r="4681" spans="1:78" x14ac:dyDescent="0.3">
      <c r="A4681" s="1" t="s">
        <v>66</v>
      </c>
      <c r="B4681" s="7">
        <v>40766</v>
      </c>
      <c r="C4681" s="1">
        <v>12</v>
      </c>
      <c r="D4681" s="1">
        <v>303</v>
      </c>
      <c r="E4681" s="1">
        <v>0.5</v>
      </c>
      <c r="F4681" s="1">
        <v>56</v>
      </c>
      <c r="L4681" s="1">
        <v>1</v>
      </c>
      <c r="R4681" s="1">
        <v>1</v>
      </c>
    </row>
    <row r="4682" spans="1:78" x14ac:dyDescent="0.3">
      <c r="A4682" s="1" t="s">
        <v>66</v>
      </c>
      <c r="B4682" s="7">
        <v>40766</v>
      </c>
      <c r="C4682" s="1">
        <v>12</v>
      </c>
      <c r="D4682" s="1">
        <v>303</v>
      </c>
      <c r="E4682" s="1">
        <v>0.5</v>
      </c>
      <c r="F4682" s="1">
        <v>57</v>
      </c>
      <c r="R4682" s="3">
        <v>0</v>
      </c>
      <c r="S4682" s="3">
        <v>1</v>
      </c>
      <c r="AF4682" s="1">
        <v>1</v>
      </c>
    </row>
    <row r="4683" spans="1:78" x14ac:dyDescent="0.3">
      <c r="A4683" s="1" t="s">
        <v>66</v>
      </c>
      <c r="B4683" s="7">
        <v>40766</v>
      </c>
      <c r="C4683" s="1">
        <v>12</v>
      </c>
      <c r="D4683" s="1">
        <v>303</v>
      </c>
      <c r="E4683" s="1">
        <v>0.5</v>
      </c>
      <c r="F4683" s="1">
        <v>58</v>
      </c>
      <c r="L4683" s="1">
        <v>1</v>
      </c>
      <c r="V4683" s="1">
        <v>1</v>
      </c>
      <c r="AK4683" s="1">
        <v>1</v>
      </c>
    </row>
    <row r="4684" spans="1:78" x14ac:dyDescent="0.3">
      <c r="A4684" s="1" t="s">
        <v>66</v>
      </c>
      <c r="B4684" s="7">
        <v>40766</v>
      </c>
      <c r="C4684" s="1">
        <v>12</v>
      </c>
      <c r="D4684" s="1">
        <v>303</v>
      </c>
      <c r="E4684" s="1">
        <v>0.5</v>
      </c>
      <c r="F4684" s="1">
        <v>59</v>
      </c>
      <c r="L4684" s="1">
        <v>1</v>
      </c>
      <c r="V4684" s="1">
        <v>1</v>
      </c>
    </row>
    <row r="4685" spans="1:78" x14ac:dyDescent="0.3">
      <c r="A4685" s="1" t="s">
        <v>66</v>
      </c>
      <c r="B4685" s="7">
        <v>40766</v>
      </c>
      <c r="C4685" s="1">
        <v>12</v>
      </c>
      <c r="D4685" s="1">
        <v>303</v>
      </c>
      <c r="E4685" s="1">
        <v>0.5</v>
      </c>
      <c r="F4685" s="1">
        <v>60</v>
      </c>
      <c r="L4685" s="8">
        <v>1</v>
      </c>
      <c r="M4685" s="8"/>
    </row>
    <row r="4686" spans="1:78" x14ac:dyDescent="0.3">
      <c r="A4686" s="1" t="s">
        <v>66</v>
      </c>
      <c r="B4686" s="7">
        <v>40766</v>
      </c>
      <c r="C4686" s="1">
        <v>12</v>
      </c>
      <c r="D4686" s="1">
        <v>303</v>
      </c>
      <c r="E4686" s="1">
        <v>0.5</v>
      </c>
      <c r="F4686" s="1">
        <v>61</v>
      </c>
      <c r="L4686" s="8">
        <v>1</v>
      </c>
      <c r="M4686" s="8"/>
      <c r="R4686" s="1">
        <v>1</v>
      </c>
    </row>
    <row r="4687" spans="1:78" x14ac:dyDescent="0.3">
      <c r="A4687" s="1" t="s">
        <v>66</v>
      </c>
      <c r="B4687" s="7">
        <v>40766</v>
      </c>
      <c r="C4687" s="1">
        <v>12</v>
      </c>
      <c r="D4687" s="1">
        <v>303</v>
      </c>
      <c r="E4687" s="1">
        <v>0.5</v>
      </c>
      <c r="F4687" s="1">
        <v>62</v>
      </c>
      <c r="L4687" s="1">
        <v>1</v>
      </c>
      <c r="R4687" s="1">
        <v>1</v>
      </c>
    </row>
    <row r="4688" spans="1:78" x14ac:dyDescent="0.3">
      <c r="A4688" s="1" t="s">
        <v>66</v>
      </c>
      <c r="B4688" s="7">
        <v>40766</v>
      </c>
      <c r="C4688" s="1">
        <v>12</v>
      </c>
      <c r="D4688" s="1">
        <v>303</v>
      </c>
      <c r="E4688" s="1">
        <v>0.5</v>
      </c>
      <c r="F4688" s="1">
        <v>63</v>
      </c>
      <c r="R4688" s="1">
        <v>1</v>
      </c>
      <c r="AF4688" s="1">
        <v>1</v>
      </c>
    </row>
    <row r="4689" spans="1:55" x14ac:dyDescent="0.3">
      <c r="A4689" s="1" t="s">
        <v>66</v>
      </c>
      <c r="B4689" s="7">
        <v>40766</v>
      </c>
      <c r="C4689" s="1">
        <v>12</v>
      </c>
      <c r="D4689" s="1">
        <v>303</v>
      </c>
      <c r="E4689" s="1">
        <v>0.5</v>
      </c>
      <c r="F4689" s="1">
        <v>64</v>
      </c>
      <c r="L4689" s="1">
        <v>1</v>
      </c>
      <c r="R4689" s="1">
        <v>1</v>
      </c>
    </row>
    <row r="4690" spans="1:55" x14ac:dyDescent="0.3">
      <c r="A4690" s="1" t="s">
        <v>66</v>
      </c>
      <c r="B4690" s="7">
        <v>40766</v>
      </c>
      <c r="C4690" s="1">
        <v>12</v>
      </c>
      <c r="D4690" s="1">
        <v>303</v>
      </c>
      <c r="E4690" s="1">
        <v>0.5</v>
      </c>
      <c r="F4690" s="1">
        <v>65</v>
      </c>
      <c r="L4690" s="1">
        <v>1</v>
      </c>
      <c r="AF4690" s="1">
        <v>1</v>
      </c>
    </row>
    <row r="4691" spans="1:55" x14ac:dyDescent="0.3">
      <c r="A4691" s="1" t="s">
        <v>66</v>
      </c>
      <c r="B4691" s="7">
        <v>40766</v>
      </c>
      <c r="C4691" s="1">
        <v>12</v>
      </c>
      <c r="D4691" s="1">
        <v>303</v>
      </c>
      <c r="E4691" s="1">
        <v>0.5</v>
      </c>
      <c r="F4691" s="1">
        <v>66</v>
      </c>
      <c r="R4691" s="3">
        <v>0</v>
      </c>
      <c r="S4691" s="3">
        <v>1</v>
      </c>
      <c r="BC4691" s="1">
        <v>1</v>
      </c>
    </row>
    <row r="4692" spans="1:55" x14ac:dyDescent="0.3">
      <c r="A4692" s="1" t="s">
        <v>66</v>
      </c>
      <c r="B4692" s="7">
        <v>40766</v>
      </c>
      <c r="C4692" s="1">
        <v>12</v>
      </c>
      <c r="D4692" s="1">
        <v>303</v>
      </c>
      <c r="E4692" s="1">
        <v>0.5</v>
      </c>
      <c r="F4692" s="1">
        <v>67</v>
      </c>
      <c r="H4692" s="1">
        <v>1</v>
      </c>
      <c r="AK4692" s="1">
        <v>1</v>
      </c>
    </row>
    <row r="4693" spans="1:55" x14ac:dyDescent="0.3">
      <c r="A4693" s="1" t="s">
        <v>66</v>
      </c>
      <c r="B4693" s="7">
        <v>40766</v>
      </c>
      <c r="C4693" s="1">
        <v>12</v>
      </c>
      <c r="D4693" s="1">
        <v>303</v>
      </c>
      <c r="E4693" s="1">
        <v>0.5</v>
      </c>
      <c r="F4693" s="1">
        <v>68</v>
      </c>
      <c r="R4693" s="1">
        <v>1</v>
      </c>
      <c r="V4693" s="1">
        <v>1</v>
      </c>
    </row>
    <row r="4694" spans="1:55" x14ac:dyDescent="0.3">
      <c r="A4694" s="1" t="s">
        <v>66</v>
      </c>
      <c r="B4694" s="7">
        <v>40766</v>
      </c>
      <c r="C4694" s="1">
        <v>12</v>
      </c>
      <c r="D4694" s="1">
        <v>303</v>
      </c>
      <c r="E4694" s="1">
        <v>0.5</v>
      </c>
      <c r="F4694" s="1">
        <v>69</v>
      </c>
      <c r="L4694" s="1">
        <v>1</v>
      </c>
      <c r="R4694" s="1">
        <v>1</v>
      </c>
      <c r="V4694" s="1">
        <v>1</v>
      </c>
    </row>
    <row r="4695" spans="1:55" x14ac:dyDescent="0.3">
      <c r="A4695" s="1" t="s">
        <v>66</v>
      </c>
      <c r="B4695" s="7">
        <v>40766</v>
      </c>
      <c r="C4695" s="1">
        <v>12</v>
      </c>
      <c r="D4695" s="1">
        <v>303</v>
      </c>
      <c r="E4695" s="1">
        <v>0.5</v>
      </c>
      <c r="F4695" s="1">
        <v>70</v>
      </c>
      <c r="L4695" s="1">
        <v>1</v>
      </c>
      <c r="R4695" s="1">
        <v>1</v>
      </c>
      <c r="AF4695" s="1">
        <v>1</v>
      </c>
    </row>
    <row r="4696" spans="1:55" x14ac:dyDescent="0.3">
      <c r="A4696" s="1" t="s">
        <v>66</v>
      </c>
      <c r="B4696" s="7">
        <v>40766</v>
      </c>
      <c r="C4696" s="1">
        <v>12</v>
      </c>
      <c r="D4696" s="1">
        <v>303</v>
      </c>
      <c r="E4696" s="1">
        <v>0.5</v>
      </c>
      <c r="F4696" s="1">
        <v>71</v>
      </c>
      <c r="R4696" s="1">
        <v>1</v>
      </c>
      <c r="AF4696" s="1">
        <v>1</v>
      </c>
    </row>
    <row r="4697" spans="1:55" x14ac:dyDescent="0.3">
      <c r="A4697" s="1" t="s">
        <v>66</v>
      </c>
      <c r="B4697" s="7">
        <v>40766</v>
      </c>
      <c r="C4697" s="1">
        <v>12</v>
      </c>
      <c r="D4697" s="1">
        <v>303</v>
      </c>
      <c r="E4697" s="1">
        <v>0.5</v>
      </c>
      <c r="F4697" s="1">
        <v>72</v>
      </c>
      <c r="L4697" s="8">
        <v>1</v>
      </c>
      <c r="M4697" s="8"/>
      <c r="R4697" s="3">
        <v>0</v>
      </c>
      <c r="S4697" s="3">
        <v>1</v>
      </c>
    </row>
    <row r="4698" spans="1:55" x14ac:dyDescent="0.3">
      <c r="A4698" s="1" t="s">
        <v>66</v>
      </c>
      <c r="B4698" s="7">
        <v>40766</v>
      </c>
      <c r="C4698" s="1">
        <v>12</v>
      </c>
      <c r="D4698" s="1">
        <v>303</v>
      </c>
      <c r="E4698" s="1">
        <v>0.5</v>
      </c>
      <c r="F4698" s="1">
        <v>73</v>
      </c>
      <c r="L4698" s="8">
        <v>1</v>
      </c>
      <c r="M4698" s="8"/>
    </row>
    <row r="4699" spans="1:55" x14ac:dyDescent="0.3">
      <c r="A4699" s="1" t="s">
        <v>66</v>
      </c>
      <c r="B4699" s="7">
        <v>40766</v>
      </c>
      <c r="C4699" s="1">
        <v>12</v>
      </c>
      <c r="D4699" s="1">
        <v>303</v>
      </c>
      <c r="E4699" s="1">
        <v>0.5</v>
      </c>
      <c r="F4699" s="1">
        <v>74</v>
      </c>
      <c r="L4699" s="1">
        <v>1</v>
      </c>
      <c r="R4699" s="3">
        <v>0</v>
      </c>
      <c r="S4699" s="3">
        <v>1</v>
      </c>
    </row>
    <row r="4700" spans="1:55" x14ac:dyDescent="0.3">
      <c r="A4700" s="1" t="s">
        <v>66</v>
      </c>
      <c r="B4700" s="7">
        <v>40766</v>
      </c>
      <c r="C4700" s="1">
        <v>12</v>
      </c>
      <c r="D4700" s="1">
        <v>303</v>
      </c>
      <c r="E4700" s="1">
        <v>0.5</v>
      </c>
      <c r="F4700" s="1">
        <v>75</v>
      </c>
      <c r="L4700" s="8">
        <v>1</v>
      </c>
      <c r="M4700" s="8"/>
      <c r="R4700" s="3">
        <v>0</v>
      </c>
      <c r="S4700" s="3">
        <v>1</v>
      </c>
    </row>
    <row r="4701" spans="1:55" x14ac:dyDescent="0.3">
      <c r="A4701" s="1" t="s">
        <v>66</v>
      </c>
      <c r="B4701" s="7">
        <v>40766</v>
      </c>
      <c r="C4701" s="1">
        <v>12</v>
      </c>
      <c r="D4701" s="1">
        <v>303</v>
      </c>
      <c r="E4701" s="1">
        <v>0.5</v>
      </c>
      <c r="F4701" s="1">
        <v>76</v>
      </c>
      <c r="L4701" s="8">
        <v>1</v>
      </c>
      <c r="M4701" s="8"/>
      <c r="R4701" s="3">
        <v>0</v>
      </c>
      <c r="S4701" s="3">
        <v>1</v>
      </c>
      <c r="Y4701" s="1">
        <v>1</v>
      </c>
    </row>
    <row r="4702" spans="1:55" x14ac:dyDescent="0.3">
      <c r="A4702" s="1" t="s">
        <v>66</v>
      </c>
      <c r="B4702" s="7">
        <v>40766</v>
      </c>
      <c r="C4702" s="1">
        <v>12</v>
      </c>
      <c r="D4702" s="1">
        <v>303</v>
      </c>
      <c r="E4702" s="1">
        <v>0.5</v>
      </c>
      <c r="F4702" s="1">
        <v>77</v>
      </c>
      <c r="L4702" s="1">
        <v>1</v>
      </c>
      <c r="R4702" s="1">
        <v>1</v>
      </c>
    </row>
    <row r="4703" spans="1:55" x14ac:dyDescent="0.3">
      <c r="A4703" s="1" t="s">
        <v>66</v>
      </c>
      <c r="B4703" s="7">
        <v>40766</v>
      </c>
      <c r="C4703" s="1">
        <v>12</v>
      </c>
      <c r="D4703" s="1">
        <v>303</v>
      </c>
      <c r="E4703" s="1">
        <v>0.5</v>
      </c>
      <c r="F4703" s="1">
        <v>78</v>
      </c>
      <c r="R4703" s="3">
        <v>0</v>
      </c>
      <c r="S4703" s="3">
        <v>1</v>
      </c>
    </row>
    <row r="4704" spans="1:55" x14ac:dyDescent="0.3">
      <c r="A4704" s="1" t="s">
        <v>66</v>
      </c>
      <c r="B4704" s="7">
        <v>40766</v>
      </c>
      <c r="C4704" s="1">
        <v>12</v>
      </c>
      <c r="D4704" s="1">
        <v>303</v>
      </c>
      <c r="E4704" s="1">
        <v>0.5</v>
      </c>
      <c r="F4704" s="1">
        <v>79</v>
      </c>
      <c r="L4704" s="1">
        <v>1</v>
      </c>
      <c r="AF4704" s="8">
        <v>1</v>
      </c>
    </row>
    <row r="4705" spans="1:78" x14ac:dyDescent="0.3">
      <c r="A4705" s="1" t="s">
        <v>66</v>
      </c>
      <c r="B4705" s="7">
        <v>40766</v>
      </c>
      <c r="C4705" s="1">
        <v>12</v>
      </c>
      <c r="D4705" s="1">
        <v>303</v>
      </c>
      <c r="E4705" s="1">
        <v>0.5</v>
      </c>
      <c r="F4705" s="1">
        <v>80</v>
      </c>
      <c r="L4705" s="8">
        <v>1</v>
      </c>
      <c r="M4705" s="8"/>
      <c r="R4705" s="3">
        <v>0</v>
      </c>
      <c r="S4705" s="3">
        <v>1</v>
      </c>
    </row>
    <row r="4706" spans="1:78" x14ac:dyDescent="0.3">
      <c r="A4706" s="1" t="s">
        <v>66</v>
      </c>
      <c r="B4706" s="7">
        <v>40766</v>
      </c>
      <c r="C4706" s="1">
        <v>12</v>
      </c>
      <c r="D4706" s="1">
        <v>303</v>
      </c>
      <c r="E4706" s="1">
        <v>0.5</v>
      </c>
      <c r="F4706" s="1">
        <v>81</v>
      </c>
      <c r="L4706" s="1">
        <v>1</v>
      </c>
      <c r="R4706" s="1">
        <v>1</v>
      </c>
    </row>
    <row r="4707" spans="1:78" x14ac:dyDescent="0.3">
      <c r="A4707" s="1" t="s">
        <v>66</v>
      </c>
      <c r="B4707" s="7">
        <v>40766</v>
      </c>
      <c r="C4707" s="1">
        <v>12</v>
      </c>
      <c r="D4707" s="1">
        <v>303</v>
      </c>
      <c r="E4707" s="1">
        <v>0.5</v>
      </c>
      <c r="F4707" s="1">
        <v>82</v>
      </c>
      <c r="L4707" s="8">
        <v>1</v>
      </c>
      <c r="M4707" s="8"/>
    </row>
    <row r="4708" spans="1:78" x14ac:dyDescent="0.3">
      <c r="A4708" s="1" t="s">
        <v>66</v>
      </c>
      <c r="B4708" s="7">
        <v>40766</v>
      </c>
      <c r="C4708" s="1">
        <v>12</v>
      </c>
      <c r="D4708" s="1">
        <v>303</v>
      </c>
      <c r="E4708" s="1">
        <v>0.5</v>
      </c>
      <c r="F4708" s="1">
        <v>83</v>
      </c>
      <c r="L4708" s="1">
        <v>1</v>
      </c>
    </row>
    <row r="4709" spans="1:78" x14ac:dyDescent="0.3">
      <c r="A4709" s="1" t="s">
        <v>66</v>
      </c>
      <c r="B4709" s="7">
        <v>40766</v>
      </c>
      <c r="C4709" s="1">
        <v>12</v>
      </c>
      <c r="D4709" s="1">
        <v>303</v>
      </c>
      <c r="E4709" s="1">
        <v>0.5</v>
      </c>
      <c r="F4709" s="1">
        <v>84</v>
      </c>
      <c r="H4709" s="1">
        <v>1</v>
      </c>
      <c r="L4709" s="1">
        <v>1</v>
      </c>
    </row>
    <row r="4710" spans="1:78" x14ac:dyDescent="0.3">
      <c r="A4710" s="1" t="s">
        <v>66</v>
      </c>
      <c r="B4710" s="7">
        <v>40766</v>
      </c>
      <c r="C4710" s="1">
        <v>12</v>
      </c>
      <c r="D4710" s="1">
        <v>303</v>
      </c>
      <c r="E4710" s="1">
        <v>0.5</v>
      </c>
      <c r="F4710" s="1">
        <v>85</v>
      </c>
      <c r="H4710" s="1">
        <v>1</v>
      </c>
    </row>
    <row r="4711" spans="1:78" x14ac:dyDescent="0.3">
      <c r="A4711" s="1" t="s">
        <v>66</v>
      </c>
      <c r="B4711" s="7">
        <v>40766</v>
      </c>
      <c r="C4711" s="1">
        <v>12</v>
      </c>
      <c r="D4711" s="1">
        <v>303</v>
      </c>
      <c r="E4711" s="1">
        <v>0.5</v>
      </c>
      <c r="F4711" s="1">
        <v>86</v>
      </c>
      <c r="R4711" s="3">
        <v>0</v>
      </c>
      <c r="S4711" s="3">
        <v>1</v>
      </c>
      <c r="AF4711" s="1">
        <v>1</v>
      </c>
    </row>
    <row r="4712" spans="1:78" x14ac:dyDescent="0.3">
      <c r="A4712" s="1" t="s">
        <v>66</v>
      </c>
      <c r="B4712" s="7">
        <v>40766</v>
      </c>
      <c r="C4712" s="1">
        <v>12</v>
      </c>
      <c r="D4712" s="1">
        <v>303</v>
      </c>
      <c r="E4712" s="1">
        <v>0.5</v>
      </c>
      <c r="F4712" s="1">
        <v>87</v>
      </c>
      <c r="L4712" s="1">
        <v>1</v>
      </c>
      <c r="R4712" s="3">
        <v>0</v>
      </c>
      <c r="S4712" s="3">
        <v>1</v>
      </c>
      <c r="BZ4712" s="1">
        <v>1</v>
      </c>
    </row>
    <row r="4713" spans="1:78" x14ac:dyDescent="0.3">
      <c r="A4713" s="1" t="s">
        <v>66</v>
      </c>
      <c r="B4713" s="7">
        <v>40766</v>
      </c>
      <c r="C4713" s="1">
        <v>12</v>
      </c>
      <c r="D4713" s="1">
        <v>303</v>
      </c>
      <c r="E4713" s="1">
        <v>0.5</v>
      </c>
      <c r="F4713" s="1">
        <v>88</v>
      </c>
      <c r="R4713" s="1">
        <v>1</v>
      </c>
      <c r="AF4713" s="1">
        <v>1</v>
      </c>
    </row>
    <row r="4714" spans="1:78" x14ac:dyDescent="0.3">
      <c r="A4714" s="1" t="s">
        <v>66</v>
      </c>
      <c r="B4714" s="7">
        <v>40766</v>
      </c>
      <c r="C4714" s="1">
        <v>12</v>
      </c>
      <c r="D4714" s="1">
        <v>303</v>
      </c>
      <c r="E4714" s="1">
        <v>0.5</v>
      </c>
      <c r="F4714" s="1">
        <v>89</v>
      </c>
      <c r="R4714" s="3">
        <v>0</v>
      </c>
      <c r="S4714" s="3">
        <v>1</v>
      </c>
    </row>
    <row r="4715" spans="1:78" x14ac:dyDescent="0.3">
      <c r="A4715" s="1" t="s">
        <v>66</v>
      </c>
      <c r="B4715" s="7">
        <v>40766</v>
      </c>
      <c r="C4715" s="1">
        <v>12</v>
      </c>
      <c r="D4715" s="1">
        <v>303</v>
      </c>
      <c r="E4715" s="1">
        <v>0.5</v>
      </c>
      <c r="F4715" s="1">
        <v>90</v>
      </c>
      <c r="L4715" s="8">
        <v>1</v>
      </c>
      <c r="M4715" s="8"/>
    </row>
    <row r="4716" spans="1:78" x14ac:dyDescent="0.3">
      <c r="A4716" s="1" t="s">
        <v>66</v>
      </c>
      <c r="B4716" s="7">
        <v>40766</v>
      </c>
      <c r="C4716" s="1">
        <v>12</v>
      </c>
      <c r="D4716" s="1">
        <v>303</v>
      </c>
      <c r="E4716" s="1">
        <v>0.5</v>
      </c>
      <c r="F4716" s="1">
        <v>91</v>
      </c>
      <c r="R4716" s="1">
        <v>1</v>
      </c>
      <c r="Y4716" s="1">
        <v>1</v>
      </c>
      <c r="AF4716" s="1">
        <v>1</v>
      </c>
    </row>
    <row r="4717" spans="1:78" x14ac:dyDescent="0.3">
      <c r="A4717" s="1" t="s">
        <v>66</v>
      </c>
      <c r="B4717" s="7">
        <v>40766</v>
      </c>
      <c r="C4717" s="1">
        <v>12</v>
      </c>
      <c r="D4717" s="1">
        <v>303</v>
      </c>
      <c r="E4717" s="1">
        <v>0.5</v>
      </c>
      <c r="F4717" s="1">
        <v>92</v>
      </c>
      <c r="R4717" s="1">
        <v>1</v>
      </c>
      <c r="AU4717" s="1">
        <v>1</v>
      </c>
    </row>
    <row r="4718" spans="1:78" x14ac:dyDescent="0.3">
      <c r="A4718" s="1" t="s">
        <v>66</v>
      </c>
      <c r="B4718" s="7">
        <v>40766</v>
      </c>
      <c r="C4718" s="1">
        <v>12</v>
      </c>
      <c r="D4718" s="1">
        <v>303</v>
      </c>
      <c r="E4718" s="1">
        <v>0.5</v>
      </c>
      <c r="F4718" s="1">
        <v>93</v>
      </c>
      <c r="R4718" s="1">
        <v>1</v>
      </c>
      <c r="BE4718" s="1">
        <v>1</v>
      </c>
      <c r="BZ4718" s="1">
        <v>1</v>
      </c>
    </row>
    <row r="4719" spans="1:78" x14ac:dyDescent="0.3">
      <c r="A4719" s="1" t="s">
        <v>66</v>
      </c>
      <c r="B4719" s="7">
        <v>40766</v>
      </c>
      <c r="C4719" s="1">
        <v>12</v>
      </c>
      <c r="D4719" s="1">
        <v>303</v>
      </c>
      <c r="E4719" s="1">
        <v>0.5</v>
      </c>
      <c r="F4719" s="1">
        <v>94</v>
      </c>
      <c r="L4719" s="1">
        <v>1</v>
      </c>
      <c r="R4719" s="3">
        <v>0</v>
      </c>
      <c r="S4719" s="3">
        <v>1</v>
      </c>
    </row>
    <row r="4720" spans="1:78" x14ac:dyDescent="0.3">
      <c r="A4720" s="1" t="s">
        <v>66</v>
      </c>
      <c r="B4720" s="7">
        <v>40766</v>
      </c>
      <c r="C4720" s="1">
        <v>12</v>
      </c>
      <c r="D4720" s="1">
        <v>303</v>
      </c>
      <c r="E4720" s="1">
        <v>0.5</v>
      </c>
      <c r="F4720" s="1">
        <v>95</v>
      </c>
      <c r="L4720" s="8">
        <v>1</v>
      </c>
      <c r="M4720" s="8"/>
    </row>
    <row r="4721" spans="1:90" x14ac:dyDescent="0.3">
      <c r="A4721" s="1" t="s">
        <v>66</v>
      </c>
      <c r="B4721" s="7">
        <v>40766</v>
      </c>
      <c r="C4721" s="1">
        <v>12</v>
      </c>
      <c r="D4721" s="1">
        <v>303</v>
      </c>
      <c r="E4721" s="1">
        <v>0.5</v>
      </c>
      <c r="F4721" s="1">
        <v>96</v>
      </c>
      <c r="L4721" s="8">
        <v>1</v>
      </c>
      <c r="M4721" s="8"/>
      <c r="R4721" s="1">
        <v>1</v>
      </c>
    </row>
    <row r="4722" spans="1:90" x14ac:dyDescent="0.3">
      <c r="A4722" s="1" t="s">
        <v>66</v>
      </c>
      <c r="B4722" s="7">
        <v>40766</v>
      </c>
      <c r="C4722" s="1">
        <v>12</v>
      </c>
      <c r="D4722" s="1">
        <v>303</v>
      </c>
      <c r="E4722" s="1">
        <v>0.5</v>
      </c>
      <c r="F4722" s="1">
        <v>97</v>
      </c>
      <c r="L4722" s="1">
        <v>1</v>
      </c>
    </row>
    <row r="4723" spans="1:90" x14ac:dyDescent="0.3">
      <c r="A4723" s="1" t="s">
        <v>66</v>
      </c>
      <c r="B4723" s="7">
        <v>40766</v>
      </c>
      <c r="C4723" s="1">
        <v>12</v>
      </c>
      <c r="D4723" s="1">
        <v>303</v>
      </c>
      <c r="E4723" s="1">
        <v>0.5</v>
      </c>
      <c r="F4723" s="1">
        <v>98</v>
      </c>
      <c r="L4723" s="1">
        <v>1</v>
      </c>
      <c r="R4723" s="1">
        <v>1</v>
      </c>
    </row>
    <row r="4724" spans="1:90" x14ac:dyDescent="0.3">
      <c r="A4724" s="1" t="s">
        <v>66</v>
      </c>
      <c r="B4724" s="7">
        <v>40766</v>
      </c>
      <c r="C4724" s="1">
        <v>12</v>
      </c>
      <c r="D4724" s="1">
        <v>303</v>
      </c>
      <c r="E4724" s="1">
        <v>0.5</v>
      </c>
      <c r="F4724" s="1">
        <v>99</v>
      </c>
      <c r="L4724" s="1">
        <v>1</v>
      </c>
      <c r="BE4724" s="3">
        <v>0</v>
      </c>
      <c r="BF4724" s="3">
        <v>1</v>
      </c>
    </row>
    <row r="4725" spans="1:90" x14ac:dyDescent="0.3">
      <c r="A4725" s="1" t="s">
        <v>66</v>
      </c>
      <c r="B4725" s="7">
        <v>40766</v>
      </c>
      <c r="C4725" s="1">
        <v>12</v>
      </c>
      <c r="D4725" s="1">
        <v>303</v>
      </c>
      <c r="E4725" s="1">
        <v>0.5</v>
      </c>
      <c r="F4725" s="1">
        <v>100</v>
      </c>
      <c r="L4725" s="1">
        <v>1</v>
      </c>
      <c r="AD4725" s="3">
        <v>0</v>
      </c>
      <c r="AE4725" s="3">
        <v>1</v>
      </c>
    </row>
    <row r="4726" spans="1:90" s="12" customFormat="1" x14ac:dyDescent="0.3">
      <c r="A4726" s="14" t="s">
        <v>66</v>
      </c>
      <c r="B4726" s="13"/>
      <c r="G4726" s="12">
        <f>SUM(G4526:G4725)</f>
        <v>0</v>
      </c>
      <c r="H4726" s="12">
        <f t="shared" ref="H4726" si="1774">SUM(H4526:H4725)</f>
        <v>4</v>
      </c>
      <c r="I4726" s="12">
        <f t="shared" ref="I4726" si="1775">SUM(I4526:I4725)</f>
        <v>10</v>
      </c>
      <c r="J4726" s="12">
        <f t="shared" ref="J4726" si="1776">SUM(J4526:J4725)</f>
        <v>47</v>
      </c>
      <c r="K4726" s="12">
        <f t="shared" ref="K4726" si="1777">SUM(K4526:K4725)</f>
        <v>24</v>
      </c>
      <c r="L4726" s="12">
        <f t="shared" ref="L4726" si="1778">SUM(L4526:L4725)</f>
        <v>82</v>
      </c>
      <c r="M4726" s="12">
        <f t="shared" ref="M4726" si="1779">SUM(M4526:M4725)</f>
        <v>0</v>
      </c>
      <c r="N4726" s="12">
        <f t="shared" ref="N4726" si="1780">SUM(N4526:N4725)</f>
        <v>9</v>
      </c>
      <c r="O4726" s="12">
        <f t="shared" ref="O4726" si="1781">SUM(O4526:O4725)</f>
        <v>0</v>
      </c>
      <c r="P4726" s="12">
        <f t="shared" ref="P4726" si="1782">SUM(P4526:P4725)</f>
        <v>0</v>
      </c>
      <c r="Q4726" s="12">
        <f t="shared" ref="Q4726" si="1783">SUM(Q4526:Q4725)</f>
        <v>0</v>
      </c>
      <c r="R4726" s="12">
        <f t="shared" ref="R4726" si="1784">SUM(R4526:R4725)</f>
        <v>43</v>
      </c>
      <c r="S4726" s="12">
        <f t="shared" ref="S4726" si="1785">SUM(S4526:S4725)</f>
        <v>19</v>
      </c>
      <c r="T4726" s="12">
        <f t="shared" ref="T4726" si="1786">SUM(T4526:T4725)</f>
        <v>26</v>
      </c>
      <c r="U4726" s="12">
        <f t="shared" ref="U4726" si="1787">SUM(U4526:U4725)</f>
        <v>0</v>
      </c>
      <c r="V4726" s="12">
        <f t="shared" ref="V4726" si="1788">SUM(V4526:V4725)</f>
        <v>7</v>
      </c>
      <c r="W4726" s="12">
        <f t="shared" ref="W4726" si="1789">SUM(W4526:W4725)</f>
        <v>0</v>
      </c>
      <c r="X4726" s="12">
        <f t="shared" ref="X4726" si="1790">SUM(X4526:X4725)</f>
        <v>0</v>
      </c>
      <c r="Y4726" s="12">
        <f t="shared" ref="Y4726" si="1791">SUM(Y4526:Y4725)</f>
        <v>3</v>
      </c>
      <c r="Z4726" s="12">
        <f t="shared" ref="Z4726" si="1792">SUM(Z4526:Z4725)</f>
        <v>0</v>
      </c>
      <c r="AA4726" s="12">
        <f t="shared" ref="AA4726" si="1793">SUM(AA4526:AA4725)</f>
        <v>0</v>
      </c>
      <c r="AB4726" s="12">
        <f t="shared" ref="AB4726" si="1794">SUM(AB4526:AB4725)</f>
        <v>2</v>
      </c>
      <c r="AC4726" s="12">
        <f t="shared" ref="AC4726" si="1795">SUM(AC4526:AC4725)</f>
        <v>0</v>
      </c>
      <c r="AD4726" s="12">
        <f t="shared" ref="AD4726" si="1796">SUM(AD4526:AD4725)</f>
        <v>0</v>
      </c>
      <c r="AE4726" s="12">
        <f t="shared" ref="AE4726" si="1797">SUM(AE4526:AE4725)</f>
        <v>1</v>
      </c>
      <c r="AF4726" s="12">
        <f t="shared" ref="AF4726" si="1798">SUM(AF4526:AF4725)</f>
        <v>18</v>
      </c>
      <c r="AG4726" s="12">
        <f t="shared" ref="AG4726" si="1799">SUM(AG4526:AG4725)</f>
        <v>0</v>
      </c>
      <c r="AH4726" s="12">
        <f t="shared" ref="AH4726" si="1800">SUM(AH4526:AH4725)</f>
        <v>0</v>
      </c>
      <c r="AI4726" s="12">
        <f t="shared" ref="AI4726" si="1801">SUM(AI4526:AI4725)</f>
        <v>0</v>
      </c>
      <c r="AJ4726" s="12">
        <f t="shared" ref="AJ4726" si="1802">SUM(AJ4526:AJ4725)</f>
        <v>0</v>
      </c>
      <c r="AK4726" s="12">
        <f t="shared" ref="AK4726" si="1803">SUM(AK4526:AK4725)</f>
        <v>5</v>
      </c>
      <c r="AL4726" s="12">
        <f t="shared" ref="AL4726" si="1804">SUM(AL4526:AL4725)</f>
        <v>0</v>
      </c>
      <c r="AM4726" s="12">
        <f t="shared" ref="AM4726" si="1805">SUM(AM4526:AM4725)</f>
        <v>0</v>
      </c>
      <c r="AN4726" s="12">
        <f t="shared" ref="AN4726" si="1806">SUM(AN4526:AN4725)</f>
        <v>0</v>
      </c>
      <c r="AO4726" s="12">
        <f t="shared" ref="AO4726" si="1807">SUM(AO4526:AO4725)</f>
        <v>0</v>
      </c>
      <c r="AP4726" s="12">
        <f t="shared" ref="AP4726" si="1808">SUM(AP4526:AP4725)</f>
        <v>0</v>
      </c>
      <c r="AQ4726" s="12">
        <f t="shared" ref="AQ4726" si="1809">SUM(AQ4526:AQ4725)</f>
        <v>0</v>
      </c>
      <c r="AR4726" s="12">
        <f t="shared" ref="AR4726" si="1810">SUM(AR4526:AR4725)</f>
        <v>0</v>
      </c>
      <c r="AS4726" s="12">
        <f t="shared" ref="AS4726" si="1811">SUM(AS4526:AS4725)</f>
        <v>0</v>
      </c>
      <c r="AT4726" s="12">
        <f t="shared" ref="AT4726" si="1812">SUM(AT4526:AT4725)</f>
        <v>0</v>
      </c>
      <c r="AU4726" s="12">
        <f t="shared" ref="AU4726" si="1813">SUM(AU4526:AU4725)</f>
        <v>5</v>
      </c>
      <c r="AV4726" s="12">
        <f t="shared" ref="AV4726" si="1814">SUM(AV4526:AV4725)</f>
        <v>0</v>
      </c>
      <c r="AW4726" s="12">
        <f t="shared" ref="AW4726" si="1815">SUM(AW4526:AW4725)</f>
        <v>0</v>
      </c>
      <c r="AX4726" s="12">
        <f t="shared" ref="AX4726" si="1816">SUM(AX4526:AX4725)</f>
        <v>0</v>
      </c>
      <c r="AY4726" s="12">
        <f t="shared" ref="AY4726" si="1817">SUM(AY4526:AY4725)</f>
        <v>1</v>
      </c>
      <c r="AZ4726" s="12">
        <f t="shared" ref="AZ4726" si="1818">SUM(AZ4526:AZ4725)</f>
        <v>0</v>
      </c>
      <c r="BA4726" s="12">
        <f t="shared" ref="BA4726" si="1819">SUM(BA4526:BA4725)</f>
        <v>0</v>
      </c>
      <c r="BB4726" s="12">
        <f t="shared" ref="BB4726" si="1820">SUM(BB4526:BB4725)</f>
        <v>0</v>
      </c>
      <c r="BC4726" s="12">
        <f t="shared" ref="BC4726" si="1821">SUM(BC4526:BC4725)</f>
        <v>1</v>
      </c>
      <c r="BD4726" s="12">
        <f t="shared" ref="BD4726" si="1822">SUM(BD4526:BD4725)</f>
        <v>0</v>
      </c>
      <c r="BE4726" s="12">
        <f t="shared" ref="BE4726" si="1823">SUM(BE4526:BE4725)</f>
        <v>2</v>
      </c>
      <c r="BF4726" s="12">
        <f t="shared" ref="BF4726" si="1824">SUM(BF4526:BF4725)</f>
        <v>1</v>
      </c>
      <c r="BG4726" s="12">
        <f t="shared" ref="BG4726" si="1825">SUM(BG4526:BG4725)</f>
        <v>1</v>
      </c>
      <c r="BH4726" s="12">
        <f t="shared" ref="BH4726" si="1826">SUM(BH4526:BH4725)</f>
        <v>0</v>
      </c>
      <c r="BI4726" s="12">
        <f t="shared" ref="BI4726" si="1827">SUM(BI4526:BI4725)</f>
        <v>10</v>
      </c>
      <c r="BJ4726" s="12">
        <f t="shared" ref="BJ4726" si="1828">SUM(BJ4526:BJ4725)</f>
        <v>0</v>
      </c>
      <c r="BK4726" s="12">
        <f t="shared" ref="BK4726" si="1829">SUM(BK4526:BK4725)</f>
        <v>1</v>
      </c>
      <c r="BL4726" s="12">
        <f t="shared" ref="BL4726" si="1830">SUM(BL4526:BL4725)</f>
        <v>0</v>
      </c>
      <c r="BM4726" s="12">
        <f t="shared" ref="BM4726" si="1831">SUM(BM4526:BM4725)</f>
        <v>0</v>
      </c>
      <c r="BN4726" s="12">
        <f t="shared" ref="BN4726" si="1832">SUM(BN4526:BN4725)</f>
        <v>0</v>
      </c>
      <c r="BO4726" s="12">
        <f t="shared" ref="BO4726" si="1833">SUM(BO4526:BO4725)</f>
        <v>0</v>
      </c>
      <c r="BP4726" s="12">
        <f t="shared" ref="BP4726" si="1834">SUM(BP4526:BP4725)</f>
        <v>0</v>
      </c>
      <c r="BQ4726" s="12">
        <f t="shared" ref="BQ4726" si="1835">SUM(BQ4526:BQ4725)</f>
        <v>0</v>
      </c>
      <c r="BR4726" s="12">
        <f t="shared" ref="BR4726" si="1836">SUM(BR4526:BR4725)</f>
        <v>0</v>
      </c>
      <c r="BS4726" s="12">
        <f t="shared" ref="BS4726" si="1837">SUM(BS4526:BS4725)</f>
        <v>0</v>
      </c>
      <c r="BT4726" s="12">
        <f t="shared" ref="BT4726" si="1838">SUM(BT4526:BT4725)</f>
        <v>0</v>
      </c>
      <c r="BU4726" s="12">
        <f t="shared" ref="BU4726" si="1839">SUM(BU4526:BU4725)</f>
        <v>3</v>
      </c>
      <c r="BV4726" s="12">
        <f t="shared" ref="BV4726" si="1840">SUM(BV4526:BV4725)</f>
        <v>0</v>
      </c>
      <c r="BW4726" s="12">
        <f t="shared" ref="BW4726" si="1841">SUM(BW4526:BW4725)</f>
        <v>0</v>
      </c>
      <c r="BX4726" s="12">
        <f t="shared" ref="BX4726" si="1842">SUM(BX4526:BX4725)</f>
        <v>0</v>
      </c>
      <c r="BY4726" s="12">
        <f t="shared" ref="BY4726" si="1843">SUM(BY4526:BY4725)</f>
        <v>0</v>
      </c>
      <c r="BZ4726" s="12">
        <f t="shared" ref="BZ4726" si="1844">SUM(BZ4526:BZ4725)</f>
        <v>13</v>
      </c>
      <c r="CA4726" s="12">
        <f t="shared" ref="CA4726" si="1845">SUM(CA4526:CA4725)</f>
        <v>1</v>
      </c>
      <c r="CB4726" s="12">
        <f t="shared" ref="CB4726" si="1846">SUM(CB4526:CB4725)</f>
        <v>0</v>
      </c>
      <c r="CC4726" s="12">
        <f t="shared" ref="CC4726" si="1847">SUM(CC4526:CC4725)</f>
        <v>0</v>
      </c>
      <c r="CD4726" s="12">
        <f t="shared" ref="CD4726" si="1848">SUM(CD4526:CD4725)</f>
        <v>0</v>
      </c>
      <c r="CE4726" s="12">
        <f t="shared" ref="CE4726" si="1849">SUM(CE4526:CE4725)</f>
        <v>0</v>
      </c>
      <c r="CF4726" s="12">
        <f t="shared" ref="CF4726" si="1850">SUM(CF4526:CF4725)</f>
        <v>0</v>
      </c>
      <c r="CG4726" s="12">
        <f t="shared" ref="CG4726" si="1851">SUM(CG4526:CG4725)</f>
        <v>0</v>
      </c>
      <c r="CH4726" s="12">
        <f t="shared" ref="CH4726" si="1852">SUM(CH4526:CH4725)</f>
        <v>0</v>
      </c>
      <c r="CI4726" s="12">
        <f t="shared" ref="CI4726" si="1853">SUM(CI4526:CI4725)</f>
        <v>0</v>
      </c>
      <c r="CJ4726" s="12">
        <f t="shared" ref="CJ4726" si="1854">SUM(CJ4526:CJ4725)</f>
        <v>0</v>
      </c>
      <c r="CK4726" s="12">
        <f t="shared" ref="CK4726" si="1855">SUM(CK4526:CK4725)</f>
        <v>0</v>
      </c>
      <c r="CL4726" s="12">
        <f t="shared" ref="CL4726" si="1856">SUM(CL4526:CL4725)</f>
        <v>0</v>
      </c>
    </row>
    <row r="4727" spans="1:90" x14ac:dyDescent="0.3">
      <c r="A4727" s="1" t="s">
        <v>67</v>
      </c>
      <c r="B4727" s="7">
        <v>40766</v>
      </c>
      <c r="C4727" s="1">
        <v>8</v>
      </c>
      <c r="D4727" s="1">
        <v>50</v>
      </c>
      <c r="E4727" s="1">
        <v>2</v>
      </c>
      <c r="F4727" s="1">
        <v>1</v>
      </c>
      <c r="L4727" s="1">
        <v>1</v>
      </c>
      <c r="AA4727" s="1">
        <v>1</v>
      </c>
    </row>
    <row r="4728" spans="1:90" x14ac:dyDescent="0.3">
      <c r="A4728" s="1" t="s">
        <v>67</v>
      </c>
      <c r="B4728" s="7">
        <v>40766</v>
      </c>
      <c r="C4728" s="1">
        <v>8</v>
      </c>
      <c r="D4728" s="1">
        <v>50</v>
      </c>
      <c r="E4728" s="1">
        <v>2</v>
      </c>
      <c r="F4728" s="1">
        <v>2</v>
      </c>
      <c r="R4728" s="1">
        <v>1</v>
      </c>
      <c r="AA4728" s="1">
        <v>1</v>
      </c>
    </row>
    <row r="4729" spans="1:90" x14ac:dyDescent="0.3">
      <c r="A4729" s="1" t="s">
        <v>67</v>
      </c>
      <c r="B4729" s="7">
        <v>40766</v>
      </c>
      <c r="C4729" s="1">
        <v>8</v>
      </c>
      <c r="D4729" s="1">
        <v>50</v>
      </c>
      <c r="E4729" s="1">
        <v>2</v>
      </c>
      <c r="F4729" s="1">
        <v>3</v>
      </c>
      <c r="L4729" s="1">
        <v>1</v>
      </c>
      <c r="R4729" s="1">
        <v>1</v>
      </c>
      <c r="BC4729" s="1">
        <v>1</v>
      </c>
    </row>
    <row r="4730" spans="1:90" x14ac:dyDescent="0.3">
      <c r="A4730" s="1" t="s">
        <v>67</v>
      </c>
      <c r="B4730" s="7">
        <v>40766</v>
      </c>
      <c r="C4730" s="1">
        <v>8</v>
      </c>
      <c r="D4730" s="1">
        <v>50</v>
      </c>
      <c r="E4730" s="1">
        <v>2</v>
      </c>
      <c r="F4730" s="1">
        <v>4</v>
      </c>
      <c r="AA4730" s="1">
        <v>1</v>
      </c>
      <c r="AD4730" s="1">
        <v>1</v>
      </c>
    </row>
    <row r="4731" spans="1:90" x14ac:dyDescent="0.3">
      <c r="A4731" s="1" t="s">
        <v>67</v>
      </c>
      <c r="B4731" s="7">
        <v>40766</v>
      </c>
      <c r="C4731" s="1">
        <v>8</v>
      </c>
      <c r="D4731" s="1">
        <v>50</v>
      </c>
      <c r="E4731" s="1">
        <v>2</v>
      </c>
      <c r="F4731" s="1">
        <v>5</v>
      </c>
      <c r="L4731" s="1">
        <v>1</v>
      </c>
      <c r="BG4731" s="3">
        <v>0</v>
      </c>
      <c r="BH4731" s="3">
        <v>1</v>
      </c>
    </row>
    <row r="4732" spans="1:90" x14ac:dyDescent="0.3">
      <c r="A4732" s="1" t="s">
        <v>67</v>
      </c>
      <c r="B4732" s="7">
        <v>40766</v>
      </c>
      <c r="C4732" s="1">
        <v>8</v>
      </c>
      <c r="D4732" s="1">
        <v>50</v>
      </c>
      <c r="E4732" s="1">
        <v>2</v>
      </c>
      <c r="F4732" s="1">
        <v>6</v>
      </c>
      <c r="L4732" s="1">
        <v>1</v>
      </c>
      <c r="BG4732" s="1">
        <v>1</v>
      </c>
    </row>
    <row r="4733" spans="1:90" x14ac:dyDescent="0.3">
      <c r="A4733" s="1" t="s">
        <v>67</v>
      </c>
      <c r="B4733" s="7">
        <v>40766</v>
      </c>
      <c r="C4733" s="1">
        <v>8</v>
      </c>
      <c r="D4733" s="1">
        <v>50</v>
      </c>
      <c r="E4733" s="1">
        <v>2</v>
      </c>
      <c r="F4733" s="1">
        <v>7</v>
      </c>
      <c r="AA4733" s="1">
        <v>1</v>
      </c>
      <c r="BG4733" s="1">
        <v>1</v>
      </c>
    </row>
    <row r="4734" spans="1:90" x14ac:dyDescent="0.3">
      <c r="A4734" s="1" t="s">
        <v>67</v>
      </c>
      <c r="B4734" s="7">
        <v>40766</v>
      </c>
      <c r="C4734" s="1">
        <v>8</v>
      </c>
      <c r="D4734" s="1">
        <v>50</v>
      </c>
      <c r="E4734" s="1">
        <v>2</v>
      </c>
      <c r="F4734" s="1">
        <v>8</v>
      </c>
      <c r="L4734" s="1">
        <v>1</v>
      </c>
      <c r="R4734" s="1">
        <v>1</v>
      </c>
    </row>
    <row r="4735" spans="1:90" x14ac:dyDescent="0.3">
      <c r="A4735" s="1" t="s">
        <v>67</v>
      </c>
      <c r="B4735" s="7">
        <v>40766</v>
      </c>
      <c r="C4735" s="1">
        <v>8</v>
      </c>
      <c r="D4735" s="1">
        <v>50</v>
      </c>
      <c r="E4735" s="1">
        <v>2</v>
      </c>
      <c r="F4735" s="1">
        <v>9</v>
      </c>
      <c r="AF4735" s="1">
        <v>1</v>
      </c>
      <c r="AI4735" s="1">
        <v>1</v>
      </c>
    </row>
    <row r="4736" spans="1:90" x14ac:dyDescent="0.3">
      <c r="A4736" s="1" t="s">
        <v>67</v>
      </c>
      <c r="B4736" s="7">
        <v>40766</v>
      </c>
      <c r="C4736" s="1">
        <v>8</v>
      </c>
      <c r="D4736" s="1">
        <v>50</v>
      </c>
      <c r="E4736" s="1">
        <v>2</v>
      </c>
      <c r="F4736" s="1">
        <v>10</v>
      </c>
      <c r="L4736" s="1">
        <v>1</v>
      </c>
      <c r="AF4736" s="1">
        <v>1</v>
      </c>
    </row>
    <row r="4737" spans="1:82" x14ac:dyDescent="0.3">
      <c r="A4737" s="1" t="s">
        <v>67</v>
      </c>
      <c r="B4737" s="7">
        <v>40766</v>
      </c>
      <c r="C4737" s="1">
        <v>8</v>
      </c>
      <c r="D4737" s="1">
        <v>50</v>
      </c>
      <c r="E4737" s="1">
        <v>2</v>
      </c>
      <c r="F4737" s="1">
        <v>11</v>
      </c>
      <c r="AA4737" s="1">
        <v>1</v>
      </c>
    </row>
    <row r="4738" spans="1:82" x14ac:dyDescent="0.3">
      <c r="A4738" s="1" t="s">
        <v>67</v>
      </c>
      <c r="B4738" s="7">
        <v>40766</v>
      </c>
      <c r="C4738" s="1">
        <v>8</v>
      </c>
      <c r="D4738" s="1">
        <v>50</v>
      </c>
      <c r="E4738" s="1">
        <v>2</v>
      </c>
      <c r="F4738" s="1">
        <v>12</v>
      </c>
      <c r="AA4738" s="1">
        <v>1</v>
      </c>
    </row>
    <row r="4739" spans="1:82" x14ac:dyDescent="0.3">
      <c r="A4739" s="1" t="s">
        <v>67</v>
      </c>
      <c r="B4739" s="7">
        <v>40766</v>
      </c>
      <c r="C4739" s="1">
        <v>8</v>
      </c>
      <c r="D4739" s="1">
        <v>50</v>
      </c>
      <c r="E4739" s="1">
        <v>2</v>
      </c>
      <c r="F4739" s="1">
        <v>13</v>
      </c>
      <c r="R4739" s="1">
        <v>1</v>
      </c>
      <c r="AA4739" s="1">
        <v>1</v>
      </c>
    </row>
    <row r="4740" spans="1:82" x14ac:dyDescent="0.3">
      <c r="A4740" s="1" t="s">
        <v>67</v>
      </c>
      <c r="B4740" s="7">
        <v>40766</v>
      </c>
      <c r="C4740" s="1">
        <v>8</v>
      </c>
      <c r="D4740" s="1">
        <v>50</v>
      </c>
      <c r="E4740" s="1">
        <v>2</v>
      </c>
      <c r="F4740" s="1">
        <v>14</v>
      </c>
      <c r="R4740" s="3">
        <v>0</v>
      </c>
      <c r="S4740" s="3">
        <v>1</v>
      </c>
    </row>
    <row r="4741" spans="1:82" x14ac:dyDescent="0.3">
      <c r="A4741" s="1" t="s">
        <v>67</v>
      </c>
      <c r="B4741" s="7">
        <v>40766</v>
      </c>
      <c r="C4741" s="1">
        <v>8</v>
      </c>
      <c r="D4741" s="1">
        <v>50</v>
      </c>
      <c r="E4741" s="1">
        <v>2</v>
      </c>
      <c r="F4741" s="1">
        <v>15</v>
      </c>
      <c r="L4741" s="1">
        <v>1</v>
      </c>
      <c r="AA4741" s="1">
        <v>1</v>
      </c>
    </row>
    <row r="4742" spans="1:82" x14ac:dyDescent="0.3">
      <c r="A4742" s="1" t="s">
        <v>67</v>
      </c>
      <c r="B4742" s="7">
        <v>40766</v>
      </c>
      <c r="C4742" s="1">
        <v>8</v>
      </c>
      <c r="D4742" s="1">
        <v>50</v>
      </c>
      <c r="E4742" s="1">
        <v>2</v>
      </c>
      <c r="F4742" s="1">
        <v>16</v>
      </c>
      <c r="R4742" s="3">
        <v>0</v>
      </c>
      <c r="S4742" s="3">
        <v>1</v>
      </c>
    </row>
    <row r="4743" spans="1:82" x14ac:dyDescent="0.3">
      <c r="A4743" s="1" t="s">
        <v>67</v>
      </c>
      <c r="B4743" s="7">
        <v>40766</v>
      </c>
      <c r="C4743" s="1">
        <v>8</v>
      </c>
      <c r="D4743" s="1">
        <v>50</v>
      </c>
      <c r="E4743" s="1">
        <v>2</v>
      </c>
      <c r="F4743" s="1">
        <v>17</v>
      </c>
      <c r="L4743" s="1">
        <v>1</v>
      </c>
      <c r="BG4743" s="1">
        <v>1</v>
      </c>
    </row>
    <row r="4744" spans="1:82" x14ac:dyDescent="0.3">
      <c r="A4744" s="1" t="s">
        <v>67</v>
      </c>
      <c r="B4744" s="7">
        <v>40766</v>
      </c>
      <c r="C4744" s="1">
        <v>8</v>
      </c>
      <c r="D4744" s="1">
        <v>50</v>
      </c>
      <c r="E4744" s="1">
        <v>2</v>
      </c>
      <c r="F4744" s="1">
        <v>18</v>
      </c>
      <c r="L4744" s="1">
        <v>1</v>
      </c>
      <c r="CD4744" s="1">
        <v>1</v>
      </c>
    </row>
    <row r="4745" spans="1:82" x14ac:dyDescent="0.3">
      <c r="A4745" s="1" t="s">
        <v>67</v>
      </c>
      <c r="B4745" s="7">
        <v>40766</v>
      </c>
      <c r="C4745" s="1">
        <v>8</v>
      </c>
      <c r="D4745" s="1">
        <v>50</v>
      </c>
      <c r="E4745" s="1">
        <v>2</v>
      </c>
      <c r="F4745" s="1">
        <v>19</v>
      </c>
      <c r="L4745" s="1">
        <v>1</v>
      </c>
      <c r="AD4745" s="1">
        <v>1</v>
      </c>
    </row>
    <row r="4746" spans="1:82" x14ac:dyDescent="0.3">
      <c r="A4746" s="1" t="s">
        <v>67</v>
      </c>
      <c r="B4746" s="7">
        <v>40766</v>
      </c>
      <c r="C4746" s="1">
        <v>8</v>
      </c>
      <c r="D4746" s="1">
        <v>50</v>
      </c>
      <c r="E4746" s="1">
        <v>2</v>
      </c>
      <c r="F4746" s="1">
        <v>20</v>
      </c>
      <c r="R4746" s="1">
        <v>1</v>
      </c>
      <c r="AI4746" s="3">
        <v>0</v>
      </c>
      <c r="AJ4746" s="3">
        <v>1</v>
      </c>
    </row>
    <row r="4747" spans="1:82" x14ac:dyDescent="0.3">
      <c r="A4747" s="1" t="s">
        <v>67</v>
      </c>
      <c r="B4747" s="7">
        <v>40766</v>
      </c>
      <c r="C4747" s="1">
        <v>8</v>
      </c>
      <c r="D4747" s="1">
        <v>50</v>
      </c>
      <c r="E4747" s="1">
        <v>2</v>
      </c>
      <c r="F4747" s="1">
        <v>21</v>
      </c>
      <c r="AA4747" s="1">
        <v>1</v>
      </c>
    </row>
    <row r="4748" spans="1:82" x14ac:dyDescent="0.3">
      <c r="A4748" s="1" t="s">
        <v>67</v>
      </c>
      <c r="B4748" s="7">
        <v>40766</v>
      </c>
      <c r="C4748" s="1">
        <v>8</v>
      </c>
      <c r="D4748" s="1">
        <v>50</v>
      </c>
      <c r="E4748" s="1">
        <v>2</v>
      </c>
      <c r="F4748" s="1">
        <v>22</v>
      </c>
      <c r="L4748" s="1">
        <v>1</v>
      </c>
      <c r="AA4748" s="1">
        <v>1</v>
      </c>
    </row>
    <row r="4749" spans="1:82" x14ac:dyDescent="0.3">
      <c r="A4749" s="1" t="s">
        <v>67</v>
      </c>
      <c r="B4749" s="7">
        <v>40766</v>
      </c>
      <c r="C4749" s="1">
        <v>8</v>
      </c>
      <c r="D4749" s="1">
        <v>50</v>
      </c>
      <c r="E4749" s="1">
        <v>2</v>
      </c>
      <c r="F4749" s="1">
        <v>23</v>
      </c>
      <c r="L4749" s="1">
        <v>1</v>
      </c>
      <c r="R4749" s="3">
        <v>0</v>
      </c>
      <c r="S4749" s="3">
        <v>1</v>
      </c>
      <c r="AA4749" s="1">
        <v>1</v>
      </c>
    </row>
    <row r="4750" spans="1:82" x14ac:dyDescent="0.3">
      <c r="A4750" s="1" t="s">
        <v>67</v>
      </c>
      <c r="B4750" s="7">
        <v>40766</v>
      </c>
      <c r="C4750" s="1">
        <v>8</v>
      </c>
      <c r="D4750" s="1">
        <v>50</v>
      </c>
      <c r="E4750" s="1">
        <v>2</v>
      </c>
      <c r="F4750" s="1">
        <v>24</v>
      </c>
      <c r="L4750" s="1">
        <v>1</v>
      </c>
      <c r="AA4750" s="1">
        <v>1</v>
      </c>
    </row>
    <row r="4751" spans="1:82" x14ac:dyDescent="0.3">
      <c r="A4751" s="1" t="s">
        <v>67</v>
      </c>
      <c r="B4751" s="7">
        <v>40766</v>
      </c>
      <c r="C4751" s="1">
        <v>8</v>
      </c>
      <c r="D4751" s="1">
        <v>50</v>
      </c>
      <c r="E4751" s="1">
        <v>2</v>
      </c>
      <c r="F4751" s="1">
        <v>25</v>
      </c>
      <c r="R4751" s="3">
        <v>0</v>
      </c>
      <c r="S4751" s="3">
        <v>1</v>
      </c>
    </row>
    <row r="4752" spans="1:82" x14ac:dyDescent="0.3">
      <c r="A4752" s="1" t="s">
        <v>67</v>
      </c>
      <c r="B4752" s="7">
        <v>40766</v>
      </c>
      <c r="C4752" s="1">
        <v>8</v>
      </c>
      <c r="D4752" s="1">
        <v>50</v>
      </c>
      <c r="E4752" s="1">
        <v>2</v>
      </c>
      <c r="F4752" s="1">
        <v>26</v>
      </c>
      <c r="L4752" s="1">
        <v>1</v>
      </c>
      <c r="R4752" s="1">
        <v>1</v>
      </c>
    </row>
    <row r="4753" spans="1:83" x14ac:dyDescent="0.3">
      <c r="A4753" s="1" t="s">
        <v>67</v>
      </c>
      <c r="B4753" s="7">
        <v>40766</v>
      </c>
      <c r="C4753" s="1">
        <v>8</v>
      </c>
      <c r="D4753" s="1">
        <v>50</v>
      </c>
      <c r="E4753" s="1">
        <v>2</v>
      </c>
      <c r="F4753" s="1">
        <v>27</v>
      </c>
      <c r="L4753" s="1">
        <v>1</v>
      </c>
      <c r="BC4753" s="1">
        <v>1</v>
      </c>
    </row>
    <row r="4754" spans="1:83" x14ac:dyDescent="0.3">
      <c r="A4754" s="1" t="s">
        <v>67</v>
      </c>
      <c r="B4754" s="7">
        <v>40766</v>
      </c>
      <c r="C4754" s="1">
        <v>8</v>
      </c>
      <c r="D4754" s="1">
        <v>50</v>
      </c>
      <c r="E4754" s="1">
        <v>2</v>
      </c>
      <c r="F4754" s="1">
        <v>28</v>
      </c>
      <c r="L4754" s="1">
        <v>1</v>
      </c>
      <c r="AS4754" s="1">
        <v>1</v>
      </c>
    </row>
    <row r="4755" spans="1:83" x14ac:dyDescent="0.3">
      <c r="A4755" s="1" t="s">
        <v>67</v>
      </c>
      <c r="B4755" s="7">
        <v>40766</v>
      </c>
      <c r="C4755" s="1">
        <v>8</v>
      </c>
      <c r="D4755" s="1">
        <v>50</v>
      </c>
      <c r="E4755" s="1">
        <v>2</v>
      </c>
      <c r="F4755" s="1">
        <v>29</v>
      </c>
      <c r="CE4755" s="1">
        <v>1</v>
      </c>
    </row>
    <row r="4756" spans="1:83" x14ac:dyDescent="0.3">
      <c r="A4756" s="1" t="s">
        <v>67</v>
      </c>
      <c r="B4756" s="7">
        <v>40766</v>
      </c>
      <c r="C4756" s="1">
        <v>8</v>
      </c>
      <c r="D4756" s="1">
        <v>50</v>
      </c>
      <c r="E4756" s="1">
        <v>2</v>
      </c>
      <c r="F4756" s="1">
        <v>30</v>
      </c>
      <c r="L4756" s="1">
        <v>1</v>
      </c>
      <c r="R4756" s="3">
        <v>0</v>
      </c>
      <c r="S4756" s="3">
        <v>1</v>
      </c>
      <c r="AF4756" s="1">
        <v>1</v>
      </c>
    </row>
    <row r="4757" spans="1:83" x14ac:dyDescent="0.3">
      <c r="A4757" s="1" t="s">
        <v>67</v>
      </c>
      <c r="B4757" s="7">
        <v>40766</v>
      </c>
      <c r="C4757" s="1">
        <v>8</v>
      </c>
      <c r="D4757" s="1">
        <v>50</v>
      </c>
      <c r="E4757" s="1">
        <v>2</v>
      </c>
      <c r="F4757" s="1">
        <v>31</v>
      </c>
      <c r="AA4757" s="1">
        <v>1</v>
      </c>
      <c r="AS4757" s="1">
        <v>1</v>
      </c>
    </row>
    <row r="4758" spans="1:83" x14ac:dyDescent="0.3">
      <c r="A4758" s="1" t="s">
        <v>67</v>
      </c>
      <c r="B4758" s="7">
        <v>40766</v>
      </c>
      <c r="C4758" s="1">
        <v>8</v>
      </c>
      <c r="D4758" s="1">
        <v>50</v>
      </c>
      <c r="E4758" s="1">
        <v>2</v>
      </c>
      <c r="F4758" s="1">
        <v>32</v>
      </c>
      <c r="R4758" s="1">
        <v>1</v>
      </c>
      <c r="AA4758" s="1">
        <v>1</v>
      </c>
    </row>
    <row r="4759" spans="1:83" x14ac:dyDescent="0.3">
      <c r="A4759" s="1" t="s">
        <v>67</v>
      </c>
      <c r="B4759" s="7">
        <v>40766</v>
      </c>
      <c r="C4759" s="1">
        <v>8</v>
      </c>
      <c r="D4759" s="1">
        <v>50</v>
      </c>
      <c r="E4759" s="1">
        <v>2</v>
      </c>
      <c r="F4759" s="1">
        <v>33</v>
      </c>
      <c r="R4759" s="1">
        <v>1</v>
      </c>
      <c r="AA4759" s="1">
        <v>1</v>
      </c>
      <c r="BC4759" s="1">
        <v>1</v>
      </c>
    </row>
    <row r="4760" spans="1:83" x14ac:dyDescent="0.3">
      <c r="A4760" s="1" t="s">
        <v>67</v>
      </c>
      <c r="B4760" s="7">
        <v>40766</v>
      </c>
      <c r="C4760" s="1">
        <v>8</v>
      </c>
      <c r="D4760" s="1">
        <v>50</v>
      </c>
      <c r="E4760" s="1">
        <v>2</v>
      </c>
      <c r="F4760" s="1">
        <v>34</v>
      </c>
      <c r="R4760" s="3">
        <v>0</v>
      </c>
      <c r="S4760" s="3">
        <v>1</v>
      </c>
      <c r="AA4760" s="1">
        <v>1</v>
      </c>
      <c r="AF4760" s="1">
        <v>1</v>
      </c>
    </row>
    <row r="4761" spans="1:83" x14ac:dyDescent="0.3">
      <c r="A4761" s="1" t="s">
        <v>67</v>
      </c>
      <c r="B4761" s="7">
        <v>40766</v>
      </c>
      <c r="C4761" s="1">
        <v>8</v>
      </c>
      <c r="D4761" s="1">
        <v>50</v>
      </c>
      <c r="E4761" s="1">
        <v>2</v>
      </c>
      <c r="F4761" s="1">
        <v>35</v>
      </c>
      <c r="R4761" s="1">
        <v>1</v>
      </c>
      <c r="AA4761" s="1">
        <v>1</v>
      </c>
    </row>
    <row r="4762" spans="1:83" x14ac:dyDescent="0.3">
      <c r="A4762" s="1" t="s">
        <v>67</v>
      </c>
      <c r="B4762" s="7">
        <v>40766</v>
      </c>
      <c r="C4762" s="1">
        <v>8</v>
      </c>
      <c r="D4762" s="1">
        <v>50</v>
      </c>
      <c r="E4762" s="1">
        <v>2</v>
      </c>
      <c r="F4762" s="1">
        <v>36</v>
      </c>
      <c r="L4762" s="1">
        <v>1</v>
      </c>
      <c r="R4762" s="1">
        <v>1</v>
      </c>
    </row>
    <row r="4763" spans="1:83" x14ac:dyDescent="0.3">
      <c r="A4763" s="1" t="s">
        <v>67</v>
      </c>
      <c r="B4763" s="7">
        <v>40766</v>
      </c>
      <c r="C4763" s="1">
        <v>8</v>
      </c>
      <c r="D4763" s="1">
        <v>50</v>
      </c>
      <c r="E4763" s="1">
        <v>2</v>
      </c>
      <c r="F4763" s="1">
        <v>37</v>
      </c>
      <c r="I4763" s="1">
        <v>1</v>
      </c>
      <c r="AO4763" s="1">
        <v>1</v>
      </c>
    </row>
    <row r="4764" spans="1:83" x14ac:dyDescent="0.3">
      <c r="A4764" s="1" t="s">
        <v>67</v>
      </c>
      <c r="B4764" s="7">
        <v>40766</v>
      </c>
      <c r="C4764" s="1">
        <v>8</v>
      </c>
      <c r="D4764" s="1">
        <v>50</v>
      </c>
      <c r="E4764" s="1">
        <v>2</v>
      </c>
      <c r="F4764" s="1">
        <v>38</v>
      </c>
      <c r="R4764" s="3">
        <v>0</v>
      </c>
      <c r="S4764" s="3">
        <v>1</v>
      </c>
      <c r="AO4764" s="1">
        <v>1</v>
      </c>
      <c r="AU4764" s="1">
        <v>1</v>
      </c>
    </row>
    <row r="4765" spans="1:83" x14ac:dyDescent="0.3">
      <c r="A4765" s="1" t="s">
        <v>67</v>
      </c>
      <c r="B4765" s="7">
        <v>40766</v>
      </c>
      <c r="C4765" s="1">
        <v>8</v>
      </c>
      <c r="D4765" s="1">
        <v>50</v>
      </c>
      <c r="E4765" s="1">
        <v>2</v>
      </c>
      <c r="F4765" s="1">
        <v>39</v>
      </c>
      <c r="H4765" s="1">
        <v>1</v>
      </c>
      <c r="L4765" s="1">
        <v>1</v>
      </c>
      <c r="AS4765" s="1">
        <v>1</v>
      </c>
    </row>
    <row r="4766" spans="1:83" x14ac:dyDescent="0.3">
      <c r="A4766" s="1" t="s">
        <v>67</v>
      </c>
      <c r="B4766" s="7">
        <v>40766</v>
      </c>
      <c r="C4766" s="1">
        <v>8</v>
      </c>
      <c r="D4766" s="1">
        <v>50</v>
      </c>
      <c r="E4766" s="1">
        <v>2</v>
      </c>
      <c r="F4766" s="1">
        <v>40</v>
      </c>
      <c r="L4766" s="1">
        <v>1</v>
      </c>
      <c r="R4766" s="1">
        <v>1</v>
      </c>
      <c r="AF4766" s="1">
        <v>1</v>
      </c>
    </row>
    <row r="4767" spans="1:83" x14ac:dyDescent="0.3">
      <c r="A4767" s="1" t="s">
        <v>67</v>
      </c>
      <c r="B4767" s="7">
        <v>40766</v>
      </c>
      <c r="C4767" s="1">
        <v>8</v>
      </c>
      <c r="D4767" s="1">
        <v>50</v>
      </c>
      <c r="E4767" s="1">
        <v>2</v>
      </c>
      <c r="F4767" s="1">
        <v>41</v>
      </c>
      <c r="L4767" s="1">
        <v>1</v>
      </c>
      <c r="AA4767" s="1">
        <v>1</v>
      </c>
    </row>
    <row r="4768" spans="1:83" x14ac:dyDescent="0.3">
      <c r="A4768" s="1" t="s">
        <v>67</v>
      </c>
      <c r="B4768" s="7">
        <v>40766</v>
      </c>
      <c r="C4768" s="1">
        <v>8</v>
      </c>
      <c r="D4768" s="1">
        <v>50</v>
      </c>
      <c r="E4768" s="1">
        <v>2</v>
      </c>
      <c r="F4768" s="1">
        <v>42</v>
      </c>
      <c r="H4768" s="1">
        <v>1</v>
      </c>
      <c r="R4768" s="1">
        <v>1</v>
      </c>
    </row>
    <row r="4769" spans="1:73" x14ac:dyDescent="0.3">
      <c r="A4769" s="1" t="s">
        <v>67</v>
      </c>
      <c r="B4769" s="7">
        <v>40766</v>
      </c>
      <c r="C4769" s="1">
        <v>8</v>
      </c>
      <c r="D4769" s="1">
        <v>50</v>
      </c>
      <c r="E4769" s="1">
        <v>2</v>
      </c>
      <c r="F4769" s="1">
        <v>43</v>
      </c>
      <c r="R4769" s="3">
        <v>0</v>
      </c>
      <c r="S4769" s="3">
        <v>1</v>
      </c>
    </row>
    <row r="4770" spans="1:73" x14ac:dyDescent="0.3">
      <c r="A4770" s="1" t="s">
        <v>67</v>
      </c>
      <c r="B4770" s="7">
        <v>40766</v>
      </c>
      <c r="C4770" s="1">
        <v>8</v>
      </c>
      <c r="D4770" s="1">
        <v>50</v>
      </c>
      <c r="E4770" s="1">
        <v>2</v>
      </c>
      <c r="F4770" s="1">
        <v>44</v>
      </c>
      <c r="R4770" s="3">
        <v>0</v>
      </c>
      <c r="S4770" s="3">
        <v>1</v>
      </c>
      <c r="AF4770" s="1">
        <v>1</v>
      </c>
    </row>
    <row r="4771" spans="1:73" x14ac:dyDescent="0.3">
      <c r="A4771" s="1" t="s">
        <v>67</v>
      </c>
      <c r="B4771" s="7">
        <v>40766</v>
      </c>
      <c r="C4771" s="1">
        <v>8</v>
      </c>
      <c r="D4771" s="1">
        <v>50</v>
      </c>
      <c r="E4771" s="1">
        <v>2</v>
      </c>
      <c r="F4771" s="1">
        <v>45</v>
      </c>
      <c r="L4771" s="1">
        <v>1</v>
      </c>
      <c r="R4771" s="3">
        <v>0</v>
      </c>
      <c r="S4771" s="3">
        <v>1</v>
      </c>
    </row>
    <row r="4772" spans="1:73" x14ac:dyDescent="0.3">
      <c r="A4772" s="1" t="s">
        <v>67</v>
      </c>
      <c r="B4772" s="7">
        <v>40766</v>
      </c>
      <c r="C4772" s="1">
        <v>8</v>
      </c>
      <c r="D4772" s="1">
        <v>50</v>
      </c>
      <c r="E4772" s="1">
        <v>2</v>
      </c>
      <c r="F4772" s="1">
        <v>46</v>
      </c>
      <c r="R4772" s="1">
        <v>1</v>
      </c>
      <c r="AB4772" s="1">
        <v>1</v>
      </c>
    </row>
    <row r="4773" spans="1:73" x14ac:dyDescent="0.3">
      <c r="A4773" s="1" t="s">
        <v>67</v>
      </c>
      <c r="B4773" s="7">
        <v>40766</v>
      </c>
      <c r="C4773" s="1">
        <v>8</v>
      </c>
      <c r="D4773" s="1">
        <v>50</v>
      </c>
      <c r="E4773" s="1">
        <v>2</v>
      </c>
      <c r="F4773" s="1">
        <v>47</v>
      </c>
      <c r="R4773" s="1">
        <v>1</v>
      </c>
      <c r="AB4773" s="1">
        <v>1</v>
      </c>
    </row>
    <row r="4774" spans="1:73" x14ac:dyDescent="0.3">
      <c r="A4774" s="1" t="s">
        <v>67</v>
      </c>
      <c r="B4774" s="7">
        <v>40766</v>
      </c>
      <c r="C4774" s="1">
        <v>8</v>
      </c>
      <c r="D4774" s="1">
        <v>50</v>
      </c>
      <c r="E4774" s="1">
        <v>2</v>
      </c>
      <c r="F4774" s="1">
        <v>48</v>
      </c>
      <c r="L4774" s="8">
        <v>1</v>
      </c>
      <c r="M4774" s="8"/>
      <c r="R4774" s="1">
        <v>1</v>
      </c>
    </row>
    <row r="4775" spans="1:73" x14ac:dyDescent="0.3">
      <c r="A4775" s="1" t="s">
        <v>67</v>
      </c>
      <c r="B4775" s="7">
        <v>40766</v>
      </c>
      <c r="C4775" s="1">
        <v>8</v>
      </c>
      <c r="D4775" s="1">
        <v>50</v>
      </c>
      <c r="E4775" s="1">
        <v>2</v>
      </c>
      <c r="F4775" s="1">
        <v>49</v>
      </c>
      <c r="L4775" s="1">
        <v>1</v>
      </c>
      <c r="AS4775" s="1">
        <v>1</v>
      </c>
    </row>
    <row r="4776" spans="1:73" x14ac:dyDescent="0.3">
      <c r="A4776" s="1" t="s">
        <v>67</v>
      </c>
      <c r="B4776" s="7">
        <v>40766</v>
      </c>
      <c r="C4776" s="1">
        <v>8</v>
      </c>
      <c r="D4776" s="1">
        <v>50</v>
      </c>
      <c r="E4776" s="1">
        <v>2</v>
      </c>
      <c r="F4776" s="1">
        <v>50</v>
      </c>
      <c r="R4776" s="1">
        <v>1</v>
      </c>
      <c r="AS4776" s="1">
        <v>1</v>
      </c>
      <c r="AU4776" s="1">
        <v>1</v>
      </c>
      <c r="BU4776" s="1">
        <v>1</v>
      </c>
    </row>
    <row r="4777" spans="1:73" x14ac:dyDescent="0.3">
      <c r="A4777" s="1" t="s">
        <v>67</v>
      </c>
      <c r="B4777" s="7">
        <v>40766</v>
      </c>
      <c r="C4777" s="1">
        <v>8</v>
      </c>
      <c r="D4777" s="1">
        <v>50</v>
      </c>
      <c r="E4777" s="1">
        <v>2</v>
      </c>
      <c r="F4777" s="1">
        <v>51</v>
      </c>
      <c r="L4777" s="1">
        <v>1</v>
      </c>
      <c r="AA4777" s="1">
        <v>1</v>
      </c>
    </row>
    <row r="4778" spans="1:73" x14ac:dyDescent="0.3">
      <c r="A4778" s="1" t="s">
        <v>67</v>
      </c>
      <c r="B4778" s="7">
        <v>40766</v>
      </c>
      <c r="C4778" s="1">
        <v>8</v>
      </c>
      <c r="D4778" s="1">
        <v>50</v>
      </c>
      <c r="E4778" s="1">
        <v>2</v>
      </c>
      <c r="F4778" s="1">
        <v>52</v>
      </c>
      <c r="R4778" s="1">
        <v>1</v>
      </c>
      <c r="AA4778" s="1">
        <v>1</v>
      </c>
    </row>
    <row r="4779" spans="1:73" x14ac:dyDescent="0.3">
      <c r="A4779" s="1" t="s">
        <v>67</v>
      </c>
      <c r="B4779" s="7">
        <v>40766</v>
      </c>
      <c r="C4779" s="1">
        <v>8</v>
      </c>
      <c r="D4779" s="1">
        <v>50</v>
      </c>
      <c r="E4779" s="1">
        <v>2</v>
      </c>
      <c r="F4779" s="1">
        <v>53</v>
      </c>
      <c r="L4779" s="1">
        <v>1</v>
      </c>
    </row>
    <row r="4780" spans="1:73" x14ac:dyDescent="0.3">
      <c r="A4780" s="1" t="s">
        <v>67</v>
      </c>
      <c r="B4780" s="7">
        <v>40766</v>
      </c>
      <c r="C4780" s="1">
        <v>8</v>
      </c>
      <c r="D4780" s="1">
        <v>50</v>
      </c>
      <c r="E4780" s="1">
        <v>2</v>
      </c>
      <c r="F4780" s="1">
        <v>54</v>
      </c>
      <c r="R4780" s="8">
        <v>1</v>
      </c>
      <c r="S4780" s="8"/>
    </row>
    <row r="4781" spans="1:73" x14ac:dyDescent="0.3">
      <c r="A4781" s="1" t="s">
        <v>67</v>
      </c>
      <c r="B4781" s="7">
        <v>40766</v>
      </c>
      <c r="C4781" s="1">
        <v>8</v>
      </c>
      <c r="D4781" s="1">
        <v>50</v>
      </c>
      <c r="E4781" s="1">
        <v>2</v>
      </c>
      <c r="F4781" s="1">
        <v>55</v>
      </c>
      <c r="R4781" s="3">
        <v>0</v>
      </c>
      <c r="S4781" s="3">
        <v>1</v>
      </c>
    </row>
    <row r="4782" spans="1:73" x14ac:dyDescent="0.3">
      <c r="A4782" s="1" t="s">
        <v>67</v>
      </c>
      <c r="B4782" s="7">
        <v>40766</v>
      </c>
      <c r="C4782" s="1">
        <v>8</v>
      </c>
      <c r="D4782" s="1">
        <v>50</v>
      </c>
      <c r="E4782" s="1">
        <v>2</v>
      </c>
      <c r="F4782" s="1">
        <v>56</v>
      </c>
      <c r="L4782" s="1">
        <v>1</v>
      </c>
      <c r="R4782" s="1">
        <v>1</v>
      </c>
    </row>
    <row r="4783" spans="1:73" x14ac:dyDescent="0.3">
      <c r="A4783" s="1" t="s">
        <v>67</v>
      </c>
      <c r="B4783" s="7">
        <v>40766</v>
      </c>
      <c r="C4783" s="1">
        <v>8</v>
      </c>
      <c r="D4783" s="1">
        <v>50</v>
      </c>
      <c r="E4783" s="1">
        <v>2</v>
      </c>
      <c r="F4783" s="1">
        <v>57</v>
      </c>
      <c r="R4783" s="1">
        <v>1</v>
      </c>
    </row>
    <row r="4784" spans="1:73" x14ac:dyDescent="0.3">
      <c r="A4784" s="1" t="s">
        <v>67</v>
      </c>
      <c r="B4784" s="7">
        <v>40766</v>
      </c>
      <c r="C4784" s="1">
        <v>8</v>
      </c>
      <c r="D4784" s="1">
        <v>50</v>
      </c>
      <c r="E4784" s="1">
        <v>2</v>
      </c>
      <c r="F4784" s="1">
        <v>58</v>
      </c>
      <c r="H4784" s="1">
        <v>1</v>
      </c>
      <c r="R4784" s="1">
        <v>1</v>
      </c>
    </row>
    <row r="4785" spans="1:73" x14ac:dyDescent="0.3">
      <c r="A4785" s="1" t="s">
        <v>67</v>
      </c>
      <c r="B4785" s="7">
        <v>40766</v>
      </c>
      <c r="C4785" s="1">
        <v>8</v>
      </c>
      <c r="D4785" s="1">
        <v>50</v>
      </c>
      <c r="E4785" s="1">
        <v>2</v>
      </c>
      <c r="F4785" s="1">
        <v>59</v>
      </c>
      <c r="R4785" s="1">
        <v>1</v>
      </c>
      <c r="AD4785" s="1">
        <v>1</v>
      </c>
    </row>
    <row r="4786" spans="1:73" x14ac:dyDescent="0.3">
      <c r="A4786" s="1" t="s">
        <v>67</v>
      </c>
      <c r="B4786" s="7">
        <v>40766</v>
      </c>
      <c r="C4786" s="1">
        <v>8</v>
      </c>
      <c r="D4786" s="1">
        <v>50</v>
      </c>
      <c r="E4786" s="1">
        <v>2</v>
      </c>
      <c r="F4786" s="1">
        <v>60</v>
      </c>
      <c r="L4786" s="1">
        <v>1</v>
      </c>
      <c r="R4786" s="1">
        <v>1</v>
      </c>
      <c r="AS4786" s="1">
        <v>1</v>
      </c>
    </row>
    <row r="4787" spans="1:73" x14ac:dyDescent="0.3">
      <c r="A4787" s="1" t="s">
        <v>67</v>
      </c>
      <c r="B4787" s="7">
        <v>40766</v>
      </c>
      <c r="C4787" s="1">
        <v>8</v>
      </c>
      <c r="D4787" s="1">
        <v>50</v>
      </c>
      <c r="E4787" s="1">
        <v>2</v>
      </c>
      <c r="F4787" s="1">
        <v>61</v>
      </c>
      <c r="L4787" s="1">
        <v>1</v>
      </c>
      <c r="R4787" s="3">
        <v>0</v>
      </c>
      <c r="S4787" s="3">
        <v>1</v>
      </c>
    </row>
    <row r="4788" spans="1:73" x14ac:dyDescent="0.3">
      <c r="A4788" s="1" t="s">
        <v>67</v>
      </c>
      <c r="B4788" s="7">
        <v>40766</v>
      </c>
      <c r="C4788" s="1">
        <v>8</v>
      </c>
      <c r="D4788" s="1">
        <v>50</v>
      </c>
      <c r="E4788" s="1">
        <v>2</v>
      </c>
      <c r="F4788" s="1">
        <v>62</v>
      </c>
      <c r="L4788" s="1">
        <v>1</v>
      </c>
      <c r="R4788" s="1">
        <v>1</v>
      </c>
    </row>
    <row r="4789" spans="1:73" x14ac:dyDescent="0.3">
      <c r="A4789" s="1" t="s">
        <v>67</v>
      </c>
      <c r="B4789" s="7">
        <v>40766</v>
      </c>
      <c r="C4789" s="1">
        <v>8</v>
      </c>
      <c r="D4789" s="1">
        <v>50</v>
      </c>
      <c r="E4789" s="1">
        <v>2</v>
      </c>
      <c r="F4789" s="1">
        <v>63</v>
      </c>
      <c r="L4789" s="1">
        <v>1</v>
      </c>
      <c r="R4789" s="1">
        <v>1</v>
      </c>
    </row>
    <row r="4790" spans="1:73" x14ac:dyDescent="0.3">
      <c r="A4790" s="1" t="s">
        <v>67</v>
      </c>
      <c r="B4790" s="7">
        <v>40766</v>
      </c>
      <c r="C4790" s="1">
        <v>8</v>
      </c>
      <c r="D4790" s="1">
        <v>50</v>
      </c>
      <c r="E4790" s="1">
        <v>2</v>
      </c>
      <c r="F4790" s="1">
        <v>64</v>
      </c>
      <c r="L4790" s="1">
        <v>1</v>
      </c>
      <c r="R4790" s="1">
        <v>1</v>
      </c>
    </row>
    <row r="4791" spans="1:73" x14ac:dyDescent="0.3">
      <c r="A4791" s="1" t="s">
        <v>67</v>
      </c>
      <c r="B4791" s="7">
        <v>40766</v>
      </c>
      <c r="C4791" s="1">
        <v>8</v>
      </c>
      <c r="D4791" s="1">
        <v>50</v>
      </c>
      <c r="E4791" s="1">
        <v>2</v>
      </c>
      <c r="F4791" s="1">
        <v>65</v>
      </c>
      <c r="R4791" s="1">
        <v>1</v>
      </c>
    </row>
    <row r="4792" spans="1:73" x14ac:dyDescent="0.3">
      <c r="A4792" s="1" t="s">
        <v>67</v>
      </c>
      <c r="B4792" s="7">
        <v>40766</v>
      </c>
      <c r="C4792" s="1">
        <v>8</v>
      </c>
      <c r="D4792" s="1">
        <v>50</v>
      </c>
      <c r="E4792" s="1">
        <v>2</v>
      </c>
      <c r="F4792" s="1">
        <v>66</v>
      </c>
      <c r="R4792" s="1">
        <v>1</v>
      </c>
      <c r="BC4792" s="1">
        <v>1</v>
      </c>
    </row>
    <row r="4793" spans="1:73" x14ac:dyDescent="0.3">
      <c r="A4793" s="1" t="s">
        <v>67</v>
      </c>
      <c r="B4793" s="7">
        <v>40766</v>
      </c>
      <c r="C4793" s="1">
        <v>8</v>
      </c>
      <c r="D4793" s="1">
        <v>50</v>
      </c>
      <c r="E4793" s="1">
        <v>2</v>
      </c>
      <c r="F4793" s="1">
        <v>67</v>
      </c>
      <c r="L4793" s="1">
        <v>1</v>
      </c>
      <c r="R4793" s="3">
        <v>0</v>
      </c>
      <c r="S4793" s="3">
        <v>1</v>
      </c>
      <c r="AS4793" s="1">
        <v>1</v>
      </c>
    </row>
    <row r="4794" spans="1:73" x14ac:dyDescent="0.3">
      <c r="A4794" s="1" t="s">
        <v>67</v>
      </c>
      <c r="B4794" s="7">
        <v>40766</v>
      </c>
      <c r="C4794" s="1">
        <v>8</v>
      </c>
      <c r="D4794" s="1">
        <v>50</v>
      </c>
      <c r="E4794" s="1">
        <v>2</v>
      </c>
      <c r="F4794" s="1">
        <v>68</v>
      </c>
      <c r="L4794" s="1">
        <v>1</v>
      </c>
      <c r="R4794" s="1">
        <v>1</v>
      </c>
      <c r="BU4794" s="1">
        <v>1</v>
      </c>
    </row>
    <row r="4795" spans="1:73" x14ac:dyDescent="0.3">
      <c r="A4795" s="1" t="s">
        <v>67</v>
      </c>
      <c r="B4795" s="7">
        <v>40766</v>
      </c>
      <c r="C4795" s="1">
        <v>8</v>
      </c>
      <c r="D4795" s="1">
        <v>50</v>
      </c>
      <c r="E4795" s="1">
        <v>2</v>
      </c>
      <c r="F4795" s="1">
        <v>69</v>
      </c>
      <c r="L4795" s="1">
        <v>1</v>
      </c>
      <c r="R4795" s="1">
        <v>1</v>
      </c>
      <c r="BC4795" s="1">
        <v>1</v>
      </c>
    </row>
    <row r="4796" spans="1:73" x14ac:dyDescent="0.3">
      <c r="A4796" s="1" t="s">
        <v>67</v>
      </c>
      <c r="B4796" s="7">
        <v>40766</v>
      </c>
      <c r="C4796" s="1">
        <v>8</v>
      </c>
      <c r="D4796" s="1">
        <v>50</v>
      </c>
      <c r="E4796" s="1">
        <v>2</v>
      </c>
      <c r="F4796" s="1">
        <v>70</v>
      </c>
      <c r="R4796" s="3">
        <v>0</v>
      </c>
      <c r="S4796" s="3">
        <v>1</v>
      </c>
      <c r="AF4796" s="1">
        <v>1</v>
      </c>
      <c r="AS4796" s="1">
        <v>1</v>
      </c>
    </row>
    <row r="4797" spans="1:73" x14ac:dyDescent="0.3">
      <c r="A4797" s="1" t="s">
        <v>67</v>
      </c>
      <c r="B4797" s="7">
        <v>40766</v>
      </c>
      <c r="C4797" s="1">
        <v>8</v>
      </c>
      <c r="D4797" s="1">
        <v>50</v>
      </c>
      <c r="E4797" s="1">
        <v>2</v>
      </c>
      <c r="F4797" s="1">
        <v>71</v>
      </c>
      <c r="L4797" s="8">
        <v>1</v>
      </c>
      <c r="M4797" s="8"/>
    </row>
    <row r="4798" spans="1:73" x14ac:dyDescent="0.3">
      <c r="A4798" s="1" t="s">
        <v>67</v>
      </c>
      <c r="B4798" s="7">
        <v>40766</v>
      </c>
      <c r="C4798" s="1">
        <v>8</v>
      </c>
      <c r="D4798" s="1">
        <v>50</v>
      </c>
      <c r="E4798" s="1">
        <v>2</v>
      </c>
      <c r="F4798" s="1">
        <v>72</v>
      </c>
      <c r="L4798" s="1">
        <v>1</v>
      </c>
      <c r="R4798" s="3">
        <v>0</v>
      </c>
      <c r="S4798" s="3">
        <v>1</v>
      </c>
    </row>
    <row r="4799" spans="1:73" x14ac:dyDescent="0.3">
      <c r="A4799" s="1" t="s">
        <v>67</v>
      </c>
      <c r="B4799" s="7">
        <v>40766</v>
      </c>
      <c r="C4799" s="1">
        <v>8</v>
      </c>
      <c r="D4799" s="1">
        <v>50</v>
      </c>
      <c r="E4799" s="1">
        <v>2</v>
      </c>
      <c r="F4799" s="1">
        <v>73</v>
      </c>
      <c r="L4799" s="1">
        <v>1</v>
      </c>
      <c r="R4799" s="3">
        <v>0</v>
      </c>
      <c r="S4799" s="3">
        <v>1</v>
      </c>
    </row>
    <row r="4800" spans="1:73" x14ac:dyDescent="0.3">
      <c r="A4800" s="1" t="s">
        <v>67</v>
      </c>
      <c r="B4800" s="7">
        <v>40766</v>
      </c>
      <c r="C4800" s="1">
        <v>8</v>
      </c>
      <c r="D4800" s="1">
        <v>50</v>
      </c>
      <c r="E4800" s="1">
        <v>2</v>
      </c>
      <c r="F4800" s="1">
        <v>74</v>
      </c>
      <c r="L4800" s="1">
        <v>1</v>
      </c>
      <c r="R4800" s="3">
        <v>0</v>
      </c>
      <c r="S4800" s="3">
        <v>1</v>
      </c>
    </row>
    <row r="4801" spans="1:68" x14ac:dyDescent="0.3">
      <c r="A4801" s="1" t="s">
        <v>67</v>
      </c>
      <c r="B4801" s="7">
        <v>40766</v>
      </c>
      <c r="C4801" s="1">
        <v>8</v>
      </c>
      <c r="D4801" s="1">
        <v>50</v>
      </c>
      <c r="E4801" s="1">
        <v>2</v>
      </c>
      <c r="F4801" s="1">
        <v>75</v>
      </c>
      <c r="L4801" s="1">
        <v>1</v>
      </c>
      <c r="R4801" s="1">
        <v>1</v>
      </c>
    </row>
    <row r="4802" spans="1:68" x14ac:dyDescent="0.3">
      <c r="A4802" s="1" t="s">
        <v>67</v>
      </c>
      <c r="B4802" s="7">
        <v>40766</v>
      </c>
      <c r="C4802" s="1">
        <v>8</v>
      </c>
      <c r="D4802" s="1">
        <v>50</v>
      </c>
      <c r="E4802" s="1">
        <v>2</v>
      </c>
      <c r="F4802" s="1">
        <v>76</v>
      </c>
      <c r="H4802" s="1">
        <v>1</v>
      </c>
      <c r="L4802" s="1">
        <v>1</v>
      </c>
    </row>
    <row r="4803" spans="1:68" x14ac:dyDescent="0.3">
      <c r="A4803" s="1" t="s">
        <v>67</v>
      </c>
      <c r="B4803" s="7">
        <v>40766</v>
      </c>
      <c r="C4803" s="1">
        <v>8</v>
      </c>
      <c r="D4803" s="1">
        <v>50</v>
      </c>
      <c r="E4803" s="1">
        <v>2</v>
      </c>
      <c r="F4803" s="1">
        <v>77</v>
      </c>
      <c r="L4803" s="1">
        <v>1</v>
      </c>
      <c r="R4803" s="3">
        <v>0</v>
      </c>
      <c r="S4803" s="3">
        <v>1</v>
      </c>
      <c r="AS4803" s="1">
        <v>1</v>
      </c>
    </row>
    <row r="4804" spans="1:68" x14ac:dyDescent="0.3">
      <c r="A4804" s="1" t="s">
        <v>67</v>
      </c>
      <c r="B4804" s="7">
        <v>40766</v>
      </c>
      <c r="C4804" s="1">
        <v>8</v>
      </c>
      <c r="D4804" s="1">
        <v>50</v>
      </c>
      <c r="E4804" s="1">
        <v>2</v>
      </c>
      <c r="F4804" s="1">
        <v>78</v>
      </c>
      <c r="R4804" s="1">
        <v>1</v>
      </c>
      <c r="AI4804" s="3">
        <v>0</v>
      </c>
      <c r="AJ4804" s="3">
        <v>1</v>
      </c>
    </row>
    <row r="4805" spans="1:68" x14ac:dyDescent="0.3">
      <c r="A4805" s="1" t="s">
        <v>67</v>
      </c>
      <c r="B4805" s="7">
        <v>40766</v>
      </c>
      <c r="C4805" s="1">
        <v>8</v>
      </c>
      <c r="D4805" s="1">
        <v>50</v>
      </c>
      <c r="E4805" s="1">
        <v>2</v>
      </c>
      <c r="F4805" s="1">
        <v>79</v>
      </c>
      <c r="L4805" s="1">
        <v>1</v>
      </c>
      <c r="BG4805" s="1">
        <v>1</v>
      </c>
    </row>
    <row r="4806" spans="1:68" x14ac:dyDescent="0.3">
      <c r="A4806" s="1" t="s">
        <v>67</v>
      </c>
      <c r="B4806" s="7">
        <v>40766</v>
      </c>
      <c r="C4806" s="1">
        <v>8</v>
      </c>
      <c r="D4806" s="1">
        <v>50</v>
      </c>
      <c r="E4806" s="1">
        <v>2</v>
      </c>
      <c r="F4806" s="1">
        <v>80</v>
      </c>
      <c r="AU4806" s="1">
        <v>1</v>
      </c>
      <c r="BE4806" s="1">
        <v>1</v>
      </c>
    </row>
    <row r="4807" spans="1:68" x14ac:dyDescent="0.3">
      <c r="A4807" s="1" t="s">
        <v>67</v>
      </c>
      <c r="B4807" s="7">
        <v>40766</v>
      </c>
      <c r="C4807" s="1">
        <v>8</v>
      </c>
      <c r="D4807" s="1">
        <v>50</v>
      </c>
      <c r="E4807" s="1">
        <v>2</v>
      </c>
      <c r="F4807" s="1">
        <v>81</v>
      </c>
      <c r="L4807" s="1">
        <v>1</v>
      </c>
      <c r="AA4807" s="1">
        <v>1</v>
      </c>
    </row>
    <row r="4808" spans="1:68" x14ac:dyDescent="0.3">
      <c r="A4808" s="1" t="s">
        <v>67</v>
      </c>
      <c r="B4808" s="7">
        <v>40766</v>
      </c>
      <c r="C4808" s="1">
        <v>8</v>
      </c>
      <c r="D4808" s="1">
        <v>50</v>
      </c>
      <c r="E4808" s="1">
        <v>2</v>
      </c>
      <c r="F4808" s="1">
        <v>82</v>
      </c>
      <c r="L4808" s="1">
        <v>1</v>
      </c>
      <c r="AA4808" s="1">
        <v>1</v>
      </c>
    </row>
    <row r="4809" spans="1:68" x14ac:dyDescent="0.3">
      <c r="A4809" s="1" t="s">
        <v>67</v>
      </c>
      <c r="B4809" s="7">
        <v>40766</v>
      </c>
      <c r="C4809" s="1">
        <v>8</v>
      </c>
      <c r="D4809" s="1">
        <v>50</v>
      </c>
      <c r="E4809" s="1">
        <v>2</v>
      </c>
      <c r="F4809" s="1">
        <v>83</v>
      </c>
      <c r="R4809" s="3">
        <v>0</v>
      </c>
      <c r="S4809" s="3">
        <v>1</v>
      </c>
    </row>
    <row r="4810" spans="1:68" x14ac:dyDescent="0.3">
      <c r="A4810" s="1" t="s">
        <v>67</v>
      </c>
      <c r="B4810" s="7">
        <v>40766</v>
      </c>
      <c r="C4810" s="1">
        <v>8</v>
      </c>
      <c r="D4810" s="1">
        <v>50</v>
      </c>
      <c r="E4810" s="1">
        <v>2</v>
      </c>
      <c r="F4810" s="1">
        <v>84</v>
      </c>
      <c r="L4810" s="1">
        <v>1</v>
      </c>
    </row>
    <row r="4811" spans="1:68" x14ac:dyDescent="0.3">
      <c r="A4811" s="1" t="s">
        <v>67</v>
      </c>
      <c r="B4811" s="7">
        <v>40766</v>
      </c>
      <c r="C4811" s="1">
        <v>8</v>
      </c>
      <c r="D4811" s="1">
        <v>50</v>
      </c>
      <c r="E4811" s="1">
        <v>2</v>
      </c>
      <c r="F4811" s="1">
        <v>85</v>
      </c>
      <c r="R4811" s="1">
        <v>1</v>
      </c>
      <c r="AO4811" s="1">
        <v>1</v>
      </c>
      <c r="BP4811" s="1">
        <v>1</v>
      </c>
    </row>
    <row r="4812" spans="1:68" x14ac:dyDescent="0.3">
      <c r="A4812" s="1" t="s">
        <v>67</v>
      </c>
      <c r="B4812" s="7">
        <v>40766</v>
      </c>
      <c r="C4812" s="1">
        <v>8</v>
      </c>
      <c r="D4812" s="1">
        <v>50</v>
      </c>
      <c r="E4812" s="1">
        <v>2</v>
      </c>
      <c r="F4812" s="1">
        <v>86</v>
      </c>
      <c r="R4812" s="3">
        <v>0</v>
      </c>
      <c r="S4812" s="3">
        <v>1</v>
      </c>
    </row>
    <row r="4813" spans="1:68" x14ac:dyDescent="0.3">
      <c r="A4813" s="1" t="s">
        <v>67</v>
      </c>
      <c r="B4813" s="7">
        <v>40766</v>
      </c>
      <c r="C4813" s="1">
        <v>8</v>
      </c>
      <c r="D4813" s="1">
        <v>50</v>
      </c>
      <c r="E4813" s="1">
        <v>2</v>
      </c>
      <c r="F4813" s="1">
        <v>87</v>
      </c>
      <c r="L4813" s="1">
        <v>1</v>
      </c>
      <c r="R4813" s="1">
        <v>1</v>
      </c>
      <c r="BC4813" s="1">
        <v>1</v>
      </c>
    </row>
    <row r="4814" spans="1:68" x14ac:dyDescent="0.3">
      <c r="A4814" s="1" t="s">
        <v>67</v>
      </c>
      <c r="B4814" s="7">
        <v>40766</v>
      </c>
      <c r="C4814" s="1">
        <v>8</v>
      </c>
      <c r="D4814" s="1">
        <v>50</v>
      </c>
      <c r="E4814" s="1">
        <v>2</v>
      </c>
      <c r="F4814" s="1">
        <v>88</v>
      </c>
      <c r="L4814" s="1">
        <v>1</v>
      </c>
      <c r="R4814" s="3">
        <v>0</v>
      </c>
      <c r="S4814" s="3">
        <v>1</v>
      </c>
    </row>
    <row r="4815" spans="1:68" x14ac:dyDescent="0.3">
      <c r="A4815" s="1" t="s">
        <v>67</v>
      </c>
      <c r="B4815" s="7">
        <v>40766</v>
      </c>
      <c r="C4815" s="1">
        <v>8</v>
      </c>
      <c r="D4815" s="1">
        <v>50</v>
      </c>
      <c r="E4815" s="1">
        <v>2</v>
      </c>
      <c r="F4815" s="1">
        <v>89</v>
      </c>
      <c r="L4815" s="1">
        <v>1</v>
      </c>
      <c r="AS4815" s="1">
        <v>1</v>
      </c>
      <c r="BG4815" s="1">
        <v>1</v>
      </c>
    </row>
    <row r="4816" spans="1:68" x14ac:dyDescent="0.3">
      <c r="A4816" s="1" t="s">
        <v>67</v>
      </c>
      <c r="B4816" s="7">
        <v>40766</v>
      </c>
      <c r="C4816" s="1">
        <v>8</v>
      </c>
      <c r="D4816" s="1">
        <v>50</v>
      </c>
      <c r="E4816" s="1">
        <v>2</v>
      </c>
      <c r="F4816" s="1">
        <v>90</v>
      </c>
      <c r="L4816" s="1">
        <v>1</v>
      </c>
      <c r="AS4816" s="1">
        <v>1</v>
      </c>
      <c r="BE4816" s="1">
        <v>1</v>
      </c>
    </row>
    <row r="4817" spans="1:55" x14ac:dyDescent="0.3">
      <c r="A4817" s="1" t="s">
        <v>67</v>
      </c>
      <c r="B4817" s="7">
        <v>40766</v>
      </c>
      <c r="C4817" s="1">
        <v>8</v>
      </c>
      <c r="D4817" s="1">
        <v>50</v>
      </c>
      <c r="E4817" s="1">
        <v>2</v>
      </c>
      <c r="F4817" s="1">
        <v>91</v>
      </c>
      <c r="L4817" s="1">
        <v>1</v>
      </c>
    </row>
    <row r="4818" spans="1:55" x14ac:dyDescent="0.3">
      <c r="A4818" s="1" t="s">
        <v>67</v>
      </c>
      <c r="B4818" s="7">
        <v>40766</v>
      </c>
      <c r="C4818" s="1">
        <v>8</v>
      </c>
      <c r="D4818" s="1">
        <v>50</v>
      </c>
      <c r="E4818" s="1">
        <v>2</v>
      </c>
      <c r="F4818" s="1">
        <v>92</v>
      </c>
      <c r="R4818" s="3">
        <v>0</v>
      </c>
      <c r="S4818" s="3">
        <v>1</v>
      </c>
      <c r="AA4818" s="1">
        <v>1</v>
      </c>
    </row>
    <row r="4819" spans="1:55" x14ac:dyDescent="0.3">
      <c r="A4819" s="1" t="s">
        <v>67</v>
      </c>
      <c r="B4819" s="7">
        <v>40766</v>
      </c>
      <c r="C4819" s="1">
        <v>8</v>
      </c>
      <c r="D4819" s="1">
        <v>50</v>
      </c>
      <c r="E4819" s="1">
        <v>2</v>
      </c>
      <c r="F4819" s="1">
        <v>93</v>
      </c>
      <c r="L4819" s="1">
        <v>1</v>
      </c>
      <c r="AA4819" s="1">
        <v>1</v>
      </c>
    </row>
    <row r="4820" spans="1:55" x14ac:dyDescent="0.3">
      <c r="A4820" s="1" t="s">
        <v>67</v>
      </c>
      <c r="B4820" s="7">
        <v>40766</v>
      </c>
      <c r="C4820" s="1">
        <v>8</v>
      </c>
      <c r="D4820" s="1">
        <v>50</v>
      </c>
      <c r="E4820" s="1">
        <v>2</v>
      </c>
      <c r="F4820" s="1">
        <v>94</v>
      </c>
      <c r="R4820" s="3">
        <v>0</v>
      </c>
      <c r="S4820" s="3">
        <v>1</v>
      </c>
      <c r="AA4820" s="1">
        <v>1</v>
      </c>
    </row>
    <row r="4821" spans="1:55" x14ac:dyDescent="0.3">
      <c r="A4821" s="1" t="s">
        <v>67</v>
      </c>
      <c r="B4821" s="7">
        <v>40766</v>
      </c>
      <c r="C4821" s="1">
        <v>8</v>
      </c>
      <c r="D4821" s="1">
        <v>50</v>
      </c>
      <c r="E4821" s="1">
        <v>2</v>
      </c>
      <c r="F4821" s="1">
        <v>95</v>
      </c>
      <c r="R4821" s="3">
        <v>0</v>
      </c>
      <c r="S4821" s="3">
        <v>1</v>
      </c>
    </row>
    <row r="4822" spans="1:55" x14ac:dyDescent="0.3">
      <c r="A4822" s="1" t="s">
        <v>67</v>
      </c>
      <c r="B4822" s="7">
        <v>40766</v>
      </c>
      <c r="C4822" s="1">
        <v>8</v>
      </c>
      <c r="D4822" s="1">
        <v>50</v>
      </c>
      <c r="E4822" s="1">
        <v>2</v>
      </c>
      <c r="F4822" s="1">
        <v>96</v>
      </c>
      <c r="R4822" s="3">
        <v>0</v>
      </c>
      <c r="S4822" s="3">
        <v>1</v>
      </c>
      <c r="AS4822" s="1">
        <v>1</v>
      </c>
    </row>
    <row r="4823" spans="1:55" x14ac:dyDescent="0.3">
      <c r="A4823" s="1" t="s">
        <v>67</v>
      </c>
      <c r="B4823" s="7">
        <v>40766</v>
      </c>
      <c r="C4823" s="1">
        <v>8</v>
      </c>
      <c r="D4823" s="1">
        <v>50</v>
      </c>
      <c r="E4823" s="1">
        <v>2</v>
      </c>
      <c r="F4823" s="1">
        <v>97</v>
      </c>
      <c r="L4823" s="1">
        <v>1</v>
      </c>
      <c r="R4823" s="3">
        <v>0</v>
      </c>
      <c r="S4823" s="3">
        <v>1</v>
      </c>
      <c r="AD4823" s="1">
        <v>1</v>
      </c>
    </row>
    <row r="4824" spans="1:55" x14ac:dyDescent="0.3">
      <c r="A4824" s="1" t="s">
        <v>67</v>
      </c>
      <c r="B4824" s="7">
        <v>40766</v>
      </c>
      <c r="C4824" s="1">
        <v>8</v>
      </c>
      <c r="D4824" s="1">
        <v>50</v>
      </c>
      <c r="E4824" s="1">
        <v>2</v>
      </c>
      <c r="F4824" s="1">
        <v>98</v>
      </c>
      <c r="L4824" s="1">
        <v>1</v>
      </c>
      <c r="R4824" s="3">
        <v>0</v>
      </c>
      <c r="S4824" s="3">
        <v>1</v>
      </c>
      <c r="AS4824" s="1">
        <v>1</v>
      </c>
    </row>
    <row r="4825" spans="1:55" x14ac:dyDescent="0.3">
      <c r="A4825" s="1" t="s">
        <v>67</v>
      </c>
      <c r="B4825" s="7">
        <v>40766</v>
      </c>
      <c r="C4825" s="1">
        <v>8</v>
      </c>
      <c r="D4825" s="1">
        <v>50</v>
      </c>
      <c r="E4825" s="1">
        <v>2</v>
      </c>
      <c r="F4825" s="1">
        <v>99</v>
      </c>
      <c r="L4825" s="1">
        <v>1</v>
      </c>
      <c r="AS4825" s="1">
        <v>1</v>
      </c>
      <c r="BC4825" s="1">
        <v>1</v>
      </c>
    </row>
    <row r="4826" spans="1:55" x14ac:dyDescent="0.3">
      <c r="A4826" s="1" t="s">
        <v>67</v>
      </c>
      <c r="B4826" s="7">
        <v>40766</v>
      </c>
      <c r="C4826" s="1">
        <v>8</v>
      </c>
      <c r="D4826" s="1">
        <v>50</v>
      </c>
      <c r="E4826" s="1">
        <v>2</v>
      </c>
      <c r="F4826" s="1">
        <v>100</v>
      </c>
      <c r="L4826" s="1">
        <v>1</v>
      </c>
      <c r="AS4826" s="1">
        <v>1</v>
      </c>
    </row>
    <row r="4827" spans="1:55" x14ac:dyDescent="0.3">
      <c r="A4827" s="1" t="s">
        <v>67</v>
      </c>
      <c r="B4827" s="7">
        <v>40766</v>
      </c>
      <c r="C4827" s="1">
        <v>12</v>
      </c>
      <c r="D4827" s="1">
        <v>96</v>
      </c>
      <c r="E4827" s="1">
        <v>1</v>
      </c>
      <c r="F4827" s="1">
        <v>1</v>
      </c>
      <c r="L4827" s="1">
        <v>1</v>
      </c>
    </row>
    <row r="4828" spans="1:55" x14ac:dyDescent="0.3">
      <c r="A4828" s="1" t="s">
        <v>67</v>
      </c>
      <c r="B4828" s="7">
        <v>40766</v>
      </c>
      <c r="C4828" s="1">
        <v>12</v>
      </c>
      <c r="D4828" s="1">
        <v>96</v>
      </c>
      <c r="E4828" s="1">
        <v>1</v>
      </c>
      <c r="F4828" s="1">
        <v>2</v>
      </c>
      <c r="L4828" s="1">
        <v>1</v>
      </c>
    </row>
    <row r="4829" spans="1:55" x14ac:dyDescent="0.3">
      <c r="A4829" s="1" t="s">
        <v>67</v>
      </c>
      <c r="B4829" s="7">
        <v>40766</v>
      </c>
      <c r="C4829" s="1">
        <v>12</v>
      </c>
      <c r="D4829" s="1">
        <v>96</v>
      </c>
      <c r="E4829" s="1">
        <v>1</v>
      </c>
      <c r="F4829" s="1">
        <v>3</v>
      </c>
      <c r="J4829" s="1">
        <v>1</v>
      </c>
      <c r="L4829" s="1">
        <v>1</v>
      </c>
    </row>
    <row r="4830" spans="1:55" x14ac:dyDescent="0.3">
      <c r="A4830" s="1" t="s">
        <v>67</v>
      </c>
      <c r="B4830" s="7">
        <v>40766</v>
      </c>
      <c r="C4830" s="1">
        <v>12</v>
      </c>
      <c r="D4830" s="1">
        <v>96</v>
      </c>
      <c r="E4830" s="1">
        <v>1</v>
      </c>
      <c r="F4830" s="1">
        <v>4</v>
      </c>
      <c r="J4830" s="1">
        <v>1</v>
      </c>
    </row>
    <row r="4831" spans="1:55" x14ac:dyDescent="0.3">
      <c r="A4831" s="1" t="s">
        <v>67</v>
      </c>
      <c r="B4831" s="7">
        <v>40766</v>
      </c>
      <c r="C4831" s="1">
        <v>12</v>
      </c>
      <c r="D4831" s="1">
        <v>96</v>
      </c>
      <c r="E4831" s="1">
        <v>1</v>
      </c>
      <c r="F4831" s="1">
        <v>5</v>
      </c>
      <c r="L4831" s="1">
        <v>1</v>
      </c>
    </row>
    <row r="4832" spans="1:55" x14ac:dyDescent="0.3">
      <c r="A4832" s="1" t="s">
        <v>67</v>
      </c>
      <c r="B4832" s="7">
        <v>40766</v>
      </c>
      <c r="C4832" s="1">
        <v>12</v>
      </c>
      <c r="D4832" s="1">
        <v>96</v>
      </c>
      <c r="E4832" s="1">
        <v>1</v>
      </c>
      <c r="F4832" s="1">
        <v>6</v>
      </c>
      <c r="J4832" s="1">
        <v>1</v>
      </c>
    </row>
    <row r="4833" spans="1:20" x14ac:dyDescent="0.3">
      <c r="A4833" s="1" t="s">
        <v>67</v>
      </c>
      <c r="B4833" s="7">
        <v>40766</v>
      </c>
      <c r="C4833" s="1">
        <v>12</v>
      </c>
      <c r="D4833" s="1">
        <v>96</v>
      </c>
      <c r="E4833" s="1">
        <v>1</v>
      </c>
      <c r="F4833" s="1">
        <v>7</v>
      </c>
    </row>
    <row r="4834" spans="1:20" x14ac:dyDescent="0.3">
      <c r="A4834" s="1" t="s">
        <v>67</v>
      </c>
      <c r="B4834" s="7">
        <v>40766</v>
      </c>
      <c r="C4834" s="1">
        <v>12</v>
      </c>
      <c r="D4834" s="1">
        <v>96</v>
      </c>
      <c r="E4834" s="1">
        <v>1</v>
      </c>
      <c r="F4834" s="1">
        <v>8</v>
      </c>
      <c r="H4834" s="1">
        <v>1</v>
      </c>
      <c r="R4834" s="3">
        <v>0</v>
      </c>
      <c r="S4834" s="3">
        <v>1</v>
      </c>
    </row>
    <row r="4835" spans="1:20" x14ac:dyDescent="0.3">
      <c r="A4835" s="1" t="s">
        <v>67</v>
      </c>
      <c r="B4835" s="7">
        <v>40766</v>
      </c>
      <c r="C4835" s="1">
        <v>12</v>
      </c>
      <c r="D4835" s="1">
        <v>96</v>
      </c>
      <c r="E4835" s="1">
        <v>1</v>
      </c>
      <c r="F4835" s="1">
        <v>9</v>
      </c>
    </row>
    <row r="4836" spans="1:20" x14ac:dyDescent="0.3">
      <c r="A4836" s="1" t="s">
        <v>67</v>
      </c>
      <c r="B4836" s="7">
        <v>40766</v>
      </c>
      <c r="C4836" s="1">
        <v>12</v>
      </c>
      <c r="D4836" s="1">
        <v>96</v>
      </c>
      <c r="E4836" s="1">
        <v>1</v>
      </c>
      <c r="F4836" s="1">
        <v>10</v>
      </c>
      <c r="I4836" s="1">
        <v>1</v>
      </c>
    </row>
    <row r="4837" spans="1:20" x14ac:dyDescent="0.3">
      <c r="A4837" s="1" t="s">
        <v>67</v>
      </c>
      <c r="B4837" s="7">
        <v>40766</v>
      </c>
      <c r="C4837" s="1">
        <v>12</v>
      </c>
      <c r="D4837" s="1">
        <v>96</v>
      </c>
      <c r="E4837" s="1">
        <v>1</v>
      </c>
      <c r="F4837" s="1">
        <v>11</v>
      </c>
      <c r="H4837" s="1">
        <v>1</v>
      </c>
      <c r="R4837" s="1">
        <v>1</v>
      </c>
    </row>
    <row r="4838" spans="1:20" x14ac:dyDescent="0.3">
      <c r="A4838" s="1" t="s">
        <v>67</v>
      </c>
      <c r="B4838" s="7">
        <v>40766</v>
      </c>
      <c r="C4838" s="1">
        <v>12</v>
      </c>
      <c r="D4838" s="1">
        <v>96</v>
      </c>
      <c r="E4838" s="1">
        <v>1</v>
      </c>
      <c r="F4838" s="1">
        <v>12</v>
      </c>
      <c r="J4838" s="1">
        <v>1</v>
      </c>
    </row>
    <row r="4839" spans="1:20" x14ac:dyDescent="0.3">
      <c r="A4839" s="1" t="s">
        <v>67</v>
      </c>
      <c r="B4839" s="7">
        <v>40766</v>
      </c>
      <c r="C4839" s="1">
        <v>12</v>
      </c>
      <c r="D4839" s="1">
        <v>96</v>
      </c>
      <c r="E4839" s="1">
        <v>1</v>
      </c>
      <c r="F4839" s="1">
        <v>13</v>
      </c>
      <c r="J4839" s="3">
        <v>0</v>
      </c>
      <c r="K4839" s="3">
        <v>1</v>
      </c>
    </row>
    <row r="4840" spans="1:20" x14ac:dyDescent="0.3">
      <c r="A4840" s="1" t="s">
        <v>67</v>
      </c>
      <c r="B4840" s="7">
        <v>40766</v>
      </c>
      <c r="C4840" s="1">
        <v>12</v>
      </c>
      <c r="D4840" s="1">
        <v>96</v>
      </c>
      <c r="E4840" s="1">
        <v>1</v>
      </c>
      <c r="F4840" s="1">
        <v>14</v>
      </c>
      <c r="H4840" s="1">
        <v>1</v>
      </c>
      <c r="L4840" s="1">
        <v>1</v>
      </c>
    </row>
    <row r="4841" spans="1:20" x14ac:dyDescent="0.3">
      <c r="A4841" s="1" t="s">
        <v>67</v>
      </c>
      <c r="B4841" s="7">
        <v>40766</v>
      </c>
      <c r="C4841" s="1">
        <v>12</v>
      </c>
      <c r="D4841" s="1">
        <v>96</v>
      </c>
      <c r="E4841" s="1">
        <v>1</v>
      </c>
      <c r="F4841" s="1">
        <v>15</v>
      </c>
      <c r="J4841" s="1">
        <v>1</v>
      </c>
    </row>
    <row r="4842" spans="1:20" x14ac:dyDescent="0.3">
      <c r="A4842" s="1" t="s">
        <v>67</v>
      </c>
      <c r="B4842" s="7">
        <v>40766</v>
      </c>
      <c r="C4842" s="1">
        <v>12</v>
      </c>
      <c r="D4842" s="1">
        <v>96</v>
      </c>
      <c r="E4842" s="1">
        <v>1</v>
      </c>
      <c r="F4842" s="1">
        <v>16</v>
      </c>
      <c r="J4842" s="1">
        <v>1</v>
      </c>
      <c r="R4842" s="3">
        <v>0</v>
      </c>
      <c r="S4842" s="3">
        <v>1</v>
      </c>
    </row>
    <row r="4843" spans="1:20" x14ac:dyDescent="0.3">
      <c r="A4843" s="1" t="s">
        <v>67</v>
      </c>
      <c r="B4843" s="7">
        <v>40766</v>
      </c>
      <c r="C4843" s="1">
        <v>12</v>
      </c>
      <c r="D4843" s="1">
        <v>96</v>
      </c>
      <c r="E4843" s="1">
        <v>1</v>
      </c>
      <c r="F4843" s="1">
        <v>17</v>
      </c>
      <c r="J4843" s="1">
        <v>1</v>
      </c>
    </row>
    <row r="4844" spans="1:20" x14ac:dyDescent="0.3">
      <c r="A4844" s="1" t="s">
        <v>67</v>
      </c>
      <c r="B4844" s="7">
        <v>40766</v>
      </c>
      <c r="C4844" s="1">
        <v>12</v>
      </c>
      <c r="D4844" s="1">
        <v>96</v>
      </c>
      <c r="E4844" s="1">
        <v>1</v>
      </c>
      <c r="F4844" s="1">
        <v>18</v>
      </c>
      <c r="I4844" s="1">
        <v>1</v>
      </c>
      <c r="J4844" s="1">
        <v>1</v>
      </c>
    </row>
    <row r="4845" spans="1:20" x14ac:dyDescent="0.3">
      <c r="A4845" s="1" t="s">
        <v>67</v>
      </c>
      <c r="B4845" s="7">
        <v>40766</v>
      </c>
      <c r="C4845" s="1">
        <v>12</v>
      </c>
      <c r="D4845" s="1">
        <v>96</v>
      </c>
      <c r="E4845" s="1">
        <v>1</v>
      </c>
      <c r="F4845" s="1">
        <v>19</v>
      </c>
      <c r="I4845" s="1">
        <v>1</v>
      </c>
      <c r="J4845" s="1">
        <v>1</v>
      </c>
    </row>
    <row r="4846" spans="1:20" x14ac:dyDescent="0.3">
      <c r="A4846" s="1" t="s">
        <v>67</v>
      </c>
      <c r="B4846" s="7">
        <v>40766</v>
      </c>
      <c r="C4846" s="1">
        <v>12</v>
      </c>
      <c r="D4846" s="1">
        <v>96</v>
      </c>
      <c r="E4846" s="1">
        <v>1</v>
      </c>
      <c r="F4846" s="1">
        <v>20</v>
      </c>
      <c r="J4846" s="3">
        <v>0</v>
      </c>
      <c r="K4846" s="3">
        <v>1</v>
      </c>
    </row>
    <row r="4847" spans="1:20" x14ac:dyDescent="0.3">
      <c r="A4847" s="1" t="s">
        <v>67</v>
      </c>
      <c r="B4847" s="7">
        <v>40766</v>
      </c>
      <c r="C4847" s="1">
        <v>12</v>
      </c>
      <c r="D4847" s="1">
        <v>96</v>
      </c>
      <c r="E4847" s="1">
        <v>1</v>
      </c>
      <c r="F4847" s="1">
        <v>21</v>
      </c>
      <c r="J4847" s="1">
        <v>1</v>
      </c>
      <c r="T4847" s="1">
        <v>1</v>
      </c>
    </row>
    <row r="4848" spans="1:20" x14ac:dyDescent="0.3">
      <c r="A4848" s="1" t="s">
        <v>67</v>
      </c>
      <c r="B4848" s="7">
        <v>40766</v>
      </c>
      <c r="C4848" s="1">
        <v>12</v>
      </c>
      <c r="D4848" s="1">
        <v>96</v>
      </c>
      <c r="E4848" s="1">
        <v>1</v>
      </c>
      <c r="F4848" s="1">
        <v>22</v>
      </c>
      <c r="J4848" s="1">
        <v>1</v>
      </c>
      <c r="T4848" s="1">
        <v>1</v>
      </c>
    </row>
    <row r="4849" spans="1:20" x14ac:dyDescent="0.3">
      <c r="A4849" s="1" t="s">
        <v>67</v>
      </c>
      <c r="B4849" s="7">
        <v>40766</v>
      </c>
      <c r="C4849" s="1">
        <v>12</v>
      </c>
      <c r="D4849" s="1">
        <v>96</v>
      </c>
      <c r="E4849" s="1">
        <v>1</v>
      </c>
      <c r="F4849" s="1">
        <v>23</v>
      </c>
      <c r="R4849" s="1">
        <v>1</v>
      </c>
    </row>
    <row r="4850" spans="1:20" x14ac:dyDescent="0.3">
      <c r="A4850" s="1" t="s">
        <v>67</v>
      </c>
      <c r="B4850" s="7">
        <v>40766</v>
      </c>
      <c r="C4850" s="1">
        <v>12</v>
      </c>
      <c r="D4850" s="1">
        <v>96</v>
      </c>
      <c r="E4850" s="1">
        <v>1</v>
      </c>
      <c r="F4850" s="1">
        <v>24</v>
      </c>
      <c r="J4850" s="1">
        <v>1</v>
      </c>
    </row>
    <row r="4851" spans="1:20" x14ac:dyDescent="0.3">
      <c r="A4851" s="1" t="s">
        <v>67</v>
      </c>
      <c r="B4851" s="7">
        <v>40766</v>
      </c>
      <c r="C4851" s="1">
        <v>12</v>
      </c>
      <c r="D4851" s="1">
        <v>96</v>
      </c>
      <c r="E4851" s="1">
        <v>1</v>
      </c>
      <c r="F4851" s="1">
        <v>25</v>
      </c>
      <c r="J4851" s="3">
        <v>0</v>
      </c>
      <c r="K4851" s="3">
        <v>1</v>
      </c>
      <c r="N4851" s="1">
        <v>1</v>
      </c>
    </row>
    <row r="4852" spans="1:20" x14ac:dyDescent="0.3">
      <c r="A4852" s="1" t="s">
        <v>67</v>
      </c>
      <c r="B4852" s="7">
        <v>40766</v>
      </c>
      <c r="C4852" s="1">
        <v>12</v>
      </c>
      <c r="D4852" s="1">
        <v>96</v>
      </c>
      <c r="E4852" s="1">
        <v>1</v>
      </c>
      <c r="F4852" s="1">
        <v>26</v>
      </c>
      <c r="H4852" s="1">
        <v>1</v>
      </c>
      <c r="J4852" s="1">
        <v>1</v>
      </c>
    </row>
    <row r="4853" spans="1:20" x14ac:dyDescent="0.3">
      <c r="A4853" s="1" t="s">
        <v>67</v>
      </c>
      <c r="B4853" s="7">
        <v>40766</v>
      </c>
      <c r="C4853" s="1">
        <v>12</v>
      </c>
      <c r="D4853" s="1">
        <v>96</v>
      </c>
      <c r="E4853" s="1">
        <v>1</v>
      </c>
      <c r="F4853" s="1">
        <v>27</v>
      </c>
      <c r="J4853" s="1">
        <v>1</v>
      </c>
    </row>
    <row r="4854" spans="1:20" x14ac:dyDescent="0.3">
      <c r="A4854" s="1" t="s">
        <v>67</v>
      </c>
      <c r="B4854" s="7">
        <v>40766</v>
      </c>
      <c r="C4854" s="1">
        <v>12</v>
      </c>
      <c r="D4854" s="1">
        <v>96</v>
      </c>
      <c r="E4854" s="1">
        <v>1</v>
      </c>
      <c r="F4854" s="1">
        <v>28</v>
      </c>
      <c r="J4854" s="1">
        <v>1</v>
      </c>
    </row>
    <row r="4855" spans="1:20" x14ac:dyDescent="0.3">
      <c r="A4855" s="1" t="s">
        <v>67</v>
      </c>
      <c r="B4855" s="7">
        <v>40766</v>
      </c>
      <c r="C4855" s="1">
        <v>12</v>
      </c>
      <c r="D4855" s="1">
        <v>96</v>
      </c>
      <c r="E4855" s="1">
        <v>1</v>
      </c>
      <c r="F4855" s="1">
        <v>29</v>
      </c>
      <c r="J4855" s="1">
        <v>1</v>
      </c>
      <c r="R4855" s="1">
        <v>1</v>
      </c>
    </row>
    <row r="4856" spans="1:20" x14ac:dyDescent="0.3">
      <c r="A4856" s="1" t="s">
        <v>67</v>
      </c>
      <c r="B4856" s="7">
        <v>40766</v>
      </c>
      <c r="C4856" s="1">
        <v>12</v>
      </c>
      <c r="D4856" s="1">
        <v>96</v>
      </c>
      <c r="E4856" s="1">
        <v>1</v>
      </c>
      <c r="F4856" s="1">
        <v>30</v>
      </c>
      <c r="J4856" s="1">
        <v>1</v>
      </c>
      <c r="R4856" s="1">
        <v>1</v>
      </c>
    </row>
    <row r="4857" spans="1:20" x14ac:dyDescent="0.3">
      <c r="A4857" s="1" t="s">
        <v>67</v>
      </c>
      <c r="B4857" s="7">
        <v>40766</v>
      </c>
      <c r="C4857" s="1">
        <v>12</v>
      </c>
      <c r="D4857" s="1">
        <v>96</v>
      </c>
      <c r="E4857" s="1">
        <v>1</v>
      </c>
      <c r="F4857" s="1">
        <v>31</v>
      </c>
      <c r="J4857" s="1">
        <v>1</v>
      </c>
    </row>
    <row r="4858" spans="1:20" x14ac:dyDescent="0.3">
      <c r="A4858" s="1" t="s">
        <v>67</v>
      </c>
      <c r="B4858" s="7">
        <v>40766</v>
      </c>
      <c r="C4858" s="1">
        <v>12</v>
      </c>
      <c r="D4858" s="1">
        <v>96</v>
      </c>
      <c r="E4858" s="1">
        <v>1</v>
      </c>
      <c r="F4858" s="1">
        <v>32</v>
      </c>
      <c r="L4858" s="8">
        <v>1</v>
      </c>
      <c r="M4858" s="8"/>
      <c r="T4858" s="1">
        <v>1</v>
      </c>
    </row>
    <row r="4859" spans="1:20" x14ac:dyDescent="0.3">
      <c r="A4859" s="1" t="s">
        <v>67</v>
      </c>
      <c r="B4859" s="7">
        <v>40766</v>
      </c>
      <c r="C4859" s="1">
        <v>12</v>
      </c>
      <c r="D4859" s="1">
        <v>96</v>
      </c>
      <c r="E4859" s="1">
        <v>1</v>
      </c>
      <c r="F4859" s="1">
        <v>33</v>
      </c>
      <c r="J4859" s="1">
        <v>1</v>
      </c>
    </row>
    <row r="4860" spans="1:20" x14ac:dyDescent="0.3">
      <c r="A4860" s="1" t="s">
        <v>67</v>
      </c>
      <c r="B4860" s="7">
        <v>40766</v>
      </c>
      <c r="C4860" s="1">
        <v>12</v>
      </c>
      <c r="D4860" s="1">
        <v>96</v>
      </c>
      <c r="E4860" s="1">
        <v>1</v>
      </c>
      <c r="F4860" s="1">
        <v>34</v>
      </c>
      <c r="I4860" s="1">
        <v>1</v>
      </c>
      <c r="J4860" s="1">
        <v>1</v>
      </c>
    </row>
    <row r="4861" spans="1:20" x14ac:dyDescent="0.3">
      <c r="A4861" s="1" t="s">
        <v>67</v>
      </c>
      <c r="B4861" s="7">
        <v>40766</v>
      </c>
      <c r="C4861" s="1">
        <v>12</v>
      </c>
      <c r="D4861" s="1">
        <v>96</v>
      </c>
      <c r="E4861" s="1">
        <v>1</v>
      </c>
      <c r="F4861" s="1">
        <v>35</v>
      </c>
      <c r="J4861" s="1">
        <v>1</v>
      </c>
    </row>
    <row r="4862" spans="1:20" x14ac:dyDescent="0.3">
      <c r="A4862" s="1" t="s">
        <v>67</v>
      </c>
      <c r="B4862" s="7">
        <v>40766</v>
      </c>
      <c r="C4862" s="1">
        <v>12</v>
      </c>
      <c r="D4862" s="1">
        <v>96</v>
      </c>
      <c r="E4862" s="1">
        <v>1</v>
      </c>
      <c r="F4862" s="1">
        <v>36</v>
      </c>
      <c r="J4862" s="1">
        <v>1</v>
      </c>
    </row>
    <row r="4863" spans="1:20" x14ac:dyDescent="0.3">
      <c r="A4863" s="1" t="s">
        <v>67</v>
      </c>
      <c r="B4863" s="7">
        <v>40766</v>
      </c>
      <c r="C4863" s="1">
        <v>12</v>
      </c>
      <c r="D4863" s="1">
        <v>96</v>
      </c>
      <c r="E4863" s="1">
        <v>1</v>
      </c>
      <c r="F4863" s="1">
        <v>37</v>
      </c>
      <c r="J4863" s="3">
        <v>0</v>
      </c>
      <c r="K4863" s="3">
        <v>1</v>
      </c>
    </row>
    <row r="4864" spans="1:20" x14ac:dyDescent="0.3">
      <c r="A4864" s="1" t="s">
        <v>67</v>
      </c>
      <c r="B4864" s="7">
        <v>40766</v>
      </c>
      <c r="C4864" s="1">
        <v>12</v>
      </c>
      <c r="D4864" s="1">
        <v>96</v>
      </c>
      <c r="E4864" s="1">
        <v>1</v>
      </c>
      <c r="F4864" s="1">
        <v>38</v>
      </c>
      <c r="J4864" s="1">
        <v>1</v>
      </c>
    </row>
    <row r="4865" spans="1:19" x14ac:dyDescent="0.3">
      <c r="A4865" s="1" t="s">
        <v>67</v>
      </c>
      <c r="B4865" s="7">
        <v>40766</v>
      </c>
      <c r="C4865" s="1">
        <v>12</v>
      </c>
      <c r="D4865" s="1">
        <v>96</v>
      </c>
      <c r="E4865" s="1">
        <v>1</v>
      </c>
      <c r="F4865" s="1">
        <v>39</v>
      </c>
      <c r="H4865" s="1">
        <v>1</v>
      </c>
    </row>
    <row r="4866" spans="1:19" x14ac:dyDescent="0.3">
      <c r="A4866" s="1" t="s">
        <v>67</v>
      </c>
      <c r="B4866" s="7">
        <v>40766</v>
      </c>
      <c r="C4866" s="1">
        <v>12</v>
      </c>
      <c r="D4866" s="1">
        <v>96</v>
      </c>
      <c r="E4866" s="1">
        <v>1</v>
      </c>
      <c r="F4866" s="1">
        <v>40</v>
      </c>
      <c r="I4866" s="1">
        <v>1</v>
      </c>
      <c r="J4866" s="1">
        <v>1</v>
      </c>
    </row>
    <row r="4867" spans="1:19" x14ac:dyDescent="0.3">
      <c r="A4867" s="1" t="s">
        <v>67</v>
      </c>
      <c r="B4867" s="7">
        <v>40766</v>
      </c>
      <c r="C4867" s="1">
        <v>12</v>
      </c>
      <c r="D4867" s="1">
        <v>96</v>
      </c>
      <c r="E4867" s="1">
        <v>1</v>
      </c>
      <c r="F4867" s="1">
        <v>41</v>
      </c>
      <c r="J4867" s="1">
        <v>1</v>
      </c>
    </row>
    <row r="4868" spans="1:19" x14ac:dyDescent="0.3">
      <c r="A4868" s="1" t="s">
        <v>67</v>
      </c>
      <c r="B4868" s="7">
        <v>40766</v>
      </c>
      <c r="C4868" s="1">
        <v>12</v>
      </c>
      <c r="D4868" s="1">
        <v>96</v>
      </c>
      <c r="E4868" s="1">
        <v>1</v>
      </c>
      <c r="F4868" s="1">
        <v>42</v>
      </c>
      <c r="J4868" s="3">
        <v>0</v>
      </c>
      <c r="K4868" s="3">
        <v>1</v>
      </c>
      <c r="R4868" s="1">
        <v>1</v>
      </c>
    </row>
    <row r="4869" spans="1:19" x14ac:dyDescent="0.3">
      <c r="A4869" s="1" t="s">
        <v>67</v>
      </c>
      <c r="B4869" s="7">
        <v>40766</v>
      </c>
      <c r="C4869" s="1">
        <v>12</v>
      </c>
      <c r="D4869" s="1">
        <v>96</v>
      </c>
      <c r="E4869" s="1">
        <v>1</v>
      </c>
      <c r="F4869" s="1">
        <v>43</v>
      </c>
      <c r="J4869" s="1">
        <v>1</v>
      </c>
      <c r="R4869" s="3">
        <v>0</v>
      </c>
      <c r="S4869" s="3">
        <v>1</v>
      </c>
    </row>
    <row r="4870" spans="1:19" x14ac:dyDescent="0.3">
      <c r="A4870" s="1" t="s">
        <v>67</v>
      </c>
      <c r="B4870" s="7">
        <v>40766</v>
      </c>
      <c r="C4870" s="1">
        <v>12</v>
      </c>
      <c r="D4870" s="1">
        <v>96</v>
      </c>
      <c r="E4870" s="1">
        <v>1</v>
      </c>
      <c r="F4870" s="1">
        <v>44</v>
      </c>
      <c r="J4870" s="1">
        <v>1</v>
      </c>
    </row>
    <row r="4871" spans="1:19" x14ac:dyDescent="0.3">
      <c r="A4871" s="1" t="s">
        <v>67</v>
      </c>
      <c r="B4871" s="7">
        <v>40766</v>
      </c>
      <c r="C4871" s="1">
        <v>12</v>
      </c>
      <c r="D4871" s="1">
        <v>96</v>
      </c>
      <c r="E4871" s="1">
        <v>1</v>
      </c>
      <c r="F4871" s="1">
        <v>45</v>
      </c>
      <c r="J4871" s="1">
        <v>1</v>
      </c>
      <c r="L4871" s="1">
        <v>1</v>
      </c>
    </row>
    <row r="4872" spans="1:19" x14ac:dyDescent="0.3">
      <c r="A4872" s="1" t="s">
        <v>67</v>
      </c>
      <c r="B4872" s="7">
        <v>40766</v>
      </c>
      <c r="C4872" s="1">
        <v>12</v>
      </c>
      <c r="D4872" s="1">
        <v>96</v>
      </c>
      <c r="E4872" s="1">
        <v>1</v>
      </c>
      <c r="F4872" s="1">
        <v>46</v>
      </c>
      <c r="H4872" s="1">
        <v>1</v>
      </c>
      <c r="R4872" s="3">
        <v>0</v>
      </c>
      <c r="S4872" s="3">
        <v>1</v>
      </c>
    </row>
    <row r="4873" spans="1:19" x14ac:dyDescent="0.3">
      <c r="A4873" s="1" t="s">
        <v>67</v>
      </c>
      <c r="B4873" s="7">
        <v>40766</v>
      </c>
      <c r="C4873" s="1">
        <v>12</v>
      </c>
      <c r="D4873" s="1">
        <v>96</v>
      </c>
      <c r="E4873" s="1">
        <v>1</v>
      </c>
      <c r="F4873" s="1">
        <v>47</v>
      </c>
      <c r="J4873" s="1">
        <v>1</v>
      </c>
    </row>
    <row r="4874" spans="1:19" x14ac:dyDescent="0.3">
      <c r="A4874" s="1" t="s">
        <v>67</v>
      </c>
      <c r="B4874" s="7">
        <v>40766</v>
      </c>
      <c r="C4874" s="1">
        <v>12</v>
      </c>
      <c r="D4874" s="1">
        <v>96</v>
      </c>
      <c r="E4874" s="1">
        <v>1</v>
      </c>
      <c r="F4874" s="1">
        <v>48</v>
      </c>
      <c r="H4874" s="1">
        <v>1</v>
      </c>
      <c r="J4874" s="1">
        <v>1</v>
      </c>
    </row>
    <row r="4875" spans="1:19" x14ac:dyDescent="0.3">
      <c r="A4875" s="1" t="s">
        <v>67</v>
      </c>
      <c r="B4875" s="7">
        <v>40766</v>
      </c>
      <c r="C4875" s="1">
        <v>12</v>
      </c>
      <c r="D4875" s="1">
        <v>96</v>
      </c>
      <c r="E4875" s="1">
        <v>1</v>
      </c>
      <c r="F4875" s="1">
        <v>49</v>
      </c>
      <c r="H4875" s="1">
        <v>1</v>
      </c>
    </row>
    <row r="4876" spans="1:19" x14ac:dyDescent="0.3">
      <c r="A4876" s="1" t="s">
        <v>67</v>
      </c>
      <c r="B4876" s="7">
        <v>40766</v>
      </c>
      <c r="C4876" s="1">
        <v>12</v>
      </c>
      <c r="D4876" s="1">
        <v>96</v>
      </c>
      <c r="E4876" s="1">
        <v>1</v>
      </c>
      <c r="F4876" s="1">
        <v>50</v>
      </c>
      <c r="L4876" s="1">
        <v>1</v>
      </c>
      <c r="R4876" s="1">
        <v>1</v>
      </c>
    </row>
    <row r="4877" spans="1:19" x14ac:dyDescent="0.3">
      <c r="A4877" s="1" t="s">
        <v>67</v>
      </c>
      <c r="B4877" s="7">
        <v>40766</v>
      </c>
      <c r="C4877" s="1">
        <v>12</v>
      </c>
      <c r="D4877" s="1">
        <v>96</v>
      </c>
      <c r="E4877" s="1">
        <v>1</v>
      </c>
      <c r="F4877" s="1">
        <v>51</v>
      </c>
      <c r="J4877" s="1">
        <v>1</v>
      </c>
    </row>
    <row r="4878" spans="1:19" x14ac:dyDescent="0.3">
      <c r="A4878" s="1" t="s">
        <v>67</v>
      </c>
      <c r="B4878" s="7">
        <v>40766</v>
      </c>
      <c r="C4878" s="1">
        <v>12</v>
      </c>
      <c r="D4878" s="1">
        <v>96</v>
      </c>
      <c r="E4878" s="1">
        <v>1</v>
      </c>
      <c r="F4878" s="1">
        <v>52</v>
      </c>
      <c r="J4878" s="1">
        <v>1</v>
      </c>
    </row>
    <row r="4879" spans="1:19" x14ac:dyDescent="0.3">
      <c r="A4879" s="1" t="s">
        <v>67</v>
      </c>
      <c r="B4879" s="7">
        <v>40766</v>
      </c>
      <c r="C4879" s="1">
        <v>12</v>
      </c>
      <c r="D4879" s="1">
        <v>96</v>
      </c>
      <c r="E4879" s="1">
        <v>1</v>
      </c>
      <c r="F4879" s="1">
        <v>53</v>
      </c>
      <c r="H4879" s="1">
        <v>1</v>
      </c>
      <c r="J4879" s="1">
        <v>1</v>
      </c>
      <c r="R4879" s="1">
        <v>1</v>
      </c>
    </row>
    <row r="4880" spans="1:19" x14ac:dyDescent="0.3">
      <c r="A4880" s="1" t="s">
        <v>67</v>
      </c>
      <c r="B4880" s="7">
        <v>40766</v>
      </c>
      <c r="C4880" s="1">
        <v>12</v>
      </c>
      <c r="D4880" s="1">
        <v>96</v>
      </c>
      <c r="E4880" s="1">
        <v>1</v>
      </c>
      <c r="F4880" s="1">
        <v>54</v>
      </c>
      <c r="J4880" s="1">
        <v>1</v>
      </c>
      <c r="N4880" s="8">
        <v>1</v>
      </c>
      <c r="O4880" s="8"/>
    </row>
    <row r="4881" spans="1:19" x14ac:dyDescent="0.3">
      <c r="A4881" s="1" t="s">
        <v>67</v>
      </c>
      <c r="B4881" s="7">
        <v>40766</v>
      </c>
      <c r="C4881" s="1">
        <v>12</v>
      </c>
      <c r="D4881" s="1">
        <v>96</v>
      </c>
      <c r="E4881" s="1">
        <v>1</v>
      </c>
      <c r="F4881" s="1">
        <v>55</v>
      </c>
      <c r="J4881" s="1">
        <v>1</v>
      </c>
      <c r="N4881" s="1">
        <v>1</v>
      </c>
    </row>
    <row r="4882" spans="1:19" x14ac:dyDescent="0.3">
      <c r="A4882" s="1" t="s">
        <v>67</v>
      </c>
      <c r="B4882" s="7">
        <v>40766</v>
      </c>
      <c r="C4882" s="1">
        <v>12</v>
      </c>
      <c r="D4882" s="1">
        <v>96</v>
      </c>
      <c r="E4882" s="1">
        <v>1</v>
      </c>
      <c r="F4882" s="1">
        <v>56</v>
      </c>
      <c r="H4882" s="1">
        <v>1</v>
      </c>
      <c r="R4882" s="1">
        <v>1</v>
      </c>
    </row>
    <row r="4883" spans="1:19" x14ac:dyDescent="0.3">
      <c r="A4883" s="1" t="s">
        <v>67</v>
      </c>
      <c r="B4883" s="7">
        <v>40766</v>
      </c>
      <c r="C4883" s="1">
        <v>12</v>
      </c>
      <c r="D4883" s="1">
        <v>96</v>
      </c>
      <c r="E4883" s="1">
        <v>1</v>
      </c>
      <c r="F4883" s="1">
        <v>57</v>
      </c>
      <c r="J4883" s="1">
        <v>1</v>
      </c>
    </row>
    <row r="4884" spans="1:19" x14ac:dyDescent="0.3">
      <c r="A4884" s="1" t="s">
        <v>67</v>
      </c>
      <c r="B4884" s="7">
        <v>40766</v>
      </c>
      <c r="C4884" s="1">
        <v>12</v>
      </c>
      <c r="D4884" s="1">
        <v>96</v>
      </c>
      <c r="E4884" s="1">
        <v>1</v>
      </c>
      <c r="F4884" s="1">
        <v>58</v>
      </c>
      <c r="J4884" s="1">
        <v>1</v>
      </c>
      <c r="N4884" s="1">
        <v>1</v>
      </c>
    </row>
    <row r="4885" spans="1:19" x14ac:dyDescent="0.3">
      <c r="A4885" s="1" t="s">
        <v>67</v>
      </c>
      <c r="B4885" s="7">
        <v>40766</v>
      </c>
      <c r="C4885" s="1">
        <v>12</v>
      </c>
      <c r="D4885" s="1">
        <v>96</v>
      </c>
      <c r="E4885" s="1">
        <v>1</v>
      </c>
      <c r="F4885" s="1">
        <v>59</v>
      </c>
      <c r="J4885" s="1">
        <v>1</v>
      </c>
    </row>
    <row r="4886" spans="1:19" x14ac:dyDescent="0.3">
      <c r="A4886" s="1" t="s">
        <v>67</v>
      </c>
      <c r="B4886" s="7">
        <v>40766</v>
      </c>
      <c r="C4886" s="1">
        <v>12</v>
      </c>
      <c r="D4886" s="1">
        <v>96</v>
      </c>
      <c r="E4886" s="1">
        <v>1</v>
      </c>
      <c r="F4886" s="1">
        <v>60</v>
      </c>
      <c r="I4886" s="1">
        <v>1</v>
      </c>
      <c r="N4886" s="1">
        <v>1</v>
      </c>
    </row>
    <row r="4887" spans="1:19" x14ac:dyDescent="0.3">
      <c r="A4887" s="1" t="s">
        <v>67</v>
      </c>
      <c r="B4887" s="7">
        <v>40766</v>
      </c>
      <c r="C4887" s="1">
        <v>12</v>
      </c>
      <c r="D4887" s="1">
        <v>96</v>
      </c>
      <c r="E4887" s="1">
        <v>1</v>
      </c>
      <c r="F4887" s="1">
        <v>61</v>
      </c>
      <c r="L4887" s="1">
        <v>1</v>
      </c>
    </row>
    <row r="4888" spans="1:19" x14ac:dyDescent="0.3">
      <c r="A4888" s="1" t="s">
        <v>67</v>
      </c>
      <c r="B4888" s="7">
        <v>40766</v>
      </c>
      <c r="C4888" s="1">
        <v>12</v>
      </c>
      <c r="D4888" s="1">
        <v>96</v>
      </c>
      <c r="E4888" s="1">
        <v>1</v>
      </c>
      <c r="F4888" s="1">
        <v>62</v>
      </c>
      <c r="I4888" s="1">
        <v>1</v>
      </c>
      <c r="J4888" s="1">
        <v>1</v>
      </c>
    </row>
    <row r="4889" spans="1:19" x14ac:dyDescent="0.3">
      <c r="A4889" s="1" t="s">
        <v>67</v>
      </c>
      <c r="B4889" s="7">
        <v>40766</v>
      </c>
      <c r="C4889" s="1">
        <v>12</v>
      </c>
      <c r="D4889" s="1">
        <v>96</v>
      </c>
      <c r="E4889" s="1">
        <v>1</v>
      </c>
      <c r="F4889" s="1">
        <v>63</v>
      </c>
      <c r="H4889" s="1">
        <v>1</v>
      </c>
    </row>
    <row r="4890" spans="1:19" x14ac:dyDescent="0.3">
      <c r="A4890" s="1" t="s">
        <v>67</v>
      </c>
      <c r="B4890" s="7">
        <v>40766</v>
      </c>
      <c r="C4890" s="1">
        <v>12</v>
      </c>
      <c r="D4890" s="1">
        <v>96</v>
      </c>
      <c r="E4890" s="1">
        <v>1</v>
      </c>
      <c r="F4890" s="1">
        <v>64</v>
      </c>
      <c r="H4890" s="1">
        <v>1</v>
      </c>
      <c r="L4890" s="1">
        <v>1</v>
      </c>
    </row>
    <row r="4891" spans="1:19" x14ac:dyDescent="0.3">
      <c r="A4891" s="1" t="s">
        <v>67</v>
      </c>
      <c r="B4891" s="7">
        <v>40766</v>
      </c>
      <c r="C4891" s="1">
        <v>12</v>
      </c>
      <c r="D4891" s="1">
        <v>96</v>
      </c>
      <c r="E4891" s="1">
        <v>1</v>
      </c>
      <c r="F4891" s="1">
        <v>65</v>
      </c>
      <c r="N4891" s="1">
        <v>1</v>
      </c>
      <c r="R4891" s="3">
        <v>0</v>
      </c>
      <c r="S4891" s="3">
        <v>1</v>
      </c>
    </row>
    <row r="4892" spans="1:19" x14ac:dyDescent="0.3">
      <c r="A4892" s="1" t="s">
        <v>67</v>
      </c>
      <c r="B4892" s="7">
        <v>40766</v>
      </c>
      <c r="C4892" s="1">
        <v>12</v>
      </c>
      <c r="D4892" s="1">
        <v>96</v>
      </c>
      <c r="E4892" s="1">
        <v>1</v>
      </c>
      <c r="F4892" s="1">
        <v>66</v>
      </c>
      <c r="J4892" s="1">
        <v>1</v>
      </c>
    </row>
    <row r="4893" spans="1:19" x14ac:dyDescent="0.3">
      <c r="A4893" s="1" t="s">
        <v>67</v>
      </c>
      <c r="B4893" s="7">
        <v>40766</v>
      </c>
      <c r="C4893" s="1">
        <v>12</v>
      </c>
      <c r="D4893" s="1">
        <v>96</v>
      </c>
      <c r="E4893" s="1">
        <v>1</v>
      </c>
      <c r="F4893" s="1">
        <v>67</v>
      </c>
      <c r="J4893" s="3">
        <v>0</v>
      </c>
      <c r="K4893" s="3">
        <v>1</v>
      </c>
      <c r="L4893" s="8">
        <v>1</v>
      </c>
      <c r="M4893" s="8"/>
    </row>
    <row r="4894" spans="1:19" x14ac:dyDescent="0.3">
      <c r="A4894" s="1" t="s">
        <v>67</v>
      </c>
      <c r="B4894" s="7">
        <v>40766</v>
      </c>
      <c r="C4894" s="1">
        <v>12</v>
      </c>
      <c r="D4894" s="1">
        <v>96</v>
      </c>
      <c r="E4894" s="1">
        <v>1</v>
      </c>
      <c r="F4894" s="1">
        <v>68</v>
      </c>
      <c r="L4894" s="1">
        <v>1</v>
      </c>
    </row>
    <row r="4895" spans="1:19" x14ac:dyDescent="0.3">
      <c r="A4895" s="1" t="s">
        <v>67</v>
      </c>
      <c r="B4895" s="7">
        <v>40766</v>
      </c>
      <c r="C4895" s="1">
        <v>12</v>
      </c>
      <c r="D4895" s="1">
        <v>96</v>
      </c>
      <c r="E4895" s="1">
        <v>1</v>
      </c>
      <c r="F4895" s="1">
        <v>69</v>
      </c>
      <c r="J4895" s="1">
        <v>1</v>
      </c>
    </row>
    <row r="4896" spans="1:19" x14ac:dyDescent="0.3">
      <c r="A4896" s="1" t="s">
        <v>67</v>
      </c>
      <c r="B4896" s="7">
        <v>40766</v>
      </c>
      <c r="C4896" s="1">
        <v>12</v>
      </c>
      <c r="D4896" s="1">
        <v>96</v>
      </c>
      <c r="E4896" s="1">
        <v>1</v>
      </c>
      <c r="F4896" s="1">
        <v>70</v>
      </c>
      <c r="J4896" s="1">
        <v>1</v>
      </c>
    </row>
    <row r="4897" spans="1:19" x14ac:dyDescent="0.3">
      <c r="A4897" s="1" t="s">
        <v>67</v>
      </c>
      <c r="B4897" s="7">
        <v>40766</v>
      </c>
      <c r="C4897" s="1">
        <v>12</v>
      </c>
      <c r="D4897" s="1">
        <v>96</v>
      </c>
      <c r="E4897" s="1">
        <v>1</v>
      </c>
      <c r="F4897" s="1">
        <v>71</v>
      </c>
      <c r="I4897" s="1">
        <v>1</v>
      </c>
    </row>
    <row r="4898" spans="1:19" x14ac:dyDescent="0.3">
      <c r="A4898" s="1" t="s">
        <v>67</v>
      </c>
      <c r="B4898" s="7">
        <v>40766</v>
      </c>
      <c r="C4898" s="1">
        <v>12</v>
      </c>
      <c r="D4898" s="1">
        <v>96</v>
      </c>
      <c r="E4898" s="1">
        <v>1</v>
      </c>
      <c r="F4898" s="1">
        <v>72</v>
      </c>
      <c r="R4898" s="1">
        <v>1</v>
      </c>
    </row>
    <row r="4899" spans="1:19" x14ac:dyDescent="0.3">
      <c r="A4899" s="1" t="s">
        <v>67</v>
      </c>
      <c r="B4899" s="7">
        <v>40766</v>
      </c>
      <c r="C4899" s="1">
        <v>12</v>
      </c>
      <c r="D4899" s="1">
        <v>96</v>
      </c>
      <c r="E4899" s="1">
        <v>1</v>
      </c>
      <c r="F4899" s="1">
        <v>73</v>
      </c>
      <c r="J4899" s="3">
        <v>0</v>
      </c>
      <c r="K4899" s="3">
        <v>1</v>
      </c>
    </row>
    <row r="4900" spans="1:19" x14ac:dyDescent="0.3">
      <c r="A4900" s="1" t="s">
        <v>67</v>
      </c>
      <c r="B4900" s="7">
        <v>40766</v>
      </c>
      <c r="C4900" s="1">
        <v>12</v>
      </c>
      <c r="D4900" s="1">
        <v>96</v>
      </c>
      <c r="E4900" s="1">
        <v>1</v>
      </c>
      <c r="F4900" s="1">
        <v>74</v>
      </c>
      <c r="J4900" s="1">
        <v>1</v>
      </c>
      <c r="N4900" s="1">
        <v>1</v>
      </c>
    </row>
    <row r="4901" spans="1:19" x14ac:dyDescent="0.3">
      <c r="A4901" s="1" t="s">
        <v>67</v>
      </c>
      <c r="B4901" s="7">
        <v>40766</v>
      </c>
      <c r="C4901" s="1">
        <v>12</v>
      </c>
      <c r="D4901" s="1">
        <v>96</v>
      </c>
      <c r="E4901" s="1">
        <v>1</v>
      </c>
      <c r="F4901" s="1">
        <v>75</v>
      </c>
      <c r="J4901" s="1">
        <v>1</v>
      </c>
      <c r="L4901" s="1">
        <v>1</v>
      </c>
      <c r="R4901" s="1">
        <v>1</v>
      </c>
    </row>
    <row r="4902" spans="1:19" x14ac:dyDescent="0.3">
      <c r="A4902" s="1" t="s">
        <v>67</v>
      </c>
      <c r="B4902" s="7">
        <v>40766</v>
      </c>
      <c r="C4902" s="1">
        <v>12</v>
      </c>
      <c r="D4902" s="1">
        <v>96</v>
      </c>
      <c r="E4902" s="1">
        <v>1</v>
      </c>
      <c r="F4902" s="1">
        <v>76</v>
      </c>
      <c r="J4902" s="1">
        <v>1</v>
      </c>
    </row>
    <row r="4903" spans="1:19" x14ac:dyDescent="0.3">
      <c r="A4903" s="1" t="s">
        <v>67</v>
      </c>
      <c r="B4903" s="7">
        <v>40766</v>
      </c>
      <c r="C4903" s="1">
        <v>12</v>
      </c>
      <c r="D4903" s="1">
        <v>96</v>
      </c>
      <c r="E4903" s="1">
        <v>1</v>
      </c>
      <c r="F4903" s="1">
        <v>77</v>
      </c>
      <c r="J4903" s="3">
        <v>0</v>
      </c>
      <c r="K4903" s="3">
        <v>1</v>
      </c>
      <c r="L4903" s="1">
        <v>1</v>
      </c>
    </row>
    <row r="4904" spans="1:19" x14ac:dyDescent="0.3">
      <c r="A4904" s="1" t="s">
        <v>67</v>
      </c>
      <c r="B4904" s="7">
        <v>40766</v>
      </c>
      <c r="C4904" s="1">
        <v>12</v>
      </c>
      <c r="D4904" s="1">
        <v>96</v>
      </c>
      <c r="E4904" s="1">
        <v>1</v>
      </c>
      <c r="F4904" s="1">
        <v>78</v>
      </c>
      <c r="J4904" s="1">
        <v>1</v>
      </c>
      <c r="L4904" s="1">
        <v>1</v>
      </c>
    </row>
    <row r="4905" spans="1:19" x14ac:dyDescent="0.3">
      <c r="A4905" s="1" t="s">
        <v>67</v>
      </c>
      <c r="B4905" s="7">
        <v>40766</v>
      </c>
      <c r="C4905" s="1">
        <v>12</v>
      </c>
      <c r="D4905" s="1">
        <v>96</v>
      </c>
      <c r="E4905" s="1">
        <v>1</v>
      </c>
      <c r="F4905" s="1">
        <v>79</v>
      </c>
      <c r="J4905" s="1">
        <v>1</v>
      </c>
    </row>
    <row r="4906" spans="1:19" x14ac:dyDescent="0.3">
      <c r="A4906" s="1" t="s">
        <v>67</v>
      </c>
      <c r="B4906" s="7">
        <v>40766</v>
      </c>
      <c r="C4906" s="1">
        <v>12</v>
      </c>
      <c r="D4906" s="1">
        <v>96</v>
      </c>
      <c r="E4906" s="1">
        <v>1</v>
      </c>
      <c r="F4906" s="1">
        <v>80</v>
      </c>
      <c r="H4906" s="1">
        <v>1</v>
      </c>
      <c r="R4906" s="3">
        <v>0</v>
      </c>
      <c r="S4906" s="3">
        <v>1</v>
      </c>
    </row>
    <row r="4907" spans="1:19" x14ac:dyDescent="0.3">
      <c r="A4907" s="1" t="s">
        <v>67</v>
      </c>
      <c r="B4907" s="7">
        <v>40766</v>
      </c>
      <c r="C4907" s="1">
        <v>12</v>
      </c>
      <c r="D4907" s="1">
        <v>96</v>
      </c>
      <c r="E4907" s="1">
        <v>1</v>
      </c>
      <c r="F4907" s="1">
        <v>81</v>
      </c>
      <c r="J4907" s="1">
        <v>1</v>
      </c>
      <c r="L4907" s="1">
        <v>1</v>
      </c>
    </row>
    <row r="4908" spans="1:19" x14ac:dyDescent="0.3">
      <c r="A4908" s="1" t="s">
        <v>67</v>
      </c>
      <c r="B4908" s="7">
        <v>40766</v>
      </c>
      <c r="C4908" s="1">
        <v>12</v>
      </c>
      <c r="D4908" s="1">
        <v>96</v>
      </c>
      <c r="E4908" s="1">
        <v>1</v>
      </c>
      <c r="F4908" s="1">
        <v>82</v>
      </c>
      <c r="I4908" s="1">
        <v>1</v>
      </c>
    </row>
    <row r="4909" spans="1:19" x14ac:dyDescent="0.3">
      <c r="A4909" s="1" t="s">
        <v>67</v>
      </c>
      <c r="B4909" s="7">
        <v>40766</v>
      </c>
      <c r="C4909" s="1">
        <v>12</v>
      </c>
      <c r="D4909" s="1">
        <v>96</v>
      </c>
      <c r="E4909" s="1">
        <v>1</v>
      </c>
      <c r="F4909" s="1">
        <v>83</v>
      </c>
      <c r="H4909" s="1">
        <v>1</v>
      </c>
      <c r="R4909" s="1">
        <v>1</v>
      </c>
    </row>
    <row r="4910" spans="1:19" x14ac:dyDescent="0.3">
      <c r="A4910" s="1" t="s">
        <v>67</v>
      </c>
      <c r="B4910" s="7">
        <v>40766</v>
      </c>
      <c r="C4910" s="1">
        <v>12</v>
      </c>
      <c r="D4910" s="1">
        <v>96</v>
      </c>
      <c r="E4910" s="1">
        <v>1</v>
      </c>
      <c r="F4910" s="1">
        <v>84</v>
      </c>
      <c r="J4910" s="1">
        <v>1</v>
      </c>
      <c r="R4910" s="1">
        <v>1</v>
      </c>
    </row>
    <row r="4911" spans="1:19" x14ac:dyDescent="0.3">
      <c r="A4911" s="1" t="s">
        <v>67</v>
      </c>
      <c r="B4911" s="7">
        <v>40766</v>
      </c>
      <c r="C4911" s="1">
        <v>12</v>
      </c>
      <c r="D4911" s="1">
        <v>96</v>
      </c>
      <c r="E4911" s="1">
        <v>1</v>
      </c>
      <c r="F4911" s="1">
        <v>85</v>
      </c>
      <c r="J4911" s="1">
        <v>1</v>
      </c>
    </row>
    <row r="4912" spans="1:19" x14ac:dyDescent="0.3">
      <c r="A4912" s="1" t="s">
        <v>67</v>
      </c>
      <c r="B4912" s="7">
        <v>40766</v>
      </c>
      <c r="C4912" s="1">
        <v>12</v>
      </c>
      <c r="D4912" s="1">
        <v>96</v>
      </c>
      <c r="E4912" s="1">
        <v>1</v>
      </c>
      <c r="F4912" s="1">
        <v>86</v>
      </c>
      <c r="I4912" s="1">
        <v>1</v>
      </c>
      <c r="R4912" s="1">
        <v>1</v>
      </c>
    </row>
    <row r="4913" spans="1:90" x14ac:dyDescent="0.3">
      <c r="A4913" s="1" t="s">
        <v>67</v>
      </c>
      <c r="B4913" s="7">
        <v>40766</v>
      </c>
      <c r="C4913" s="1">
        <v>12</v>
      </c>
      <c r="D4913" s="1">
        <v>96</v>
      </c>
      <c r="E4913" s="1">
        <v>1</v>
      </c>
      <c r="F4913" s="1">
        <v>87</v>
      </c>
      <c r="J4913" s="1">
        <v>1</v>
      </c>
    </row>
    <row r="4914" spans="1:90" x14ac:dyDescent="0.3">
      <c r="A4914" s="1" t="s">
        <v>67</v>
      </c>
      <c r="B4914" s="7">
        <v>40766</v>
      </c>
      <c r="C4914" s="1">
        <v>12</v>
      </c>
      <c r="D4914" s="1">
        <v>96</v>
      </c>
      <c r="E4914" s="1">
        <v>1</v>
      </c>
      <c r="F4914" s="1">
        <v>88</v>
      </c>
      <c r="J4914" s="1">
        <v>1</v>
      </c>
    </row>
    <row r="4915" spans="1:90" x14ac:dyDescent="0.3">
      <c r="A4915" s="1" t="s">
        <v>67</v>
      </c>
      <c r="B4915" s="7">
        <v>40766</v>
      </c>
      <c r="C4915" s="1">
        <v>12</v>
      </c>
      <c r="D4915" s="1">
        <v>96</v>
      </c>
      <c r="E4915" s="1">
        <v>1</v>
      </c>
      <c r="F4915" s="1">
        <v>89</v>
      </c>
      <c r="J4915" s="1">
        <v>1</v>
      </c>
      <c r="L4915" s="1">
        <v>1</v>
      </c>
    </row>
    <row r="4916" spans="1:90" x14ac:dyDescent="0.3">
      <c r="A4916" s="1" t="s">
        <v>67</v>
      </c>
      <c r="B4916" s="7">
        <v>40766</v>
      </c>
      <c r="C4916" s="1">
        <v>12</v>
      </c>
      <c r="D4916" s="1">
        <v>96</v>
      </c>
      <c r="E4916" s="1">
        <v>1</v>
      </c>
      <c r="F4916" s="1">
        <v>90</v>
      </c>
      <c r="J4916" s="1">
        <v>1</v>
      </c>
      <c r="R4916" s="1">
        <v>1</v>
      </c>
    </row>
    <row r="4917" spans="1:90" x14ac:dyDescent="0.3">
      <c r="A4917" s="1" t="s">
        <v>67</v>
      </c>
      <c r="B4917" s="7">
        <v>40766</v>
      </c>
      <c r="C4917" s="1">
        <v>12</v>
      </c>
      <c r="D4917" s="1">
        <v>96</v>
      </c>
      <c r="E4917" s="1">
        <v>1</v>
      </c>
      <c r="F4917" s="1">
        <v>91</v>
      </c>
      <c r="H4917" s="1">
        <v>1</v>
      </c>
    </row>
    <row r="4918" spans="1:90" x14ac:dyDescent="0.3">
      <c r="A4918" s="1" t="s">
        <v>67</v>
      </c>
      <c r="B4918" s="7">
        <v>40766</v>
      </c>
      <c r="C4918" s="1">
        <v>12</v>
      </c>
      <c r="D4918" s="1">
        <v>96</v>
      </c>
      <c r="E4918" s="1">
        <v>1</v>
      </c>
      <c r="F4918" s="1">
        <v>92</v>
      </c>
      <c r="J4918" s="1">
        <v>1</v>
      </c>
      <c r="R4918" s="1">
        <v>1</v>
      </c>
    </row>
    <row r="4919" spans="1:90" x14ac:dyDescent="0.3">
      <c r="A4919" s="1" t="s">
        <v>67</v>
      </c>
      <c r="B4919" s="7">
        <v>40766</v>
      </c>
      <c r="C4919" s="1">
        <v>12</v>
      </c>
      <c r="D4919" s="1">
        <v>96</v>
      </c>
      <c r="E4919" s="1">
        <v>1</v>
      </c>
      <c r="F4919" s="1">
        <v>93</v>
      </c>
      <c r="H4919" s="1">
        <v>1</v>
      </c>
      <c r="J4919" s="1">
        <v>1</v>
      </c>
    </row>
    <row r="4920" spans="1:90" x14ac:dyDescent="0.3">
      <c r="A4920" s="1" t="s">
        <v>67</v>
      </c>
      <c r="B4920" s="7">
        <v>40766</v>
      </c>
      <c r="C4920" s="1">
        <v>12</v>
      </c>
      <c r="D4920" s="1">
        <v>96</v>
      </c>
      <c r="E4920" s="1">
        <v>1</v>
      </c>
      <c r="F4920" s="1">
        <v>94</v>
      </c>
      <c r="J4920" s="1">
        <v>1</v>
      </c>
      <c r="R4920" s="1">
        <v>1</v>
      </c>
    </row>
    <row r="4921" spans="1:90" x14ac:dyDescent="0.3">
      <c r="A4921" s="1" t="s">
        <v>67</v>
      </c>
      <c r="B4921" s="7">
        <v>40766</v>
      </c>
      <c r="C4921" s="1">
        <v>12</v>
      </c>
      <c r="D4921" s="1">
        <v>96</v>
      </c>
      <c r="E4921" s="1">
        <v>1</v>
      </c>
      <c r="F4921" s="1">
        <v>95</v>
      </c>
      <c r="J4921" s="1">
        <v>1</v>
      </c>
    </row>
    <row r="4922" spans="1:90" x14ac:dyDescent="0.3">
      <c r="A4922" s="1" t="s">
        <v>67</v>
      </c>
      <c r="B4922" s="7">
        <v>40766</v>
      </c>
      <c r="C4922" s="1">
        <v>12</v>
      </c>
      <c r="D4922" s="1">
        <v>96</v>
      </c>
      <c r="E4922" s="1">
        <v>1</v>
      </c>
      <c r="F4922" s="1">
        <v>96</v>
      </c>
      <c r="J4922" s="1">
        <v>1</v>
      </c>
    </row>
    <row r="4923" spans="1:90" x14ac:dyDescent="0.3">
      <c r="A4923" s="1" t="s">
        <v>67</v>
      </c>
      <c r="B4923" s="7">
        <v>40766</v>
      </c>
      <c r="C4923" s="1">
        <v>12</v>
      </c>
      <c r="D4923" s="1">
        <v>96</v>
      </c>
      <c r="E4923" s="1">
        <v>1</v>
      </c>
      <c r="F4923" s="1">
        <v>97</v>
      </c>
      <c r="H4923" s="1">
        <v>1</v>
      </c>
      <c r="J4923" s="1">
        <v>1</v>
      </c>
    </row>
    <row r="4924" spans="1:90" x14ac:dyDescent="0.3">
      <c r="A4924" s="1" t="s">
        <v>67</v>
      </c>
      <c r="B4924" s="7">
        <v>40766</v>
      </c>
      <c r="C4924" s="1">
        <v>12</v>
      </c>
      <c r="D4924" s="1">
        <v>96</v>
      </c>
      <c r="E4924" s="1">
        <v>1</v>
      </c>
      <c r="F4924" s="1">
        <v>98</v>
      </c>
      <c r="H4924" s="1">
        <v>1</v>
      </c>
      <c r="J4924" s="1">
        <v>1</v>
      </c>
      <c r="R4924" s="3">
        <v>0</v>
      </c>
      <c r="S4924" s="3">
        <v>1</v>
      </c>
    </row>
    <row r="4925" spans="1:90" x14ac:dyDescent="0.3">
      <c r="A4925" s="1" t="s">
        <v>67</v>
      </c>
      <c r="B4925" s="7">
        <v>40766</v>
      </c>
      <c r="C4925" s="1">
        <v>12</v>
      </c>
      <c r="D4925" s="1">
        <v>96</v>
      </c>
      <c r="E4925" s="1">
        <v>1</v>
      </c>
      <c r="F4925" s="1">
        <v>99</v>
      </c>
      <c r="H4925" s="1">
        <v>1</v>
      </c>
      <c r="R4925" s="3">
        <v>0</v>
      </c>
      <c r="S4925" s="3">
        <v>1</v>
      </c>
    </row>
    <row r="4926" spans="1:90" x14ac:dyDescent="0.3">
      <c r="A4926" s="1" t="s">
        <v>67</v>
      </c>
      <c r="B4926" s="7">
        <v>40766</v>
      </c>
      <c r="C4926" s="1">
        <v>12</v>
      </c>
      <c r="D4926" s="1">
        <v>96</v>
      </c>
      <c r="E4926" s="1">
        <v>1</v>
      </c>
      <c r="F4926" s="1">
        <v>100</v>
      </c>
      <c r="J4926" s="1">
        <v>1</v>
      </c>
    </row>
    <row r="4927" spans="1:90" s="12" customFormat="1" x14ac:dyDescent="0.3">
      <c r="A4927" s="14" t="s">
        <v>67</v>
      </c>
      <c r="B4927" s="13"/>
      <c r="G4927" s="12">
        <f>SUM(G4727:G4926)</f>
        <v>0</v>
      </c>
      <c r="H4927" s="12">
        <f t="shared" ref="H4927" si="1857">SUM(H4727:H4926)</f>
        <v>23</v>
      </c>
      <c r="I4927" s="12">
        <f t="shared" ref="I4927" si="1858">SUM(I4727:I4926)</f>
        <v>11</v>
      </c>
      <c r="J4927" s="12">
        <f t="shared" ref="J4927" si="1859">SUM(J4727:J4926)</f>
        <v>62</v>
      </c>
      <c r="K4927" s="12">
        <f t="shared" ref="K4927" si="1860">SUM(K4727:K4926)</f>
        <v>8</v>
      </c>
      <c r="L4927" s="12">
        <f t="shared" ref="L4927" si="1861">SUM(L4727:L4926)</f>
        <v>73</v>
      </c>
      <c r="M4927" s="12">
        <f t="shared" ref="M4927" si="1862">SUM(M4727:M4926)</f>
        <v>0</v>
      </c>
      <c r="N4927" s="12">
        <f t="shared" ref="N4927" si="1863">SUM(N4727:N4926)</f>
        <v>7</v>
      </c>
      <c r="O4927" s="12">
        <f t="shared" ref="O4927" si="1864">SUM(O4727:O4926)</f>
        <v>0</v>
      </c>
      <c r="P4927" s="12">
        <f t="shared" ref="P4927" si="1865">SUM(P4727:P4926)</f>
        <v>0</v>
      </c>
      <c r="Q4927" s="12">
        <f t="shared" ref="Q4927" si="1866">SUM(Q4727:Q4926)</f>
        <v>0</v>
      </c>
      <c r="R4927" s="12">
        <f t="shared" ref="R4927" si="1867">SUM(R4727:R4926)</f>
        <v>50</v>
      </c>
      <c r="S4927" s="12">
        <f t="shared" ref="S4927" si="1868">SUM(S4727:S4926)</f>
        <v>35</v>
      </c>
      <c r="T4927" s="12">
        <f t="shared" ref="T4927" si="1869">SUM(T4727:T4926)</f>
        <v>3</v>
      </c>
      <c r="U4927" s="12">
        <f t="shared" ref="U4927" si="1870">SUM(U4727:U4926)</f>
        <v>0</v>
      </c>
      <c r="V4927" s="12">
        <f t="shared" ref="V4927" si="1871">SUM(V4727:V4926)</f>
        <v>0</v>
      </c>
      <c r="W4927" s="12">
        <f t="shared" ref="W4927" si="1872">SUM(W4727:W4926)</f>
        <v>0</v>
      </c>
      <c r="X4927" s="12">
        <f t="shared" ref="X4927" si="1873">SUM(X4727:X4926)</f>
        <v>0</v>
      </c>
      <c r="Y4927" s="12">
        <f t="shared" ref="Y4927" si="1874">SUM(Y4727:Y4926)</f>
        <v>0</v>
      </c>
      <c r="Z4927" s="12">
        <f t="shared" ref="Z4927" si="1875">SUM(Z4727:Z4926)</f>
        <v>0</v>
      </c>
      <c r="AA4927" s="12">
        <f t="shared" ref="AA4927" si="1876">SUM(AA4727:AA4926)</f>
        <v>25</v>
      </c>
      <c r="AB4927" s="12">
        <f t="shared" ref="AB4927" si="1877">SUM(AB4727:AB4926)</f>
        <v>2</v>
      </c>
      <c r="AC4927" s="12">
        <f t="shared" ref="AC4927" si="1878">SUM(AC4727:AC4926)</f>
        <v>0</v>
      </c>
      <c r="AD4927" s="12">
        <f t="shared" ref="AD4927" si="1879">SUM(AD4727:AD4926)</f>
        <v>4</v>
      </c>
      <c r="AE4927" s="12">
        <f t="shared" ref="AE4927" si="1880">SUM(AE4727:AE4926)</f>
        <v>0</v>
      </c>
      <c r="AF4927" s="12">
        <f t="shared" ref="AF4927" si="1881">SUM(AF4727:AF4926)</f>
        <v>7</v>
      </c>
      <c r="AG4927" s="12">
        <f t="shared" ref="AG4927" si="1882">SUM(AG4727:AG4926)</f>
        <v>0</v>
      </c>
      <c r="AH4927" s="12">
        <f t="shared" ref="AH4927" si="1883">SUM(AH4727:AH4926)</f>
        <v>0</v>
      </c>
      <c r="AI4927" s="12">
        <f t="shared" ref="AI4927" si="1884">SUM(AI4727:AI4926)</f>
        <v>1</v>
      </c>
      <c r="AJ4927" s="12">
        <f t="shared" ref="AJ4927" si="1885">SUM(AJ4727:AJ4926)</f>
        <v>2</v>
      </c>
      <c r="AK4927" s="12">
        <f t="shared" ref="AK4927" si="1886">SUM(AK4727:AK4926)</f>
        <v>0</v>
      </c>
      <c r="AL4927" s="12">
        <f t="shared" ref="AL4927" si="1887">SUM(AL4727:AL4926)</f>
        <v>0</v>
      </c>
      <c r="AM4927" s="12">
        <f t="shared" ref="AM4927" si="1888">SUM(AM4727:AM4926)</f>
        <v>0</v>
      </c>
      <c r="AN4927" s="12">
        <f t="shared" ref="AN4927" si="1889">SUM(AN4727:AN4926)</f>
        <v>0</v>
      </c>
      <c r="AO4927" s="12">
        <f t="shared" ref="AO4927" si="1890">SUM(AO4727:AO4926)</f>
        <v>3</v>
      </c>
      <c r="AP4927" s="12">
        <f t="shared" ref="AP4927" si="1891">SUM(AP4727:AP4926)</f>
        <v>0</v>
      </c>
      <c r="AQ4927" s="12">
        <f t="shared" ref="AQ4927" si="1892">SUM(AQ4727:AQ4926)</f>
        <v>0</v>
      </c>
      <c r="AR4927" s="12">
        <f t="shared" ref="AR4927" si="1893">SUM(AR4727:AR4926)</f>
        <v>0</v>
      </c>
      <c r="AS4927" s="12">
        <f t="shared" ref="AS4927" si="1894">SUM(AS4727:AS4926)</f>
        <v>15</v>
      </c>
      <c r="AT4927" s="12">
        <f t="shared" ref="AT4927" si="1895">SUM(AT4727:AT4926)</f>
        <v>0</v>
      </c>
      <c r="AU4927" s="12">
        <f t="shared" ref="AU4927" si="1896">SUM(AU4727:AU4926)</f>
        <v>3</v>
      </c>
      <c r="AV4927" s="12">
        <f t="shared" ref="AV4927" si="1897">SUM(AV4727:AV4926)</f>
        <v>0</v>
      </c>
      <c r="AW4927" s="12">
        <f t="shared" ref="AW4927" si="1898">SUM(AW4727:AW4926)</f>
        <v>0</v>
      </c>
      <c r="AX4927" s="12">
        <f t="shared" ref="AX4927" si="1899">SUM(AX4727:AX4926)</f>
        <v>0</v>
      </c>
      <c r="AY4927" s="12">
        <f t="shared" ref="AY4927" si="1900">SUM(AY4727:AY4926)</f>
        <v>0</v>
      </c>
      <c r="AZ4927" s="12">
        <f t="shared" ref="AZ4927" si="1901">SUM(AZ4727:AZ4926)</f>
        <v>0</v>
      </c>
      <c r="BA4927" s="12">
        <f t="shared" ref="BA4927" si="1902">SUM(BA4727:BA4926)</f>
        <v>0</v>
      </c>
      <c r="BB4927" s="12">
        <f t="shared" ref="BB4927" si="1903">SUM(BB4727:BB4926)</f>
        <v>0</v>
      </c>
      <c r="BC4927" s="12">
        <f t="shared" ref="BC4927" si="1904">SUM(BC4727:BC4926)</f>
        <v>7</v>
      </c>
      <c r="BD4927" s="12">
        <f t="shared" ref="BD4927" si="1905">SUM(BD4727:BD4926)</f>
        <v>0</v>
      </c>
      <c r="BE4927" s="12">
        <f t="shared" ref="BE4927" si="1906">SUM(BE4727:BE4926)</f>
        <v>2</v>
      </c>
      <c r="BF4927" s="12">
        <f t="shared" ref="BF4927" si="1907">SUM(BF4727:BF4926)</f>
        <v>0</v>
      </c>
      <c r="BG4927" s="12">
        <f t="shared" ref="BG4927" si="1908">SUM(BG4727:BG4926)</f>
        <v>5</v>
      </c>
      <c r="BH4927" s="12">
        <f t="shared" ref="BH4927" si="1909">SUM(BH4727:BH4926)</f>
        <v>1</v>
      </c>
      <c r="BI4927" s="12">
        <f t="shared" ref="BI4927" si="1910">SUM(BI4727:BI4926)</f>
        <v>0</v>
      </c>
      <c r="BJ4927" s="12">
        <f t="shared" ref="BJ4927" si="1911">SUM(BJ4727:BJ4926)</f>
        <v>0</v>
      </c>
      <c r="BK4927" s="12">
        <f t="shared" ref="BK4927" si="1912">SUM(BK4727:BK4926)</f>
        <v>0</v>
      </c>
      <c r="BL4927" s="12">
        <f t="shared" ref="BL4927" si="1913">SUM(BL4727:BL4926)</f>
        <v>0</v>
      </c>
      <c r="BM4927" s="12">
        <f t="shared" ref="BM4927" si="1914">SUM(BM4727:BM4926)</f>
        <v>0</v>
      </c>
      <c r="BN4927" s="12">
        <f t="shared" ref="BN4927" si="1915">SUM(BN4727:BN4926)</f>
        <v>0</v>
      </c>
      <c r="BO4927" s="12">
        <f t="shared" ref="BO4927" si="1916">SUM(BO4727:BO4926)</f>
        <v>0</v>
      </c>
      <c r="BP4927" s="12">
        <f t="shared" ref="BP4927" si="1917">SUM(BP4727:BP4926)</f>
        <v>1</v>
      </c>
      <c r="BQ4927" s="12">
        <f t="shared" ref="BQ4927" si="1918">SUM(BQ4727:BQ4926)</f>
        <v>0</v>
      </c>
      <c r="BR4927" s="12">
        <f t="shared" ref="BR4927" si="1919">SUM(BR4727:BR4926)</f>
        <v>0</v>
      </c>
      <c r="BS4927" s="12">
        <f t="shared" ref="BS4927" si="1920">SUM(BS4727:BS4926)</f>
        <v>0</v>
      </c>
      <c r="BT4927" s="12">
        <f t="shared" ref="BT4927" si="1921">SUM(BT4727:BT4926)</f>
        <v>0</v>
      </c>
      <c r="BU4927" s="12">
        <f t="shared" ref="BU4927" si="1922">SUM(BU4727:BU4926)</f>
        <v>2</v>
      </c>
      <c r="BV4927" s="12">
        <f t="shared" ref="BV4927" si="1923">SUM(BV4727:BV4926)</f>
        <v>0</v>
      </c>
      <c r="BW4927" s="12">
        <f t="shared" ref="BW4927" si="1924">SUM(BW4727:BW4926)</f>
        <v>0</v>
      </c>
      <c r="BX4927" s="12">
        <f t="shared" ref="BX4927" si="1925">SUM(BX4727:BX4926)</f>
        <v>0</v>
      </c>
      <c r="BY4927" s="12">
        <f t="shared" ref="BY4927" si="1926">SUM(BY4727:BY4926)</f>
        <v>0</v>
      </c>
      <c r="BZ4927" s="12">
        <f t="shared" ref="BZ4927" si="1927">SUM(BZ4727:BZ4926)</f>
        <v>0</v>
      </c>
      <c r="CA4927" s="12">
        <f t="shared" ref="CA4927" si="1928">SUM(CA4727:CA4926)</f>
        <v>0</v>
      </c>
      <c r="CB4927" s="12">
        <f t="shared" ref="CB4927" si="1929">SUM(CB4727:CB4926)</f>
        <v>0</v>
      </c>
      <c r="CC4927" s="12">
        <f t="shared" ref="CC4927" si="1930">SUM(CC4727:CC4926)</f>
        <v>0</v>
      </c>
      <c r="CD4927" s="12">
        <f t="shared" ref="CD4927" si="1931">SUM(CD4727:CD4926)</f>
        <v>1</v>
      </c>
      <c r="CE4927" s="12">
        <f t="shared" ref="CE4927" si="1932">SUM(CE4727:CE4926)</f>
        <v>1</v>
      </c>
      <c r="CF4927" s="12">
        <f t="shared" ref="CF4927" si="1933">SUM(CF4727:CF4926)</f>
        <v>0</v>
      </c>
      <c r="CG4927" s="12">
        <f t="shared" ref="CG4927" si="1934">SUM(CG4727:CG4926)</f>
        <v>0</v>
      </c>
      <c r="CH4927" s="12">
        <f t="shared" ref="CH4927" si="1935">SUM(CH4727:CH4926)</f>
        <v>0</v>
      </c>
      <c r="CI4927" s="12">
        <f t="shared" ref="CI4927" si="1936">SUM(CI4727:CI4926)</f>
        <v>0</v>
      </c>
      <c r="CJ4927" s="12">
        <f t="shared" ref="CJ4927" si="1937">SUM(CJ4727:CJ4926)</f>
        <v>0</v>
      </c>
      <c r="CK4927" s="12">
        <f t="shared" ref="CK4927" si="1938">SUM(CK4727:CK4926)</f>
        <v>0</v>
      </c>
      <c r="CL4927" s="12">
        <f t="shared" ref="CL4927" si="1939">SUM(CL4727:CL4926)</f>
        <v>0</v>
      </c>
    </row>
    <row r="4928" spans="1:90" x14ac:dyDescent="0.3">
      <c r="A4928" s="1" t="s">
        <v>68</v>
      </c>
      <c r="B4928" s="7">
        <v>40766</v>
      </c>
      <c r="C4928" s="1">
        <v>8.5</v>
      </c>
      <c r="D4928" s="1">
        <v>277</v>
      </c>
      <c r="E4928" s="1">
        <v>0.5</v>
      </c>
      <c r="F4928" s="1">
        <v>1</v>
      </c>
      <c r="J4928" s="1">
        <v>1</v>
      </c>
    </row>
    <row r="4929" spans="1:19" x14ac:dyDescent="0.3">
      <c r="A4929" s="1" t="s">
        <v>68</v>
      </c>
      <c r="B4929" s="7">
        <v>40766</v>
      </c>
      <c r="C4929" s="1">
        <v>8.5</v>
      </c>
      <c r="D4929" s="1">
        <v>277</v>
      </c>
      <c r="E4929" s="1">
        <v>0.5</v>
      </c>
      <c r="F4929" s="1">
        <v>2</v>
      </c>
      <c r="J4929" s="1">
        <v>1</v>
      </c>
    </row>
    <row r="4930" spans="1:19" x14ac:dyDescent="0.3">
      <c r="A4930" s="1" t="s">
        <v>68</v>
      </c>
      <c r="B4930" s="7">
        <v>40766</v>
      </c>
      <c r="C4930" s="1">
        <v>8.5</v>
      </c>
      <c r="D4930" s="1">
        <v>277</v>
      </c>
      <c r="E4930" s="1">
        <v>0.5</v>
      </c>
      <c r="F4930" s="1">
        <v>3</v>
      </c>
      <c r="J4930" s="1">
        <v>1</v>
      </c>
    </row>
    <row r="4931" spans="1:19" x14ac:dyDescent="0.3">
      <c r="A4931" s="1" t="s">
        <v>68</v>
      </c>
      <c r="B4931" s="7">
        <v>40766</v>
      </c>
      <c r="C4931" s="1">
        <v>8.5</v>
      </c>
      <c r="D4931" s="1">
        <v>277</v>
      </c>
      <c r="E4931" s="1">
        <v>0.5</v>
      </c>
      <c r="F4931" s="1">
        <v>4</v>
      </c>
      <c r="L4931" s="1">
        <v>1</v>
      </c>
    </row>
    <row r="4932" spans="1:19" x14ac:dyDescent="0.3">
      <c r="A4932" s="1" t="s">
        <v>68</v>
      </c>
      <c r="B4932" s="7">
        <v>40766</v>
      </c>
      <c r="C4932" s="1">
        <v>8.5</v>
      </c>
      <c r="D4932" s="1">
        <v>277</v>
      </c>
      <c r="E4932" s="1">
        <v>0.5</v>
      </c>
      <c r="F4932" s="1">
        <v>5</v>
      </c>
      <c r="R4932" s="3">
        <v>0</v>
      </c>
      <c r="S4932" s="3">
        <v>1</v>
      </c>
    </row>
    <row r="4933" spans="1:19" x14ac:dyDescent="0.3">
      <c r="A4933" s="1" t="s">
        <v>68</v>
      </c>
      <c r="B4933" s="7">
        <v>40766</v>
      </c>
      <c r="C4933" s="1">
        <v>8.5</v>
      </c>
      <c r="D4933" s="1">
        <v>277</v>
      </c>
      <c r="E4933" s="1">
        <v>0.5</v>
      </c>
      <c r="F4933" s="1">
        <v>6</v>
      </c>
      <c r="R4933" s="1">
        <v>1</v>
      </c>
    </row>
    <row r="4934" spans="1:19" x14ac:dyDescent="0.3">
      <c r="A4934" s="1" t="s">
        <v>68</v>
      </c>
      <c r="B4934" s="7">
        <v>40766</v>
      </c>
      <c r="C4934" s="1">
        <v>8.5</v>
      </c>
      <c r="D4934" s="1">
        <v>277</v>
      </c>
      <c r="E4934" s="1">
        <v>0.5</v>
      </c>
      <c r="F4934" s="1">
        <v>7</v>
      </c>
      <c r="J4934" s="1">
        <v>1</v>
      </c>
    </row>
    <row r="4935" spans="1:19" x14ac:dyDescent="0.3">
      <c r="A4935" s="1" t="s">
        <v>68</v>
      </c>
      <c r="B4935" s="7">
        <v>40766</v>
      </c>
      <c r="C4935" s="1">
        <v>8.5</v>
      </c>
      <c r="D4935" s="1">
        <v>277</v>
      </c>
      <c r="E4935" s="1">
        <v>0.5</v>
      </c>
      <c r="F4935" s="1">
        <v>8</v>
      </c>
      <c r="R4935" s="1">
        <v>1</v>
      </c>
    </row>
    <row r="4936" spans="1:19" x14ac:dyDescent="0.3">
      <c r="A4936" s="1" t="s">
        <v>68</v>
      </c>
      <c r="B4936" s="7">
        <v>40766</v>
      </c>
      <c r="C4936" s="1">
        <v>8.5</v>
      </c>
      <c r="D4936" s="1">
        <v>277</v>
      </c>
      <c r="E4936" s="1">
        <v>0.5</v>
      </c>
      <c r="F4936" s="1">
        <v>9</v>
      </c>
      <c r="I4936" s="1">
        <v>1</v>
      </c>
      <c r="R4936" s="1">
        <v>1</v>
      </c>
    </row>
    <row r="4937" spans="1:19" x14ac:dyDescent="0.3">
      <c r="A4937" s="1" t="s">
        <v>68</v>
      </c>
      <c r="B4937" s="7">
        <v>40766</v>
      </c>
      <c r="C4937" s="1">
        <v>8.5</v>
      </c>
      <c r="D4937" s="1">
        <v>277</v>
      </c>
      <c r="E4937" s="1">
        <v>0.5</v>
      </c>
      <c r="F4937" s="1">
        <v>10</v>
      </c>
      <c r="H4937" s="1">
        <v>1</v>
      </c>
    </row>
    <row r="4938" spans="1:19" x14ac:dyDescent="0.3">
      <c r="A4938" s="1" t="s">
        <v>68</v>
      </c>
      <c r="B4938" s="7">
        <v>40766</v>
      </c>
      <c r="C4938" s="1">
        <v>8.5</v>
      </c>
      <c r="D4938" s="1">
        <v>277</v>
      </c>
      <c r="E4938" s="1">
        <v>0.5</v>
      </c>
      <c r="F4938" s="1">
        <v>11</v>
      </c>
      <c r="I4938" s="1">
        <v>1</v>
      </c>
    </row>
    <row r="4939" spans="1:19" x14ac:dyDescent="0.3">
      <c r="A4939" s="1" t="s">
        <v>68</v>
      </c>
      <c r="B4939" s="7">
        <v>40766</v>
      </c>
      <c r="C4939" s="1">
        <v>8.5</v>
      </c>
      <c r="D4939" s="1">
        <v>277</v>
      </c>
      <c r="E4939" s="1">
        <v>0.5</v>
      </c>
      <c r="F4939" s="1">
        <v>12</v>
      </c>
      <c r="J4939" s="3">
        <v>0</v>
      </c>
      <c r="K4939" s="3">
        <v>1</v>
      </c>
    </row>
    <row r="4940" spans="1:19" x14ac:dyDescent="0.3">
      <c r="A4940" s="1" t="s">
        <v>68</v>
      </c>
      <c r="B4940" s="7">
        <v>40766</v>
      </c>
      <c r="C4940" s="1">
        <v>8.5</v>
      </c>
      <c r="D4940" s="1">
        <v>277</v>
      </c>
      <c r="E4940" s="1">
        <v>0.5</v>
      </c>
      <c r="F4940" s="1">
        <v>13</v>
      </c>
      <c r="J4940" s="1">
        <v>1</v>
      </c>
      <c r="R4940" s="1">
        <v>1</v>
      </c>
    </row>
    <row r="4941" spans="1:19" x14ac:dyDescent="0.3">
      <c r="A4941" s="1" t="s">
        <v>68</v>
      </c>
      <c r="B4941" s="7">
        <v>40766</v>
      </c>
      <c r="C4941" s="1">
        <v>8.5</v>
      </c>
      <c r="D4941" s="1">
        <v>277</v>
      </c>
      <c r="E4941" s="1">
        <v>0.5</v>
      </c>
      <c r="F4941" s="1">
        <v>14</v>
      </c>
      <c r="J4941" s="1">
        <v>1</v>
      </c>
    </row>
    <row r="4942" spans="1:19" x14ac:dyDescent="0.3">
      <c r="A4942" s="1" t="s">
        <v>68</v>
      </c>
      <c r="B4942" s="7">
        <v>40766</v>
      </c>
      <c r="C4942" s="1">
        <v>8.5</v>
      </c>
      <c r="D4942" s="1">
        <v>277</v>
      </c>
      <c r="E4942" s="1">
        <v>0.5</v>
      </c>
      <c r="F4942" s="1">
        <v>15</v>
      </c>
      <c r="R4942" s="1">
        <v>1</v>
      </c>
    </row>
    <row r="4943" spans="1:19" x14ac:dyDescent="0.3">
      <c r="A4943" s="1" t="s">
        <v>68</v>
      </c>
      <c r="B4943" s="7">
        <v>40766</v>
      </c>
      <c r="C4943" s="1">
        <v>8.5</v>
      </c>
      <c r="D4943" s="1">
        <v>277</v>
      </c>
      <c r="E4943" s="1">
        <v>0.5</v>
      </c>
      <c r="F4943" s="1">
        <v>16</v>
      </c>
      <c r="R4943" s="3">
        <v>0</v>
      </c>
      <c r="S4943" s="3">
        <v>1</v>
      </c>
    </row>
    <row r="4944" spans="1:19" x14ac:dyDescent="0.3">
      <c r="A4944" s="1" t="s">
        <v>68</v>
      </c>
      <c r="B4944" s="7">
        <v>40766</v>
      </c>
      <c r="C4944" s="1">
        <v>8.5</v>
      </c>
      <c r="D4944" s="1">
        <v>277</v>
      </c>
      <c r="E4944" s="1">
        <v>0.5</v>
      </c>
      <c r="F4944" s="1">
        <v>17</v>
      </c>
    </row>
    <row r="4945" spans="1:19" x14ac:dyDescent="0.3">
      <c r="A4945" s="1" t="s">
        <v>68</v>
      </c>
      <c r="B4945" s="7">
        <v>40766</v>
      </c>
      <c r="C4945" s="1">
        <v>8.5</v>
      </c>
      <c r="D4945" s="1">
        <v>277</v>
      </c>
      <c r="E4945" s="1">
        <v>0.5</v>
      </c>
      <c r="F4945" s="1">
        <v>18</v>
      </c>
      <c r="R4945" s="1">
        <v>1</v>
      </c>
    </row>
    <row r="4946" spans="1:19" x14ac:dyDescent="0.3">
      <c r="A4946" s="1" t="s">
        <v>68</v>
      </c>
      <c r="B4946" s="7">
        <v>40766</v>
      </c>
      <c r="C4946" s="1">
        <v>8.5</v>
      </c>
      <c r="D4946" s="1">
        <v>277</v>
      </c>
      <c r="E4946" s="1">
        <v>0.5</v>
      </c>
      <c r="F4946" s="1">
        <v>19</v>
      </c>
      <c r="R4946" s="1">
        <v>1</v>
      </c>
    </row>
    <row r="4947" spans="1:19" x14ac:dyDescent="0.3">
      <c r="A4947" s="1" t="s">
        <v>68</v>
      </c>
      <c r="B4947" s="7">
        <v>40766</v>
      </c>
      <c r="C4947" s="1">
        <v>8.5</v>
      </c>
      <c r="D4947" s="1">
        <v>277</v>
      </c>
      <c r="E4947" s="1">
        <v>0.5</v>
      </c>
      <c r="F4947" s="1">
        <v>20</v>
      </c>
      <c r="J4947" s="3">
        <v>0</v>
      </c>
      <c r="K4947" s="3">
        <v>1</v>
      </c>
    </row>
    <row r="4948" spans="1:19" x14ac:dyDescent="0.3">
      <c r="A4948" s="1" t="s">
        <v>68</v>
      </c>
      <c r="B4948" s="7">
        <v>40766</v>
      </c>
      <c r="C4948" s="1">
        <v>8.5</v>
      </c>
      <c r="D4948" s="1">
        <v>277</v>
      </c>
      <c r="E4948" s="1">
        <v>0.5</v>
      </c>
      <c r="F4948" s="1">
        <v>21</v>
      </c>
      <c r="H4948" s="1">
        <v>1</v>
      </c>
    </row>
    <row r="4949" spans="1:19" x14ac:dyDescent="0.3">
      <c r="A4949" s="1" t="s">
        <v>68</v>
      </c>
      <c r="B4949" s="7">
        <v>40766</v>
      </c>
      <c r="C4949" s="1">
        <v>8.5</v>
      </c>
      <c r="D4949" s="1">
        <v>277</v>
      </c>
      <c r="E4949" s="1">
        <v>0.5</v>
      </c>
      <c r="F4949" s="1">
        <v>22</v>
      </c>
      <c r="J4949" s="1">
        <v>1</v>
      </c>
    </row>
    <row r="4950" spans="1:19" x14ac:dyDescent="0.3">
      <c r="A4950" s="1" t="s">
        <v>68</v>
      </c>
      <c r="B4950" s="7">
        <v>40766</v>
      </c>
      <c r="C4950" s="1">
        <v>8.5</v>
      </c>
      <c r="D4950" s="1">
        <v>277</v>
      </c>
      <c r="E4950" s="1">
        <v>0.5</v>
      </c>
      <c r="F4950" s="1">
        <v>23</v>
      </c>
      <c r="J4950" s="1">
        <v>1</v>
      </c>
    </row>
    <row r="4951" spans="1:19" x14ac:dyDescent="0.3">
      <c r="A4951" s="1" t="s">
        <v>68</v>
      </c>
      <c r="B4951" s="7">
        <v>40766</v>
      </c>
      <c r="C4951" s="1">
        <v>8.5</v>
      </c>
      <c r="D4951" s="1">
        <v>277</v>
      </c>
      <c r="E4951" s="1">
        <v>0.5</v>
      </c>
      <c r="F4951" s="1">
        <v>24</v>
      </c>
      <c r="J4951" s="1">
        <v>1</v>
      </c>
    </row>
    <row r="4952" spans="1:19" x14ac:dyDescent="0.3">
      <c r="A4952" s="1" t="s">
        <v>68</v>
      </c>
      <c r="B4952" s="7">
        <v>40766</v>
      </c>
      <c r="C4952" s="1">
        <v>8.5</v>
      </c>
      <c r="D4952" s="1">
        <v>277</v>
      </c>
      <c r="E4952" s="1">
        <v>0.5</v>
      </c>
      <c r="F4952" s="1">
        <v>25</v>
      </c>
      <c r="R4952" s="3">
        <v>0</v>
      </c>
      <c r="S4952" s="3">
        <v>1</v>
      </c>
    </row>
    <row r="4953" spans="1:19" x14ac:dyDescent="0.3">
      <c r="A4953" s="1" t="s">
        <v>68</v>
      </c>
      <c r="B4953" s="7">
        <v>40766</v>
      </c>
      <c r="C4953" s="1">
        <v>8.5</v>
      </c>
      <c r="D4953" s="1">
        <v>277</v>
      </c>
      <c r="E4953" s="1">
        <v>0.5</v>
      </c>
      <c r="F4953" s="1">
        <v>26</v>
      </c>
      <c r="R4953" s="3">
        <v>0</v>
      </c>
      <c r="S4953" s="3">
        <v>1</v>
      </c>
    </row>
    <row r="4954" spans="1:19" x14ac:dyDescent="0.3">
      <c r="A4954" s="1" t="s">
        <v>68</v>
      </c>
      <c r="B4954" s="7">
        <v>40766</v>
      </c>
      <c r="C4954" s="1">
        <v>8.5</v>
      </c>
      <c r="D4954" s="1">
        <v>277</v>
      </c>
      <c r="E4954" s="1">
        <v>0.5</v>
      </c>
      <c r="F4954" s="1">
        <v>27</v>
      </c>
      <c r="H4954" s="1">
        <v>1</v>
      </c>
    </row>
    <row r="4955" spans="1:19" x14ac:dyDescent="0.3">
      <c r="A4955" s="1" t="s">
        <v>68</v>
      </c>
      <c r="B4955" s="7">
        <v>40766</v>
      </c>
      <c r="C4955" s="1">
        <v>8.5</v>
      </c>
      <c r="D4955" s="1">
        <v>277</v>
      </c>
      <c r="E4955" s="1">
        <v>0.5</v>
      </c>
      <c r="F4955" s="1">
        <v>28</v>
      </c>
      <c r="H4955" s="1">
        <v>1</v>
      </c>
      <c r="I4955" s="1">
        <v>1</v>
      </c>
    </row>
    <row r="4956" spans="1:19" x14ac:dyDescent="0.3">
      <c r="A4956" s="1" t="s">
        <v>68</v>
      </c>
      <c r="B4956" s="7">
        <v>40766</v>
      </c>
      <c r="C4956" s="1">
        <v>8.5</v>
      </c>
      <c r="D4956" s="1">
        <v>277</v>
      </c>
      <c r="E4956" s="1">
        <v>0.5</v>
      </c>
      <c r="F4956" s="1">
        <v>29</v>
      </c>
      <c r="R4956" s="1">
        <v>1</v>
      </c>
    </row>
    <row r="4957" spans="1:19" x14ac:dyDescent="0.3">
      <c r="A4957" s="1" t="s">
        <v>68</v>
      </c>
      <c r="B4957" s="7">
        <v>40766</v>
      </c>
      <c r="C4957" s="1">
        <v>8.5</v>
      </c>
      <c r="D4957" s="1">
        <v>277</v>
      </c>
      <c r="E4957" s="1">
        <v>0.5</v>
      </c>
      <c r="F4957" s="1">
        <v>30</v>
      </c>
      <c r="J4957" s="1">
        <v>1</v>
      </c>
    </row>
    <row r="4958" spans="1:19" x14ac:dyDescent="0.3">
      <c r="A4958" s="1" t="s">
        <v>68</v>
      </c>
      <c r="B4958" s="7">
        <v>40766</v>
      </c>
      <c r="C4958" s="1">
        <v>8.5</v>
      </c>
      <c r="D4958" s="1">
        <v>277</v>
      </c>
      <c r="E4958" s="1">
        <v>0.5</v>
      </c>
      <c r="F4958" s="1">
        <v>31</v>
      </c>
      <c r="J4958" s="1">
        <v>1</v>
      </c>
    </row>
    <row r="4959" spans="1:19" x14ac:dyDescent="0.3">
      <c r="A4959" s="1" t="s">
        <v>68</v>
      </c>
      <c r="B4959" s="7">
        <v>40766</v>
      </c>
      <c r="C4959" s="1">
        <v>8.5</v>
      </c>
      <c r="D4959" s="1">
        <v>277</v>
      </c>
      <c r="E4959" s="1">
        <v>0.5</v>
      </c>
      <c r="F4959" s="1">
        <v>32</v>
      </c>
      <c r="J4959" s="1">
        <v>1</v>
      </c>
    </row>
    <row r="4960" spans="1:19" x14ac:dyDescent="0.3">
      <c r="A4960" s="1" t="s">
        <v>68</v>
      </c>
      <c r="B4960" s="7">
        <v>40766</v>
      </c>
      <c r="C4960" s="1">
        <v>8.5</v>
      </c>
      <c r="D4960" s="1">
        <v>277</v>
      </c>
      <c r="E4960" s="1">
        <v>0.5</v>
      </c>
      <c r="F4960" s="1">
        <v>33</v>
      </c>
    </row>
    <row r="4961" spans="1:45" x14ac:dyDescent="0.3">
      <c r="A4961" s="1" t="s">
        <v>68</v>
      </c>
      <c r="B4961" s="7">
        <v>40766</v>
      </c>
      <c r="C4961" s="1">
        <v>8.5</v>
      </c>
      <c r="D4961" s="1">
        <v>277</v>
      </c>
      <c r="E4961" s="1">
        <v>0.5</v>
      </c>
      <c r="F4961" s="1">
        <v>34</v>
      </c>
      <c r="R4961" s="3">
        <v>0</v>
      </c>
      <c r="S4961" s="3">
        <v>1</v>
      </c>
    </row>
    <row r="4962" spans="1:45" x14ac:dyDescent="0.3">
      <c r="A4962" s="1" t="s">
        <v>68</v>
      </c>
      <c r="B4962" s="7">
        <v>40766</v>
      </c>
      <c r="C4962" s="1">
        <v>8.5</v>
      </c>
      <c r="D4962" s="1">
        <v>277</v>
      </c>
      <c r="E4962" s="1">
        <v>0.5</v>
      </c>
      <c r="F4962" s="1">
        <v>35</v>
      </c>
      <c r="R4962" s="3">
        <v>0</v>
      </c>
      <c r="S4962" s="3">
        <v>1</v>
      </c>
    </row>
    <row r="4963" spans="1:45" x14ac:dyDescent="0.3">
      <c r="A4963" s="1" t="s">
        <v>68</v>
      </c>
      <c r="B4963" s="7">
        <v>40766</v>
      </c>
      <c r="C4963" s="1">
        <v>8.5</v>
      </c>
      <c r="D4963" s="1">
        <v>277</v>
      </c>
      <c r="E4963" s="1">
        <v>0.5</v>
      </c>
      <c r="F4963" s="1">
        <v>36</v>
      </c>
      <c r="J4963" s="1">
        <v>1</v>
      </c>
      <c r="R4963" s="1">
        <v>1</v>
      </c>
    </row>
    <row r="4964" spans="1:45" x14ac:dyDescent="0.3">
      <c r="A4964" s="1" t="s">
        <v>68</v>
      </c>
      <c r="B4964" s="7">
        <v>40766</v>
      </c>
      <c r="C4964" s="1">
        <v>8.5</v>
      </c>
      <c r="D4964" s="1">
        <v>277</v>
      </c>
      <c r="E4964" s="1">
        <v>0.5</v>
      </c>
      <c r="F4964" s="1">
        <v>37</v>
      </c>
      <c r="J4964" s="1">
        <v>1</v>
      </c>
      <c r="L4964" s="1">
        <v>1</v>
      </c>
    </row>
    <row r="4965" spans="1:45" x14ac:dyDescent="0.3">
      <c r="A4965" s="1" t="s">
        <v>68</v>
      </c>
      <c r="B4965" s="7">
        <v>40766</v>
      </c>
      <c r="C4965" s="1">
        <v>8.5</v>
      </c>
      <c r="D4965" s="1">
        <v>277</v>
      </c>
      <c r="E4965" s="1">
        <v>0.5</v>
      </c>
      <c r="F4965" s="1">
        <v>38</v>
      </c>
      <c r="J4965" s="3">
        <v>0</v>
      </c>
      <c r="K4965" s="3">
        <v>1</v>
      </c>
    </row>
    <row r="4966" spans="1:45" x14ac:dyDescent="0.3">
      <c r="A4966" s="1" t="s">
        <v>68</v>
      </c>
      <c r="B4966" s="7">
        <v>40766</v>
      </c>
      <c r="C4966" s="1">
        <v>8.5</v>
      </c>
      <c r="D4966" s="1">
        <v>277</v>
      </c>
      <c r="E4966" s="1">
        <v>0.5</v>
      </c>
      <c r="F4966" s="1">
        <v>39</v>
      </c>
      <c r="L4966" s="1">
        <v>1</v>
      </c>
      <c r="R4966" s="1">
        <v>1</v>
      </c>
    </row>
    <row r="4967" spans="1:45" x14ac:dyDescent="0.3">
      <c r="A4967" s="1" t="s">
        <v>68</v>
      </c>
      <c r="B4967" s="7">
        <v>40766</v>
      </c>
      <c r="C4967" s="1">
        <v>8.5</v>
      </c>
      <c r="D4967" s="1">
        <v>277</v>
      </c>
      <c r="E4967" s="1">
        <v>0.5</v>
      </c>
      <c r="F4967" s="1">
        <v>40</v>
      </c>
      <c r="R4967" s="1">
        <v>1</v>
      </c>
    </row>
    <row r="4968" spans="1:45" x14ac:dyDescent="0.3">
      <c r="A4968" s="1" t="s">
        <v>68</v>
      </c>
      <c r="B4968" s="7">
        <v>40766</v>
      </c>
      <c r="C4968" s="1">
        <v>8.5</v>
      </c>
      <c r="D4968" s="1">
        <v>277</v>
      </c>
      <c r="E4968" s="1">
        <v>0.5</v>
      </c>
      <c r="F4968" s="1">
        <v>41</v>
      </c>
      <c r="J4968" s="1">
        <v>1</v>
      </c>
      <c r="R4968" s="1">
        <v>1</v>
      </c>
    </row>
    <row r="4969" spans="1:45" x14ac:dyDescent="0.3">
      <c r="A4969" s="1" t="s">
        <v>68</v>
      </c>
      <c r="B4969" s="7">
        <v>40766</v>
      </c>
      <c r="C4969" s="1">
        <v>8.5</v>
      </c>
      <c r="D4969" s="1">
        <v>277</v>
      </c>
      <c r="E4969" s="1">
        <v>0.5</v>
      </c>
      <c r="F4969" s="1">
        <v>42</v>
      </c>
      <c r="J4969" s="1">
        <v>1</v>
      </c>
    </row>
    <row r="4970" spans="1:45" x14ac:dyDescent="0.3">
      <c r="A4970" s="1" t="s">
        <v>68</v>
      </c>
      <c r="B4970" s="7">
        <v>40766</v>
      </c>
      <c r="C4970" s="1">
        <v>8.5</v>
      </c>
      <c r="D4970" s="1">
        <v>277</v>
      </c>
      <c r="E4970" s="1">
        <v>0.5</v>
      </c>
      <c r="F4970" s="1">
        <v>43</v>
      </c>
      <c r="J4970" s="1">
        <v>1</v>
      </c>
    </row>
    <row r="4971" spans="1:45" x14ac:dyDescent="0.3">
      <c r="A4971" s="1" t="s">
        <v>68</v>
      </c>
      <c r="B4971" s="7">
        <v>40766</v>
      </c>
      <c r="C4971" s="1">
        <v>8.5</v>
      </c>
      <c r="D4971" s="1">
        <v>277</v>
      </c>
      <c r="E4971" s="1">
        <v>0.5</v>
      </c>
      <c r="F4971" s="1">
        <v>44</v>
      </c>
      <c r="J4971" s="1">
        <v>1</v>
      </c>
      <c r="V4971" s="1">
        <v>1</v>
      </c>
    </row>
    <row r="4972" spans="1:45" x14ac:dyDescent="0.3">
      <c r="A4972" s="1" t="s">
        <v>68</v>
      </c>
      <c r="B4972" s="7">
        <v>40766</v>
      </c>
      <c r="C4972" s="1">
        <v>8.5</v>
      </c>
      <c r="D4972" s="1">
        <v>277</v>
      </c>
      <c r="E4972" s="1">
        <v>0.5</v>
      </c>
      <c r="F4972" s="1">
        <v>45</v>
      </c>
      <c r="L4972" s="1">
        <v>1</v>
      </c>
      <c r="R4972" s="1">
        <v>1</v>
      </c>
    </row>
    <row r="4973" spans="1:45" x14ac:dyDescent="0.3">
      <c r="A4973" s="1" t="s">
        <v>68</v>
      </c>
      <c r="B4973" s="7">
        <v>40766</v>
      </c>
      <c r="C4973" s="1">
        <v>8.5</v>
      </c>
      <c r="D4973" s="1">
        <v>277</v>
      </c>
      <c r="E4973" s="1">
        <v>0.5</v>
      </c>
      <c r="F4973" s="1">
        <v>46</v>
      </c>
      <c r="J4973" s="1">
        <v>1</v>
      </c>
      <c r="R4973" s="1">
        <v>1</v>
      </c>
    </row>
    <row r="4974" spans="1:45" x14ac:dyDescent="0.3">
      <c r="A4974" s="1" t="s">
        <v>68</v>
      </c>
      <c r="B4974" s="7">
        <v>40766</v>
      </c>
      <c r="C4974" s="1">
        <v>8.5</v>
      </c>
      <c r="D4974" s="1">
        <v>277</v>
      </c>
      <c r="E4974" s="1">
        <v>0.5</v>
      </c>
      <c r="F4974" s="1">
        <v>47</v>
      </c>
      <c r="R4974" s="1">
        <v>1</v>
      </c>
      <c r="AS4974" s="1">
        <v>1</v>
      </c>
    </row>
    <row r="4975" spans="1:45" x14ac:dyDescent="0.3">
      <c r="A4975" s="1" t="s">
        <v>68</v>
      </c>
      <c r="B4975" s="7">
        <v>40766</v>
      </c>
      <c r="C4975" s="1">
        <v>8.5</v>
      </c>
      <c r="D4975" s="1">
        <v>277</v>
      </c>
      <c r="E4975" s="1">
        <v>0.5</v>
      </c>
      <c r="F4975" s="1">
        <v>48</v>
      </c>
      <c r="R4975" s="1">
        <v>1</v>
      </c>
    </row>
    <row r="4976" spans="1:45" x14ac:dyDescent="0.3">
      <c r="A4976" s="1" t="s">
        <v>68</v>
      </c>
      <c r="B4976" s="7">
        <v>40766</v>
      </c>
      <c r="C4976" s="1">
        <v>8.5</v>
      </c>
      <c r="D4976" s="1">
        <v>277</v>
      </c>
      <c r="E4976" s="1">
        <v>0.5</v>
      </c>
      <c r="F4976" s="1">
        <v>49</v>
      </c>
      <c r="J4976" s="1">
        <v>1</v>
      </c>
    </row>
    <row r="4977" spans="1:35" x14ac:dyDescent="0.3">
      <c r="A4977" s="1" t="s">
        <v>68</v>
      </c>
      <c r="B4977" s="7">
        <v>40766</v>
      </c>
      <c r="C4977" s="1">
        <v>8.5</v>
      </c>
      <c r="D4977" s="1">
        <v>277</v>
      </c>
      <c r="E4977" s="1">
        <v>0.5</v>
      </c>
      <c r="F4977" s="1">
        <v>50</v>
      </c>
      <c r="R4977" s="3">
        <v>0</v>
      </c>
      <c r="S4977" s="3">
        <v>1</v>
      </c>
    </row>
    <row r="4978" spans="1:35" x14ac:dyDescent="0.3">
      <c r="A4978" s="1" t="s">
        <v>68</v>
      </c>
      <c r="B4978" s="7">
        <v>40766</v>
      </c>
      <c r="C4978" s="1">
        <v>8.5</v>
      </c>
      <c r="D4978" s="1">
        <v>277</v>
      </c>
      <c r="E4978" s="1">
        <v>0.5</v>
      </c>
      <c r="F4978" s="1">
        <v>51</v>
      </c>
      <c r="J4978" s="3">
        <v>0</v>
      </c>
      <c r="K4978" s="3">
        <v>1</v>
      </c>
    </row>
    <row r="4979" spans="1:35" x14ac:dyDescent="0.3">
      <c r="A4979" s="1" t="s">
        <v>68</v>
      </c>
      <c r="B4979" s="7">
        <v>40766</v>
      </c>
      <c r="C4979" s="1">
        <v>8.5</v>
      </c>
      <c r="D4979" s="1">
        <v>277</v>
      </c>
      <c r="E4979" s="1">
        <v>0.5</v>
      </c>
      <c r="F4979" s="1">
        <v>52</v>
      </c>
      <c r="J4979" s="3">
        <v>0</v>
      </c>
      <c r="K4979" s="3">
        <v>1</v>
      </c>
    </row>
    <row r="4980" spans="1:35" x14ac:dyDescent="0.3">
      <c r="A4980" s="1" t="s">
        <v>68</v>
      </c>
      <c r="B4980" s="7">
        <v>40766</v>
      </c>
      <c r="C4980" s="1">
        <v>8.5</v>
      </c>
      <c r="D4980" s="1">
        <v>277</v>
      </c>
      <c r="E4980" s="1">
        <v>0.5</v>
      </c>
      <c r="F4980" s="1">
        <v>53</v>
      </c>
      <c r="J4980" s="1">
        <v>1</v>
      </c>
      <c r="R4980" s="1">
        <v>1</v>
      </c>
    </row>
    <row r="4981" spans="1:35" x14ac:dyDescent="0.3">
      <c r="A4981" s="1" t="s">
        <v>68</v>
      </c>
      <c r="B4981" s="7">
        <v>40766</v>
      </c>
      <c r="C4981" s="1">
        <v>8.5</v>
      </c>
      <c r="D4981" s="1">
        <v>277</v>
      </c>
      <c r="E4981" s="1">
        <v>0.5</v>
      </c>
      <c r="F4981" s="1">
        <v>54</v>
      </c>
      <c r="R4981" s="1">
        <v>1</v>
      </c>
    </row>
    <row r="4982" spans="1:35" x14ac:dyDescent="0.3">
      <c r="A4982" s="1" t="s">
        <v>68</v>
      </c>
      <c r="B4982" s="7">
        <v>40766</v>
      </c>
      <c r="C4982" s="1">
        <v>8.5</v>
      </c>
      <c r="D4982" s="1">
        <v>277</v>
      </c>
      <c r="E4982" s="1">
        <v>0.5</v>
      </c>
      <c r="F4982" s="1">
        <v>55</v>
      </c>
    </row>
    <row r="4983" spans="1:35" x14ac:dyDescent="0.3">
      <c r="A4983" s="1" t="s">
        <v>68</v>
      </c>
      <c r="B4983" s="7">
        <v>40766</v>
      </c>
      <c r="C4983" s="1">
        <v>8.5</v>
      </c>
      <c r="D4983" s="1">
        <v>277</v>
      </c>
      <c r="E4983" s="1">
        <v>0.5</v>
      </c>
      <c r="F4983" s="1">
        <v>56</v>
      </c>
      <c r="R4983" s="1">
        <v>1</v>
      </c>
      <c r="AI4983" s="1">
        <v>1</v>
      </c>
    </row>
    <row r="4984" spans="1:35" x14ac:dyDescent="0.3">
      <c r="A4984" s="1" t="s">
        <v>68</v>
      </c>
      <c r="B4984" s="7">
        <v>40766</v>
      </c>
      <c r="C4984" s="1">
        <v>8.5</v>
      </c>
      <c r="D4984" s="1">
        <v>277</v>
      </c>
      <c r="E4984" s="1">
        <v>0.5</v>
      </c>
      <c r="F4984" s="1">
        <v>57</v>
      </c>
      <c r="R4984" s="1">
        <v>1</v>
      </c>
    </row>
    <row r="4985" spans="1:35" x14ac:dyDescent="0.3">
      <c r="A4985" s="1" t="s">
        <v>68</v>
      </c>
      <c r="B4985" s="7">
        <v>40766</v>
      </c>
      <c r="C4985" s="1">
        <v>8.5</v>
      </c>
      <c r="D4985" s="1">
        <v>277</v>
      </c>
      <c r="E4985" s="1">
        <v>0.5</v>
      </c>
      <c r="F4985" s="1">
        <v>58</v>
      </c>
      <c r="I4985" s="1">
        <v>1</v>
      </c>
      <c r="J4985" s="1">
        <v>1</v>
      </c>
    </row>
    <row r="4986" spans="1:35" x14ac:dyDescent="0.3">
      <c r="A4986" s="1" t="s">
        <v>68</v>
      </c>
      <c r="B4986" s="7">
        <v>40766</v>
      </c>
      <c r="C4986" s="1">
        <v>8.5</v>
      </c>
      <c r="D4986" s="1">
        <v>277</v>
      </c>
      <c r="E4986" s="1">
        <v>0.5</v>
      </c>
      <c r="F4986" s="1">
        <v>59</v>
      </c>
      <c r="H4986" s="1">
        <v>1</v>
      </c>
      <c r="R4986" s="1">
        <v>1</v>
      </c>
    </row>
    <row r="4987" spans="1:35" x14ac:dyDescent="0.3">
      <c r="A4987" s="1" t="s">
        <v>68</v>
      </c>
      <c r="B4987" s="7">
        <v>40766</v>
      </c>
      <c r="C4987" s="1">
        <v>8.5</v>
      </c>
      <c r="D4987" s="1">
        <v>277</v>
      </c>
      <c r="E4987" s="1">
        <v>0.5</v>
      </c>
      <c r="F4987" s="1">
        <v>60</v>
      </c>
      <c r="R4987" s="3">
        <v>0</v>
      </c>
      <c r="S4987" s="3">
        <v>1</v>
      </c>
    </row>
    <row r="4988" spans="1:35" x14ac:dyDescent="0.3">
      <c r="A4988" s="1" t="s">
        <v>68</v>
      </c>
      <c r="B4988" s="7">
        <v>40766</v>
      </c>
      <c r="C4988" s="1">
        <v>8.5</v>
      </c>
      <c r="D4988" s="1">
        <v>277</v>
      </c>
      <c r="E4988" s="1">
        <v>0.5</v>
      </c>
      <c r="F4988" s="1">
        <v>61</v>
      </c>
      <c r="J4988" s="1">
        <v>1</v>
      </c>
      <c r="R4988" s="8">
        <v>1</v>
      </c>
      <c r="S4988" s="8"/>
    </row>
    <row r="4989" spans="1:35" x14ac:dyDescent="0.3">
      <c r="A4989" s="1" t="s">
        <v>68</v>
      </c>
      <c r="B4989" s="7">
        <v>40766</v>
      </c>
      <c r="C4989" s="1">
        <v>8.5</v>
      </c>
      <c r="D4989" s="1">
        <v>277</v>
      </c>
      <c r="E4989" s="1">
        <v>0.5</v>
      </c>
      <c r="F4989" s="1">
        <v>62</v>
      </c>
      <c r="L4989" s="1">
        <v>1</v>
      </c>
    </row>
    <row r="4990" spans="1:35" x14ac:dyDescent="0.3">
      <c r="A4990" s="1" t="s">
        <v>68</v>
      </c>
      <c r="B4990" s="7">
        <v>40766</v>
      </c>
      <c r="C4990" s="1">
        <v>8.5</v>
      </c>
      <c r="D4990" s="1">
        <v>277</v>
      </c>
      <c r="E4990" s="1">
        <v>0.5</v>
      </c>
      <c r="F4990" s="1">
        <v>63</v>
      </c>
      <c r="H4990" s="1">
        <v>1</v>
      </c>
      <c r="I4990" s="1">
        <v>1</v>
      </c>
    </row>
    <row r="4991" spans="1:35" x14ac:dyDescent="0.3">
      <c r="A4991" s="1" t="s">
        <v>68</v>
      </c>
      <c r="B4991" s="7">
        <v>40766</v>
      </c>
      <c r="C4991" s="1">
        <v>8.5</v>
      </c>
      <c r="D4991" s="1">
        <v>277</v>
      </c>
      <c r="E4991" s="1">
        <v>0.5</v>
      </c>
      <c r="F4991" s="1">
        <v>64</v>
      </c>
      <c r="AI4991" s="1">
        <v>1</v>
      </c>
    </row>
    <row r="4992" spans="1:35" x14ac:dyDescent="0.3">
      <c r="A4992" s="1" t="s">
        <v>68</v>
      </c>
      <c r="B4992" s="7">
        <v>40766</v>
      </c>
      <c r="C4992" s="1">
        <v>8.5</v>
      </c>
      <c r="D4992" s="1">
        <v>277</v>
      </c>
      <c r="E4992" s="1">
        <v>0.5</v>
      </c>
      <c r="F4992" s="1">
        <v>65</v>
      </c>
      <c r="R4992" s="1">
        <v>1</v>
      </c>
      <c r="V4992" s="1">
        <v>1</v>
      </c>
    </row>
    <row r="4993" spans="1:32" x14ac:dyDescent="0.3">
      <c r="A4993" s="1" t="s">
        <v>68</v>
      </c>
      <c r="B4993" s="7">
        <v>40766</v>
      </c>
      <c r="C4993" s="1">
        <v>8.5</v>
      </c>
      <c r="D4993" s="1">
        <v>277</v>
      </c>
      <c r="E4993" s="1">
        <v>0.5</v>
      </c>
      <c r="F4993" s="1">
        <v>66</v>
      </c>
      <c r="R4993" s="1">
        <v>1</v>
      </c>
    </row>
    <row r="4994" spans="1:32" x14ac:dyDescent="0.3">
      <c r="A4994" s="1" t="s">
        <v>68</v>
      </c>
      <c r="B4994" s="7">
        <v>40766</v>
      </c>
      <c r="C4994" s="1">
        <v>8.5</v>
      </c>
      <c r="D4994" s="1">
        <v>277</v>
      </c>
      <c r="E4994" s="1">
        <v>0.5</v>
      </c>
      <c r="F4994" s="1">
        <v>67</v>
      </c>
      <c r="R4994" s="3">
        <v>0</v>
      </c>
      <c r="S4994" s="3">
        <v>1</v>
      </c>
      <c r="AB4994" s="1">
        <v>1</v>
      </c>
    </row>
    <row r="4995" spans="1:32" x14ac:dyDescent="0.3">
      <c r="A4995" s="1" t="s">
        <v>68</v>
      </c>
      <c r="B4995" s="7">
        <v>40766</v>
      </c>
      <c r="C4995" s="1">
        <v>8.5</v>
      </c>
      <c r="D4995" s="1">
        <v>277</v>
      </c>
      <c r="E4995" s="1">
        <v>0.5</v>
      </c>
      <c r="F4995" s="1">
        <v>68</v>
      </c>
      <c r="L4995" s="1">
        <v>1</v>
      </c>
      <c r="R4995" s="1">
        <v>1</v>
      </c>
    </row>
    <row r="4996" spans="1:32" x14ac:dyDescent="0.3">
      <c r="A4996" s="1" t="s">
        <v>68</v>
      </c>
      <c r="B4996" s="7">
        <v>40766</v>
      </c>
      <c r="C4996" s="1">
        <v>8.5</v>
      </c>
      <c r="D4996" s="1">
        <v>277</v>
      </c>
      <c r="E4996" s="1">
        <v>0.5</v>
      </c>
      <c r="F4996" s="1">
        <v>69</v>
      </c>
      <c r="R4996" s="1">
        <v>1</v>
      </c>
    </row>
    <row r="4997" spans="1:32" x14ac:dyDescent="0.3">
      <c r="A4997" s="1" t="s">
        <v>68</v>
      </c>
      <c r="B4997" s="7">
        <v>40766</v>
      </c>
      <c r="C4997" s="1">
        <v>8.5</v>
      </c>
      <c r="D4997" s="1">
        <v>277</v>
      </c>
      <c r="E4997" s="1">
        <v>0.5</v>
      </c>
      <c r="F4997" s="1">
        <v>70</v>
      </c>
      <c r="R4997" s="1">
        <v>1</v>
      </c>
    </row>
    <row r="4998" spans="1:32" x14ac:dyDescent="0.3">
      <c r="A4998" s="1" t="s">
        <v>68</v>
      </c>
      <c r="B4998" s="7">
        <v>40766</v>
      </c>
      <c r="C4998" s="1">
        <v>8.5</v>
      </c>
      <c r="D4998" s="1">
        <v>277</v>
      </c>
      <c r="E4998" s="1">
        <v>0.5</v>
      </c>
      <c r="F4998" s="1">
        <v>71</v>
      </c>
      <c r="J4998" s="1">
        <v>1</v>
      </c>
    </row>
    <row r="4999" spans="1:32" x14ac:dyDescent="0.3">
      <c r="A4999" s="1" t="s">
        <v>68</v>
      </c>
      <c r="B4999" s="7">
        <v>40766</v>
      </c>
      <c r="C4999" s="1">
        <v>8.5</v>
      </c>
      <c r="D4999" s="1">
        <v>277</v>
      </c>
      <c r="E4999" s="1">
        <v>0.5</v>
      </c>
      <c r="F4999" s="1">
        <v>72</v>
      </c>
      <c r="J4999" s="1">
        <v>1</v>
      </c>
    </row>
    <row r="5000" spans="1:32" x14ac:dyDescent="0.3">
      <c r="A5000" s="1" t="s">
        <v>68</v>
      </c>
      <c r="B5000" s="7">
        <v>40766</v>
      </c>
      <c r="C5000" s="1">
        <v>8.5</v>
      </c>
      <c r="D5000" s="1">
        <v>277</v>
      </c>
      <c r="E5000" s="1">
        <v>0.5</v>
      </c>
      <c r="F5000" s="1">
        <v>73</v>
      </c>
      <c r="H5000" s="1">
        <v>1</v>
      </c>
    </row>
    <row r="5001" spans="1:32" x14ac:dyDescent="0.3">
      <c r="A5001" s="1" t="s">
        <v>68</v>
      </c>
      <c r="B5001" s="7">
        <v>40766</v>
      </c>
      <c r="C5001" s="1">
        <v>8.5</v>
      </c>
      <c r="D5001" s="1">
        <v>277</v>
      </c>
      <c r="E5001" s="1">
        <v>0.5</v>
      </c>
      <c r="F5001" s="1">
        <v>74</v>
      </c>
      <c r="L5001" s="1">
        <v>1</v>
      </c>
    </row>
    <row r="5002" spans="1:32" x14ac:dyDescent="0.3">
      <c r="A5002" s="1" t="s">
        <v>68</v>
      </c>
      <c r="B5002" s="7">
        <v>40766</v>
      </c>
      <c r="C5002" s="1">
        <v>8.5</v>
      </c>
      <c r="D5002" s="1">
        <v>277</v>
      </c>
      <c r="E5002" s="1">
        <v>0.5</v>
      </c>
      <c r="F5002" s="1">
        <v>75</v>
      </c>
      <c r="J5002" s="1">
        <v>1</v>
      </c>
      <c r="R5002" s="1">
        <v>1</v>
      </c>
    </row>
    <row r="5003" spans="1:32" x14ac:dyDescent="0.3">
      <c r="A5003" s="1" t="s">
        <v>68</v>
      </c>
      <c r="B5003" s="7">
        <v>40766</v>
      </c>
      <c r="C5003" s="1">
        <v>8.5</v>
      </c>
      <c r="D5003" s="1">
        <v>277</v>
      </c>
      <c r="E5003" s="1">
        <v>0.5</v>
      </c>
      <c r="F5003" s="1">
        <v>76</v>
      </c>
      <c r="R5003" s="1">
        <v>1</v>
      </c>
    </row>
    <row r="5004" spans="1:32" x14ac:dyDescent="0.3">
      <c r="A5004" s="1" t="s">
        <v>68</v>
      </c>
      <c r="B5004" s="7">
        <v>40766</v>
      </c>
      <c r="C5004" s="1">
        <v>8.5</v>
      </c>
      <c r="D5004" s="1">
        <v>277</v>
      </c>
      <c r="E5004" s="1">
        <v>0.5</v>
      </c>
      <c r="F5004" s="1">
        <v>77</v>
      </c>
      <c r="J5004" s="1">
        <v>1</v>
      </c>
    </row>
    <row r="5005" spans="1:32" x14ac:dyDescent="0.3">
      <c r="A5005" s="1" t="s">
        <v>68</v>
      </c>
      <c r="B5005" s="7">
        <v>40766</v>
      </c>
      <c r="C5005" s="1">
        <v>8.5</v>
      </c>
      <c r="D5005" s="1">
        <v>277</v>
      </c>
      <c r="E5005" s="1">
        <v>0.5</v>
      </c>
      <c r="F5005" s="1">
        <v>78</v>
      </c>
      <c r="AF5005" s="1">
        <v>1</v>
      </c>
    </row>
    <row r="5006" spans="1:32" x14ac:dyDescent="0.3">
      <c r="A5006" s="1" t="s">
        <v>68</v>
      </c>
      <c r="B5006" s="7">
        <v>40766</v>
      </c>
      <c r="C5006" s="1">
        <v>8.5</v>
      </c>
      <c r="D5006" s="1">
        <v>277</v>
      </c>
      <c r="E5006" s="1">
        <v>0.5</v>
      </c>
      <c r="F5006" s="1">
        <v>79</v>
      </c>
      <c r="R5006" s="1">
        <v>1</v>
      </c>
    </row>
    <row r="5007" spans="1:32" x14ac:dyDescent="0.3">
      <c r="A5007" s="1" t="s">
        <v>68</v>
      </c>
      <c r="B5007" s="7">
        <v>40766</v>
      </c>
      <c r="C5007" s="1">
        <v>8.5</v>
      </c>
      <c r="D5007" s="1">
        <v>277</v>
      </c>
      <c r="E5007" s="1">
        <v>0.5</v>
      </c>
      <c r="F5007" s="1">
        <v>80</v>
      </c>
      <c r="V5007" s="1">
        <v>1</v>
      </c>
    </row>
    <row r="5008" spans="1:32" x14ac:dyDescent="0.3">
      <c r="A5008" s="1" t="s">
        <v>68</v>
      </c>
      <c r="B5008" s="7">
        <v>40766</v>
      </c>
      <c r="C5008" s="1">
        <v>8.5</v>
      </c>
      <c r="D5008" s="1">
        <v>277</v>
      </c>
      <c r="E5008" s="1">
        <v>0.5</v>
      </c>
      <c r="F5008" s="1">
        <v>81</v>
      </c>
    </row>
    <row r="5009" spans="1:61" x14ac:dyDescent="0.3">
      <c r="A5009" s="1" t="s">
        <v>68</v>
      </c>
      <c r="B5009" s="7">
        <v>40766</v>
      </c>
      <c r="C5009" s="1">
        <v>8.5</v>
      </c>
      <c r="D5009" s="1">
        <v>277</v>
      </c>
      <c r="E5009" s="1">
        <v>0.5</v>
      </c>
      <c r="F5009" s="1">
        <v>82</v>
      </c>
      <c r="J5009" s="3">
        <v>0</v>
      </c>
      <c r="K5009" s="3">
        <v>1</v>
      </c>
    </row>
    <row r="5010" spans="1:61" x14ac:dyDescent="0.3">
      <c r="A5010" s="1" t="s">
        <v>68</v>
      </c>
      <c r="B5010" s="7">
        <v>40766</v>
      </c>
      <c r="C5010" s="1">
        <v>8.5</v>
      </c>
      <c r="D5010" s="1">
        <v>277</v>
      </c>
      <c r="E5010" s="1">
        <v>0.5</v>
      </c>
      <c r="F5010" s="1">
        <v>83</v>
      </c>
      <c r="J5010" s="1">
        <v>1</v>
      </c>
    </row>
    <row r="5011" spans="1:61" x14ac:dyDescent="0.3">
      <c r="A5011" s="1" t="s">
        <v>68</v>
      </c>
      <c r="B5011" s="7">
        <v>40766</v>
      </c>
      <c r="C5011" s="1">
        <v>8.5</v>
      </c>
      <c r="D5011" s="1">
        <v>277</v>
      </c>
      <c r="E5011" s="1">
        <v>0.5</v>
      </c>
      <c r="F5011" s="1">
        <v>84</v>
      </c>
      <c r="R5011" s="1">
        <v>1</v>
      </c>
      <c r="BI5011" s="1">
        <v>1</v>
      </c>
    </row>
    <row r="5012" spans="1:61" x14ac:dyDescent="0.3">
      <c r="A5012" s="1" t="s">
        <v>68</v>
      </c>
      <c r="B5012" s="7">
        <v>40766</v>
      </c>
      <c r="C5012" s="1">
        <v>8.5</v>
      </c>
      <c r="D5012" s="1">
        <v>277</v>
      </c>
      <c r="E5012" s="1">
        <v>0.5</v>
      </c>
      <c r="F5012" s="1">
        <v>85</v>
      </c>
      <c r="L5012" s="1">
        <v>1</v>
      </c>
    </row>
    <row r="5013" spans="1:61" x14ac:dyDescent="0.3">
      <c r="A5013" s="1" t="s">
        <v>68</v>
      </c>
      <c r="B5013" s="7">
        <v>40766</v>
      </c>
      <c r="C5013" s="1">
        <v>8.5</v>
      </c>
      <c r="D5013" s="1">
        <v>277</v>
      </c>
      <c r="E5013" s="1">
        <v>0.5</v>
      </c>
      <c r="F5013" s="1">
        <v>86</v>
      </c>
      <c r="J5013" s="1">
        <v>1</v>
      </c>
    </row>
    <row r="5014" spans="1:61" x14ac:dyDescent="0.3">
      <c r="A5014" s="1" t="s">
        <v>68</v>
      </c>
      <c r="B5014" s="7">
        <v>40766</v>
      </c>
      <c r="C5014" s="1">
        <v>8.5</v>
      </c>
      <c r="D5014" s="1">
        <v>277</v>
      </c>
      <c r="E5014" s="1">
        <v>0.5</v>
      </c>
      <c r="F5014" s="1">
        <v>87</v>
      </c>
      <c r="R5014" s="1">
        <v>1</v>
      </c>
    </row>
    <row r="5015" spans="1:61" x14ac:dyDescent="0.3">
      <c r="A5015" s="1" t="s">
        <v>68</v>
      </c>
      <c r="B5015" s="7">
        <v>40766</v>
      </c>
      <c r="C5015" s="1">
        <v>8.5</v>
      </c>
      <c r="D5015" s="1">
        <v>277</v>
      </c>
      <c r="E5015" s="1">
        <v>0.5</v>
      </c>
      <c r="F5015" s="1">
        <v>88</v>
      </c>
      <c r="R5015" s="1">
        <v>1</v>
      </c>
    </row>
    <row r="5016" spans="1:61" x14ac:dyDescent="0.3">
      <c r="A5016" s="1" t="s">
        <v>68</v>
      </c>
      <c r="B5016" s="7">
        <v>40766</v>
      </c>
      <c r="C5016" s="1">
        <v>8.5</v>
      </c>
      <c r="D5016" s="1">
        <v>277</v>
      </c>
      <c r="E5016" s="1">
        <v>0.5</v>
      </c>
      <c r="F5016" s="1">
        <v>89</v>
      </c>
      <c r="I5016" s="1">
        <v>1</v>
      </c>
      <c r="R5016" s="1">
        <v>1</v>
      </c>
    </row>
    <row r="5017" spans="1:61" x14ac:dyDescent="0.3">
      <c r="A5017" s="1" t="s">
        <v>68</v>
      </c>
      <c r="B5017" s="7">
        <v>40766</v>
      </c>
      <c r="C5017" s="1">
        <v>8.5</v>
      </c>
      <c r="D5017" s="1">
        <v>277</v>
      </c>
      <c r="E5017" s="1">
        <v>0.5</v>
      </c>
      <c r="F5017" s="1">
        <v>90</v>
      </c>
      <c r="J5017" s="1">
        <v>1</v>
      </c>
    </row>
    <row r="5018" spans="1:61" x14ac:dyDescent="0.3">
      <c r="A5018" s="1" t="s">
        <v>68</v>
      </c>
      <c r="B5018" s="7">
        <v>40766</v>
      </c>
      <c r="C5018" s="1">
        <v>8.5</v>
      </c>
      <c r="D5018" s="1">
        <v>277</v>
      </c>
      <c r="E5018" s="1">
        <v>0.5</v>
      </c>
      <c r="F5018" s="1">
        <v>91</v>
      </c>
      <c r="J5018" s="1">
        <v>1</v>
      </c>
      <c r="R5018" s="1">
        <v>1</v>
      </c>
    </row>
    <row r="5019" spans="1:61" x14ac:dyDescent="0.3">
      <c r="A5019" s="1" t="s">
        <v>68</v>
      </c>
      <c r="B5019" s="7">
        <v>40766</v>
      </c>
      <c r="C5019" s="1">
        <v>8.5</v>
      </c>
      <c r="D5019" s="1">
        <v>277</v>
      </c>
      <c r="E5019" s="1">
        <v>0.5</v>
      </c>
      <c r="F5019" s="1">
        <v>92</v>
      </c>
      <c r="J5019" s="1">
        <v>1</v>
      </c>
    </row>
    <row r="5020" spans="1:61" x14ac:dyDescent="0.3">
      <c r="A5020" s="1" t="s">
        <v>68</v>
      </c>
      <c r="B5020" s="7">
        <v>40766</v>
      </c>
      <c r="C5020" s="1">
        <v>8.5</v>
      </c>
      <c r="D5020" s="1">
        <v>277</v>
      </c>
      <c r="E5020" s="1">
        <v>0.5</v>
      </c>
      <c r="F5020" s="1">
        <v>93</v>
      </c>
      <c r="J5020" s="1">
        <v>1</v>
      </c>
    </row>
    <row r="5021" spans="1:61" x14ac:dyDescent="0.3">
      <c r="A5021" s="1" t="s">
        <v>68</v>
      </c>
      <c r="B5021" s="7">
        <v>40766</v>
      </c>
      <c r="C5021" s="1">
        <v>8.5</v>
      </c>
      <c r="D5021" s="1">
        <v>277</v>
      </c>
      <c r="E5021" s="1">
        <v>0.5</v>
      </c>
      <c r="F5021" s="1">
        <v>94</v>
      </c>
      <c r="R5021" s="3">
        <v>0</v>
      </c>
      <c r="S5021" s="3">
        <v>1</v>
      </c>
    </row>
    <row r="5022" spans="1:61" x14ac:dyDescent="0.3">
      <c r="A5022" s="1" t="s">
        <v>68</v>
      </c>
      <c r="B5022" s="7">
        <v>40766</v>
      </c>
      <c r="C5022" s="1">
        <v>8.5</v>
      </c>
      <c r="D5022" s="1">
        <v>277</v>
      </c>
      <c r="E5022" s="1">
        <v>0.5</v>
      </c>
      <c r="F5022" s="1">
        <v>95</v>
      </c>
      <c r="R5022" s="1">
        <v>1</v>
      </c>
    </row>
    <row r="5023" spans="1:61" x14ac:dyDescent="0.3">
      <c r="A5023" s="1" t="s">
        <v>68</v>
      </c>
      <c r="B5023" s="7">
        <v>40766</v>
      </c>
      <c r="C5023" s="1">
        <v>8.5</v>
      </c>
      <c r="D5023" s="1">
        <v>277</v>
      </c>
      <c r="E5023" s="1">
        <v>0.5</v>
      </c>
      <c r="F5023" s="1">
        <v>96</v>
      </c>
      <c r="R5023" s="1">
        <v>1</v>
      </c>
    </row>
    <row r="5024" spans="1:61" x14ac:dyDescent="0.3">
      <c r="A5024" s="1" t="s">
        <v>68</v>
      </c>
      <c r="B5024" s="7">
        <v>40766</v>
      </c>
      <c r="C5024" s="1">
        <v>8.5</v>
      </c>
      <c r="D5024" s="1">
        <v>277</v>
      </c>
      <c r="E5024" s="1">
        <v>0.5</v>
      </c>
      <c r="F5024" s="1">
        <v>97</v>
      </c>
      <c r="H5024" s="1">
        <v>1</v>
      </c>
    </row>
    <row r="5025" spans="1:63" x14ac:dyDescent="0.3">
      <c r="A5025" s="1" t="s">
        <v>68</v>
      </c>
      <c r="B5025" s="7">
        <v>40766</v>
      </c>
      <c r="C5025" s="1">
        <v>8.5</v>
      </c>
      <c r="D5025" s="1">
        <v>277</v>
      </c>
      <c r="E5025" s="1">
        <v>0.5</v>
      </c>
      <c r="F5025" s="1">
        <v>98</v>
      </c>
      <c r="J5025" s="1">
        <v>1</v>
      </c>
    </row>
    <row r="5026" spans="1:63" x14ac:dyDescent="0.3">
      <c r="A5026" s="1" t="s">
        <v>68</v>
      </c>
      <c r="B5026" s="7">
        <v>40766</v>
      </c>
      <c r="C5026" s="1">
        <v>8.5</v>
      </c>
      <c r="D5026" s="1">
        <v>277</v>
      </c>
      <c r="E5026" s="1">
        <v>0.5</v>
      </c>
      <c r="F5026" s="1">
        <v>99</v>
      </c>
      <c r="J5026" s="1">
        <v>1</v>
      </c>
      <c r="R5026" s="1">
        <v>1</v>
      </c>
    </row>
    <row r="5027" spans="1:63" x14ac:dyDescent="0.3">
      <c r="A5027" s="1" t="s">
        <v>68</v>
      </c>
      <c r="B5027" s="7">
        <v>40766</v>
      </c>
      <c r="C5027" s="1">
        <v>8.5</v>
      </c>
      <c r="D5027" s="1">
        <v>277</v>
      </c>
      <c r="E5027" s="1">
        <v>0.5</v>
      </c>
      <c r="F5027" s="1">
        <v>100</v>
      </c>
      <c r="R5027" s="1">
        <v>1</v>
      </c>
    </row>
    <row r="5028" spans="1:63" x14ac:dyDescent="0.3">
      <c r="A5028" s="1" t="s">
        <v>68</v>
      </c>
      <c r="B5028" s="7">
        <v>40766</v>
      </c>
      <c r="C5028" s="1">
        <v>13</v>
      </c>
      <c r="D5028" s="1">
        <v>238</v>
      </c>
      <c r="E5028" s="1">
        <v>1.5</v>
      </c>
      <c r="F5028" s="1">
        <v>1</v>
      </c>
      <c r="R5028" s="1">
        <v>1</v>
      </c>
    </row>
    <row r="5029" spans="1:63" x14ac:dyDescent="0.3">
      <c r="A5029" s="1" t="s">
        <v>68</v>
      </c>
      <c r="B5029" s="7">
        <v>40766</v>
      </c>
      <c r="C5029" s="1">
        <v>13</v>
      </c>
      <c r="D5029" s="1">
        <v>238</v>
      </c>
      <c r="E5029" s="1">
        <v>1.5</v>
      </c>
      <c r="F5029" s="1">
        <v>2</v>
      </c>
      <c r="L5029" s="1">
        <v>1</v>
      </c>
      <c r="R5029" s="1">
        <v>1</v>
      </c>
    </row>
    <row r="5030" spans="1:63" x14ac:dyDescent="0.3">
      <c r="A5030" s="1" t="s">
        <v>68</v>
      </c>
      <c r="B5030" s="7">
        <v>40766</v>
      </c>
      <c r="C5030" s="1">
        <v>13</v>
      </c>
      <c r="D5030" s="1">
        <v>238</v>
      </c>
      <c r="E5030" s="1">
        <v>1.5</v>
      </c>
      <c r="F5030" s="1">
        <v>3</v>
      </c>
      <c r="L5030" s="8">
        <v>1</v>
      </c>
      <c r="M5030" s="8"/>
      <c r="R5030" s="1">
        <v>1</v>
      </c>
    </row>
    <row r="5031" spans="1:63" x14ac:dyDescent="0.3">
      <c r="A5031" s="1" t="s">
        <v>68</v>
      </c>
      <c r="B5031" s="7">
        <v>40766</v>
      </c>
      <c r="C5031" s="1">
        <v>13</v>
      </c>
      <c r="D5031" s="1">
        <v>238</v>
      </c>
      <c r="E5031" s="1">
        <v>1.5</v>
      </c>
      <c r="F5031" s="1">
        <v>4</v>
      </c>
      <c r="R5031" s="1">
        <v>1</v>
      </c>
      <c r="AI5031" s="1">
        <v>1</v>
      </c>
    </row>
    <row r="5032" spans="1:63" x14ac:dyDescent="0.3">
      <c r="A5032" s="1" t="s">
        <v>68</v>
      </c>
      <c r="B5032" s="7">
        <v>40766</v>
      </c>
      <c r="C5032" s="1">
        <v>13</v>
      </c>
      <c r="D5032" s="1">
        <v>238</v>
      </c>
      <c r="E5032" s="1">
        <v>1.5</v>
      </c>
      <c r="F5032" s="1">
        <v>5</v>
      </c>
      <c r="R5032" s="1">
        <v>1</v>
      </c>
      <c r="AI5032" s="1">
        <v>1</v>
      </c>
    </row>
    <row r="5033" spans="1:63" x14ac:dyDescent="0.3">
      <c r="A5033" s="1" t="s">
        <v>68</v>
      </c>
      <c r="B5033" s="7">
        <v>40766</v>
      </c>
      <c r="C5033" s="1">
        <v>13</v>
      </c>
      <c r="D5033" s="1">
        <v>238</v>
      </c>
      <c r="E5033" s="1">
        <v>1.5</v>
      </c>
      <c r="F5033" s="1">
        <v>6</v>
      </c>
      <c r="R5033" s="1">
        <v>1</v>
      </c>
    </row>
    <row r="5034" spans="1:63" x14ac:dyDescent="0.3">
      <c r="A5034" s="1" t="s">
        <v>68</v>
      </c>
      <c r="B5034" s="7">
        <v>40766</v>
      </c>
      <c r="C5034" s="1">
        <v>13</v>
      </c>
      <c r="D5034" s="1">
        <v>238</v>
      </c>
      <c r="E5034" s="1">
        <v>1.5</v>
      </c>
      <c r="F5034" s="1">
        <v>7</v>
      </c>
      <c r="J5034" s="3">
        <v>0</v>
      </c>
      <c r="K5034" s="3">
        <v>1</v>
      </c>
    </row>
    <row r="5035" spans="1:63" x14ac:dyDescent="0.3">
      <c r="A5035" s="1" t="s">
        <v>68</v>
      </c>
      <c r="B5035" s="7">
        <v>40766</v>
      </c>
      <c r="C5035" s="1">
        <v>13</v>
      </c>
      <c r="D5035" s="1">
        <v>238</v>
      </c>
      <c r="E5035" s="1">
        <v>1.5</v>
      </c>
      <c r="F5035" s="1">
        <v>8</v>
      </c>
      <c r="J5035" s="1">
        <v>1</v>
      </c>
    </row>
    <row r="5036" spans="1:63" x14ac:dyDescent="0.3">
      <c r="A5036" s="1" t="s">
        <v>68</v>
      </c>
      <c r="B5036" s="7">
        <v>40766</v>
      </c>
      <c r="C5036" s="1">
        <v>13</v>
      </c>
      <c r="D5036" s="1">
        <v>238</v>
      </c>
      <c r="E5036" s="1">
        <v>1.5</v>
      </c>
      <c r="F5036" s="1">
        <v>9</v>
      </c>
      <c r="J5036" s="1">
        <v>1</v>
      </c>
      <c r="L5036" s="1">
        <v>1</v>
      </c>
    </row>
    <row r="5037" spans="1:63" x14ac:dyDescent="0.3">
      <c r="A5037" s="1" t="s">
        <v>68</v>
      </c>
      <c r="B5037" s="7">
        <v>40766</v>
      </c>
      <c r="C5037" s="1">
        <v>13</v>
      </c>
      <c r="D5037" s="1">
        <v>238</v>
      </c>
      <c r="E5037" s="1">
        <v>1.5</v>
      </c>
      <c r="F5037" s="1">
        <v>10</v>
      </c>
      <c r="J5037" s="1">
        <v>1</v>
      </c>
    </row>
    <row r="5038" spans="1:63" x14ac:dyDescent="0.3">
      <c r="A5038" s="1" t="s">
        <v>68</v>
      </c>
      <c r="B5038" s="7">
        <v>40766</v>
      </c>
      <c r="C5038" s="1">
        <v>13</v>
      </c>
      <c r="D5038" s="1">
        <v>238</v>
      </c>
      <c r="E5038" s="1">
        <v>1.5</v>
      </c>
      <c r="F5038" s="1">
        <v>11</v>
      </c>
      <c r="L5038" s="1">
        <v>1</v>
      </c>
      <c r="BK5038" s="1">
        <v>1</v>
      </c>
    </row>
    <row r="5039" spans="1:63" x14ac:dyDescent="0.3">
      <c r="A5039" s="1" t="s">
        <v>68</v>
      </c>
      <c r="B5039" s="7">
        <v>40766</v>
      </c>
      <c r="C5039" s="1">
        <v>13</v>
      </c>
      <c r="D5039" s="1">
        <v>238</v>
      </c>
      <c r="E5039" s="1">
        <v>1.5</v>
      </c>
      <c r="F5039" s="1">
        <v>12</v>
      </c>
      <c r="R5039" s="1">
        <v>1</v>
      </c>
    </row>
    <row r="5040" spans="1:63" x14ac:dyDescent="0.3">
      <c r="A5040" s="1" t="s">
        <v>68</v>
      </c>
      <c r="B5040" s="7">
        <v>40766</v>
      </c>
      <c r="C5040" s="1">
        <v>13</v>
      </c>
      <c r="D5040" s="1">
        <v>238</v>
      </c>
      <c r="E5040" s="1">
        <v>1.5</v>
      </c>
      <c r="F5040" s="1">
        <v>13</v>
      </c>
      <c r="L5040" s="8">
        <v>1</v>
      </c>
      <c r="M5040" s="8"/>
      <c r="R5040" s="1">
        <v>1</v>
      </c>
    </row>
    <row r="5041" spans="1:32" x14ac:dyDescent="0.3">
      <c r="A5041" s="1" t="s">
        <v>68</v>
      </c>
      <c r="B5041" s="7">
        <v>40766</v>
      </c>
      <c r="C5041" s="1">
        <v>13</v>
      </c>
      <c r="D5041" s="1">
        <v>238</v>
      </c>
      <c r="E5041" s="1">
        <v>1.5</v>
      </c>
      <c r="F5041" s="1">
        <v>14</v>
      </c>
      <c r="R5041" s="1">
        <v>1</v>
      </c>
    </row>
    <row r="5042" spans="1:32" x14ac:dyDescent="0.3">
      <c r="A5042" s="1" t="s">
        <v>68</v>
      </c>
      <c r="B5042" s="7">
        <v>40766</v>
      </c>
      <c r="C5042" s="1">
        <v>13</v>
      </c>
      <c r="D5042" s="1">
        <v>238</v>
      </c>
      <c r="E5042" s="1">
        <v>1.5</v>
      </c>
      <c r="F5042" s="1">
        <v>15</v>
      </c>
      <c r="J5042" s="1">
        <v>1</v>
      </c>
      <c r="R5042" s="1">
        <v>1</v>
      </c>
    </row>
    <row r="5043" spans="1:32" x14ac:dyDescent="0.3">
      <c r="A5043" s="1" t="s">
        <v>68</v>
      </c>
      <c r="B5043" s="7">
        <v>40766</v>
      </c>
      <c r="C5043" s="1">
        <v>13</v>
      </c>
      <c r="D5043" s="1">
        <v>238</v>
      </c>
      <c r="E5043" s="1">
        <v>1.5</v>
      </c>
      <c r="F5043" s="1">
        <v>16</v>
      </c>
      <c r="J5043" s="3">
        <v>0</v>
      </c>
      <c r="K5043" s="3">
        <v>1</v>
      </c>
    </row>
    <row r="5044" spans="1:32" x14ac:dyDescent="0.3">
      <c r="A5044" s="1" t="s">
        <v>68</v>
      </c>
      <c r="B5044" s="7">
        <v>40766</v>
      </c>
      <c r="C5044" s="1">
        <v>13</v>
      </c>
      <c r="D5044" s="1">
        <v>238</v>
      </c>
      <c r="E5044" s="1">
        <v>1.5</v>
      </c>
      <c r="F5044" s="1">
        <v>17</v>
      </c>
      <c r="J5044" s="8">
        <v>1</v>
      </c>
      <c r="K5044" s="8"/>
    </row>
    <row r="5045" spans="1:32" x14ac:dyDescent="0.3">
      <c r="A5045" s="1" t="s">
        <v>68</v>
      </c>
      <c r="B5045" s="7">
        <v>40766</v>
      </c>
      <c r="C5045" s="1">
        <v>13</v>
      </c>
      <c r="D5045" s="1">
        <v>238</v>
      </c>
      <c r="E5045" s="1">
        <v>1.5</v>
      </c>
      <c r="F5045" s="1">
        <v>18</v>
      </c>
      <c r="J5045" s="3">
        <v>0</v>
      </c>
      <c r="K5045" s="3">
        <v>1</v>
      </c>
      <c r="R5045" s="1">
        <v>1</v>
      </c>
    </row>
    <row r="5046" spans="1:32" x14ac:dyDescent="0.3">
      <c r="A5046" s="1" t="s">
        <v>68</v>
      </c>
      <c r="B5046" s="7">
        <v>40766</v>
      </c>
      <c r="C5046" s="1">
        <v>13</v>
      </c>
      <c r="D5046" s="1">
        <v>238</v>
      </c>
      <c r="E5046" s="1">
        <v>1.5</v>
      </c>
      <c r="F5046" s="1">
        <v>19</v>
      </c>
      <c r="J5046" s="1">
        <v>1</v>
      </c>
    </row>
    <row r="5047" spans="1:32" x14ac:dyDescent="0.3">
      <c r="A5047" s="1" t="s">
        <v>68</v>
      </c>
      <c r="B5047" s="7">
        <v>40766</v>
      </c>
      <c r="C5047" s="1">
        <v>13</v>
      </c>
      <c r="D5047" s="1">
        <v>238</v>
      </c>
      <c r="E5047" s="1">
        <v>1.5</v>
      </c>
      <c r="F5047" s="1">
        <v>20</v>
      </c>
      <c r="J5047" s="1">
        <v>1</v>
      </c>
      <c r="L5047" s="1">
        <v>1</v>
      </c>
    </row>
    <row r="5048" spans="1:32" x14ac:dyDescent="0.3">
      <c r="A5048" s="1" t="s">
        <v>68</v>
      </c>
      <c r="B5048" s="7">
        <v>40766</v>
      </c>
      <c r="C5048" s="1">
        <v>13</v>
      </c>
      <c r="D5048" s="1">
        <v>238</v>
      </c>
      <c r="E5048" s="1">
        <v>1.5</v>
      </c>
      <c r="F5048" s="1">
        <v>21</v>
      </c>
      <c r="R5048" s="1">
        <v>1</v>
      </c>
    </row>
    <row r="5049" spans="1:32" x14ac:dyDescent="0.3">
      <c r="A5049" s="1" t="s">
        <v>68</v>
      </c>
      <c r="B5049" s="7">
        <v>40766</v>
      </c>
      <c r="C5049" s="1">
        <v>13</v>
      </c>
      <c r="D5049" s="1">
        <v>238</v>
      </c>
      <c r="E5049" s="1">
        <v>1.5</v>
      </c>
      <c r="F5049" s="1">
        <v>22</v>
      </c>
      <c r="R5049" s="1">
        <v>1</v>
      </c>
      <c r="AF5049" s="1">
        <v>1</v>
      </c>
    </row>
    <row r="5050" spans="1:32" x14ac:dyDescent="0.3">
      <c r="A5050" s="1" t="s">
        <v>68</v>
      </c>
      <c r="B5050" s="7">
        <v>40766</v>
      </c>
      <c r="C5050" s="1">
        <v>13</v>
      </c>
      <c r="D5050" s="1">
        <v>238</v>
      </c>
      <c r="E5050" s="1">
        <v>1.5</v>
      </c>
      <c r="F5050" s="1">
        <v>23</v>
      </c>
      <c r="R5050" s="1">
        <v>1</v>
      </c>
    </row>
    <row r="5051" spans="1:32" x14ac:dyDescent="0.3">
      <c r="A5051" s="1" t="s">
        <v>68</v>
      </c>
      <c r="B5051" s="7">
        <v>40766</v>
      </c>
      <c r="C5051" s="1">
        <v>13</v>
      </c>
      <c r="D5051" s="1">
        <v>238</v>
      </c>
      <c r="E5051" s="1">
        <v>1.5</v>
      </c>
      <c r="F5051" s="1">
        <v>24</v>
      </c>
      <c r="I5051" s="1">
        <v>1</v>
      </c>
      <c r="R5051" s="3">
        <v>0</v>
      </c>
      <c r="S5051" s="3">
        <v>1</v>
      </c>
    </row>
    <row r="5052" spans="1:32" x14ac:dyDescent="0.3">
      <c r="A5052" s="1" t="s">
        <v>68</v>
      </c>
      <c r="B5052" s="7">
        <v>40766</v>
      </c>
      <c r="C5052" s="1">
        <v>13</v>
      </c>
      <c r="D5052" s="1">
        <v>238</v>
      </c>
      <c r="E5052" s="1">
        <v>1.5</v>
      </c>
      <c r="F5052" s="1">
        <v>25</v>
      </c>
      <c r="I5052" s="1">
        <v>1</v>
      </c>
      <c r="R5052" s="1">
        <v>1</v>
      </c>
    </row>
    <row r="5053" spans="1:32" x14ac:dyDescent="0.3">
      <c r="A5053" s="1" t="s">
        <v>68</v>
      </c>
      <c r="B5053" s="7">
        <v>40766</v>
      </c>
      <c r="C5053" s="1">
        <v>13</v>
      </c>
      <c r="D5053" s="1">
        <v>238</v>
      </c>
      <c r="E5053" s="1">
        <v>1.5</v>
      </c>
      <c r="F5053" s="1">
        <v>26</v>
      </c>
      <c r="H5053" s="1">
        <v>1</v>
      </c>
      <c r="R5053" s="1">
        <v>1</v>
      </c>
    </row>
    <row r="5054" spans="1:32" x14ac:dyDescent="0.3">
      <c r="A5054" s="1" t="s">
        <v>68</v>
      </c>
      <c r="B5054" s="7">
        <v>40766</v>
      </c>
      <c r="C5054" s="1">
        <v>13</v>
      </c>
      <c r="D5054" s="1">
        <v>238</v>
      </c>
      <c r="E5054" s="1">
        <v>1.5</v>
      </c>
      <c r="F5054" s="1">
        <v>27</v>
      </c>
      <c r="H5054" s="1">
        <v>1</v>
      </c>
      <c r="I5054" s="1">
        <v>1</v>
      </c>
      <c r="R5054" s="1">
        <v>1</v>
      </c>
    </row>
    <row r="5055" spans="1:32" x14ac:dyDescent="0.3">
      <c r="A5055" s="1" t="s">
        <v>68</v>
      </c>
      <c r="B5055" s="7">
        <v>40766</v>
      </c>
      <c r="C5055" s="1">
        <v>13</v>
      </c>
      <c r="D5055" s="1">
        <v>238</v>
      </c>
      <c r="E5055" s="1">
        <v>1.5</v>
      </c>
      <c r="F5055" s="1">
        <v>28</v>
      </c>
      <c r="H5055" s="1">
        <v>1</v>
      </c>
      <c r="R5055" s="3">
        <v>0</v>
      </c>
      <c r="S5055" s="3">
        <v>1</v>
      </c>
    </row>
    <row r="5056" spans="1:32" x14ac:dyDescent="0.3">
      <c r="A5056" s="1" t="s">
        <v>68</v>
      </c>
      <c r="B5056" s="7">
        <v>40766</v>
      </c>
      <c r="C5056" s="1">
        <v>13</v>
      </c>
      <c r="D5056" s="1">
        <v>238</v>
      </c>
      <c r="E5056" s="1">
        <v>1.5</v>
      </c>
      <c r="F5056" s="1">
        <v>29</v>
      </c>
      <c r="H5056" s="1">
        <v>1</v>
      </c>
      <c r="I5056" s="1">
        <v>1</v>
      </c>
    </row>
    <row r="5057" spans="1:45" x14ac:dyDescent="0.3">
      <c r="A5057" s="1" t="s">
        <v>68</v>
      </c>
      <c r="B5057" s="7">
        <v>40766</v>
      </c>
      <c r="C5057" s="1">
        <v>13</v>
      </c>
      <c r="D5057" s="1">
        <v>238</v>
      </c>
      <c r="E5057" s="1">
        <v>1.5</v>
      </c>
      <c r="F5057" s="1">
        <v>30</v>
      </c>
      <c r="I5057" s="1">
        <v>1</v>
      </c>
      <c r="J5057" s="1">
        <v>1</v>
      </c>
    </row>
    <row r="5058" spans="1:45" x14ac:dyDescent="0.3">
      <c r="A5058" s="1" t="s">
        <v>68</v>
      </c>
      <c r="B5058" s="7">
        <v>40766</v>
      </c>
      <c r="C5058" s="1">
        <v>13</v>
      </c>
      <c r="D5058" s="1">
        <v>238</v>
      </c>
      <c r="E5058" s="1">
        <v>1.5</v>
      </c>
      <c r="F5058" s="1">
        <v>31</v>
      </c>
      <c r="H5058" s="1">
        <v>1</v>
      </c>
      <c r="AS5058" s="1">
        <v>1</v>
      </c>
    </row>
    <row r="5059" spans="1:45" x14ac:dyDescent="0.3">
      <c r="A5059" s="1" t="s">
        <v>68</v>
      </c>
      <c r="B5059" s="7">
        <v>40766</v>
      </c>
      <c r="C5059" s="1">
        <v>13</v>
      </c>
      <c r="D5059" s="1">
        <v>238</v>
      </c>
      <c r="E5059" s="1">
        <v>1.5</v>
      </c>
      <c r="F5059" s="1">
        <v>32</v>
      </c>
      <c r="R5059" s="8">
        <v>1</v>
      </c>
      <c r="S5059" s="8"/>
    </row>
    <row r="5060" spans="1:45" x14ac:dyDescent="0.3">
      <c r="A5060" s="1" t="s">
        <v>68</v>
      </c>
      <c r="B5060" s="7">
        <v>40766</v>
      </c>
      <c r="C5060" s="1">
        <v>13</v>
      </c>
      <c r="D5060" s="1">
        <v>238</v>
      </c>
      <c r="E5060" s="1">
        <v>1.5</v>
      </c>
      <c r="F5060" s="1">
        <v>33</v>
      </c>
      <c r="R5060" s="1">
        <v>1</v>
      </c>
    </row>
    <row r="5061" spans="1:45" x14ac:dyDescent="0.3">
      <c r="A5061" s="1" t="s">
        <v>68</v>
      </c>
      <c r="B5061" s="7">
        <v>40766</v>
      </c>
      <c r="C5061" s="1">
        <v>13</v>
      </c>
      <c r="D5061" s="1">
        <v>238</v>
      </c>
      <c r="E5061" s="1">
        <v>1.5</v>
      </c>
      <c r="F5061" s="1">
        <v>34</v>
      </c>
      <c r="R5061" s="1">
        <v>1</v>
      </c>
    </row>
    <row r="5062" spans="1:45" x14ac:dyDescent="0.3">
      <c r="A5062" s="1" t="s">
        <v>68</v>
      </c>
      <c r="B5062" s="7">
        <v>40766</v>
      </c>
      <c r="C5062" s="1">
        <v>13</v>
      </c>
      <c r="D5062" s="1">
        <v>238</v>
      </c>
      <c r="E5062" s="1">
        <v>1.5</v>
      </c>
      <c r="F5062" s="1">
        <v>35</v>
      </c>
      <c r="I5062" s="1">
        <v>1</v>
      </c>
      <c r="R5062" s="1">
        <v>1</v>
      </c>
    </row>
    <row r="5063" spans="1:45" x14ac:dyDescent="0.3">
      <c r="A5063" s="1" t="s">
        <v>68</v>
      </c>
      <c r="B5063" s="7">
        <v>40766</v>
      </c>
      <c r="C5063" s="1">
        <v>13</v>
      </c>
      <c r="D5063" s="1">
        <v>238</v>
      </c>
      <c r="E5063" s="1">
        <v>1.5</v>
      </c>
      <c r="F5063" s="1">
        <v>36</v>
      </c>
      <c r="R5063" s="1">
        <v>1</v>
      </c>
      <c r="V5063" s="1">
        <v>1</v>
      </c>
    </row>
    <row r="5064" spans="1:45" x14ac:dyDescent="0.3">
      <c r="A5064" s="1" t="s">
        <v>68</v>
      </c>
      <c r="B5064" s="7">
        <v>40766</v>
      </c>
      <c r="C5064" s="1">
        <v>13</v>
      </c>
      <c r="D5064" s="1">
        <v>238</v>
      </c>
      <c r="E5064" s="1">
        <v>1.5</v>
      </c>
      <c r="F5064" s="1">
        <v>37</v>
      </c>
      <c r="R5064" s="1">
        <v>1</v>
      </c>
    </row>
    <row r="5065" spans="1:45" x14ac:dyDescent="0.3">
      <c r="A5065" s="1" t="s">
        <v>68</v>
      </c>
      <c r="B5065" s="7">
        <v>40766</v>
      </c>
      <c r="C5065" s="1">
        <v>13</v>
      </c>
      <c r="D5065" s="1">
        <v>238</v>
      </c>
      <c r="E5065" s="1">
        <v>1.5</v>
      </c>
      <c r="F5065" s="1">
        <v>38</v>
      </c>
      <c r="H5065" s="1">
        <v>1</v>
      </c>
      <c r="J5065" s="1">
        <v>1</v>
      </c>
    </row>
    <row r="5066" spans="1:45" x14ac:dyDescent="0.3">
      <c r="A5066" s="1" t="s">
        <v>68</v>
      </c>
      <c r="B5066" s="7">
        <v>40766</v>
      </c>
      <c r="C5066" s="1">
        <v>13</v>
      </c>
      <c r="D5066" s="1">
        <v>238</v>
      </c>
      <c r="E5066" s="1">
        <v>1.5</v>
      </c>
      <c r="F5066" s="1">
        <v>39</v>
      </c>
      <c r="I5066" s="1">
        <v>1</v>
      </c>
      <c r="R5066" s="1">
        <v>1</v>
      </c>
    </row>
    <row r="5067" spans="1:45" x14ac:dyDescent="0.3">
      <c r="A5067" s="1" t="s">
        <v>68</v>
      </c>
      <c r="B5067" s="7">
        <v>40766</v>
      </c>
      <c r="C5067" s="1">
        <v>13</v>
      </c>
      <c r="D5067" s="1">
        <v>238</v>
      </c>
      <c r="E5067" s="1">
        <v>1.5</v>
      </c>
      <c r="F5067" s="1">
        <v>40</v>
      </c>
      <c r="J5067" s="1">
        <v>1</v>
      </c>
      <c r="V5067" s="1">
        <v>1</v>
      </c>
    </row>
    <row r="5068" spans="1:45" x14ac:dyDescent="0.3">
      <c r="A5068" s="1" t="s">
        <v>68</v>
      </c>
      <c r="B5068" s="7">
        <v>40766</v>
      </c>
      <c r="C5068" s="1">
        <v>13</v>
      </c>
      <c r="D5068" s="1">
        <v>238</v>
      </c>
      <c r="E5068" s="1">
        <v>1.5</v>
      </c>
      <c r="F5068" s="1">
        <v>41</v>
      </c>
      <c r="H5068" s="1">
        <v>1</v>
      </c>
    </row>
    <row r="5069" spans="1:45" x14ac:dyDescent="0.3">
      <c r="A5069" s="1" t="s">
        <v>68</v>
      </c>
      <c r="B5069" s="7">
        <v>40766</v>
      </c>
      <c r="C5069" s="1">
        <v>13</v>
      </c>
      <c r="D5069" s="1">
        <v>238</v>
      </c>
      <c r="E5069" s="1">
        <v>1.5</v>
      </c>
      <c r="F5069" s="1">
        <v>42</v>
      </c>
      <c r="H5069" s="1">
        <v>1</v>
      </c>
      <c r="R5069" s="1">
        <v>1</v>
      </c>
    </row>
    <row r="5070" spans="1:45" x14ac:dyDescent="0.3">
      <c r="A5070" s="1" t="s">
        <v>68</v>
      </c>
      <c r="B5070" s="7">
        <v>40766</v>
      </c>
      <c r="C5070" s="1">
        <v>13</v>
      </c>
      <c r="D5070" s="1">
        <v>238</v>
      </c>
      <c r="E5070" s="1">
        <v>1.5</v>
      </c>
      <c r="F5070" s="1">
        <v>43</v>
      </c>
      <c r="H5070" s="1">
        <v>1</v>
      </c>
      <c r="R5070" s="1">
        <v>1</v>
      </c>
    </row>
    <row r="5071" spans="1:45" x14ac:dyDescent="0.3">
      <c r="A5071" s="1" t="s">
        <v>68</v>
      </c>
      <c r="B5071" s="7">
        <v>40766</v>
      </c>
      <c r="C5071" s="1">
        <v>13</v>
      </c>
      <c r="D5071" s="1">
        <v>238</v>
      </c>
      <c r="E5071" s="1">
        <v>1.5</v>
      </c>
      <c r="F5071" s="1">
        <v>44</v>
      </c>
      <c r="R5071" s="1">
        <v>1</v>
      </c>
    </row>
    <row r="5072" spans="1:45" x14ac:dyDescent="0.3">
      <c r="A5072" s="1" t="s">
        <v>68</v>
      </c>
      <c r="B5072" s="7">
        <v>40766</v>
      </c>
      <c r="C5072" s="1">
        <v>13</v>
      </c>
      <c r="D5072" s="1">
        <v>238</v>
      </c>
      <c r="E5072" s="1">
        <v>1.5</v>
      </c>
      <c r="F5072" s="1">
        <v>45</v>
      </c>
      <c r="H5072" s="1">
        <v>1</v>
      </c>
      <c r="R5072" s="1">
        <v>1</v>
      </c>
    </row>
    <row r="5073" spans="1:61" x14ac:dyDescent="0.3">
      <c r="A5073" s="1" t="s">
        <v>68</v>
      </c>
      <c r="B5073" s="7">
        <v>40766</v>
      </c>
      <c r="C5073" s="1">
        <v>13</v>
      </c>
      <c r="D5073" s="1">
        <v>238</v>
      </c>
      <c r="E5073" s="1">
        <v>1.5</v>
      </c>
      <c r="F5073" s="1">
        <v>46</v>
      </c>
      <c r="I5073" s="1">
        <v>1</v>
      </c>
      <c r="R5073" s="1">
        <v>1</v>
      </c>
    </row>
    <row r="5074" spans="1:61" x14ac:dyDescent="0.3">
      <c r="A5074" s="1" t="s">
        <v>68</v>
      </c>
      <c r="B5074" s="7">
        <v>40766</v>
      </c>
      <c r="C5074" s="1">
        <v>13</v>
      </c>
      <c r="D5074" s="1">
        <v>238</v>
      </c>
      <c r="E5074" s="1">
        <v>1.5</v>
      </c>
      <c r="F5074" s="1">
        <v>47</v>
      </c>
      <c r="R5074" s="3">
        <v>0</v>
      </c>
      <c r="S5074" s="3">
        <v>1</v>
      </c>
      <c r="Y5074" s="1">
        <v>1</v>
      </c>
    </row>
    <row r="5075" spans="1:61" x14ac:dyDescent="0.3">
      <c r="A5075" s="1" t="s">
        <v>68</v>
      </c>
      <c r="B5075" s="7">
        <v>40766</v>
      </c>
      <c r="C5075" s="1">
        <v>13</v>
      </c>
      <c r="D5075" s="1">
        <v>238</v>
      </c>
      <c r="E5075" s="1">
        <v>1.5</v>
      </c>
      <c r="F5075" s="1">
        <v>48</v>
      </c>
      <c r="R5075" s="1">
        <v>1</v>
      </c>
    </row>
    <row r="5076" spans="1:61" x14ac:dyDescent="0.3">
      <c r="A5076" s="1" t="s">
        <v>68</v>
      </c>
      <c r="B5076" s="7">
        <v>40766</v>
      </c>
      <c r="C5076" s="1">
        <v>13</v>
      </c>
      <c r="D5076" s="1">
        <v>238</v>
      </c>
      <c r="E5076" s="1">
        <v>1.5</v>
      </c>
      <c r="F5076" s="1">
        <v>49</v>
      </c>
      <c r="R5076" s="1">
        <v>1</v>
      </c>
    </row>
    <row r="5077" spans="1:61" x14ac:dyDescent="0.3">
      <c r="A5077" s="1" t="s">
        <v>68</v>
      </c>
      <c r="B5077" s="7">
        <v>40766</v>
      </c>
      <c r="C5077" s="1">
        <v>13</v>
      </c>
      <c r="D5077" s="1">
        <v>238</v>
      </c>
      <c r="E5077" s="1">
        <v>1.5</v>
      </c>
      <c r="F5077" s="1">
        <v>50</v>
      </c>
      <c r="H5077" s="1">
        <v>1</v>
      </c>
      <c r="R5077" s="1">
        <v>1</v>
      </c>
    </row>
    <row r="5078" spans="1:61" x14ac:dyDescent="0.3">
      <c r="A5078" s="1" t="s">
        <v>68</v>
      </c>
      <c r="B5078" s="7">
        <v>40766</v>
      </c>
      <c r="C5078" s="1">
        <v>13</v>
      </c>
      <c r="D5078" s="1">
        <v>238</v>
      </c>
      <c r="E5078" s="1">
        <v>1.5</v>
      </c>
      <c r="F5078" s="1">
        <v>51</v>
      </c>
      <c r="H5078" s="1">
        <v>1</v>
      </c>
      <c r="R5078" s="1">
        <v>1</v>
      </c>
    </row>
    <row r="5079" spans="1:61" x14ac:dyDescent="0.3">
      <c r="A5079" s="1" t="s">
        <v>68</v>
      </c>
      <c r="B5079" s="7">
        <v>40766</v>
      </c>
      <c r="C5079" s="1">
        <v>13</v>
      </c>
      <c r="D5079" s="1">
        <v>238</v>
      </c>
      <c r="E5079" s="1">
        <v>1.5</v>
      </c>
      <c r="F5079" s="1">
        <v>52</v>
      </c>
      <c r="H5079" s="1">
        <v>1</v>
      </c>
      <c r="R5079" s="1">
        <v>1</v>
      </c>
    </row>
    <row r="5080" spans="1:61" x14ac:dyDescent="0.3">
      <c r="A5080" s="1" t="s">
        <v>68</v>
      </c>
      <c r="B5080" s="7">
        <v>40766</v>
      </c>
      <c r="C5080" s="1">
        <v>13</v>
      </c>
      <c r="D5080" s="1">
        <v>238</v>
      </c>
      <c r="E5080" s="1">
        <v>1.5</v>
      </c>
      <c r="F5080" s="1">
        <v>53</v>
      </c>
      <c r="R5080" s="1">
        <v>1</v>
      </c>
    </row>
    <row r="5081" spans="1:61" x14ac:dyDescent="0.3">
      <c r="A5081" s="1" t="s">
        <v>68</v>
      </c>
      <c r="B5081" s="7">
        <v>40766</v>
      </c>
      <c r="C5081" s="1">
        <v>13</v>
      </c>
      <c r="D5081" s="1">
        <v>238</v>
      </c>
      <c r="E5081" s="1">
        <v>1.5</v>
      </c>
      <c r="F5081" s="1">
        <v>54</v>
      </c>
      <c r="H5081" s="1">
        <v>1</v>
      </c>
      <c r="R5081" s="1">
        <v>1</v>
      </c>
      <c r="AF5081" s="1">
        <v>1</v>
      </c>
    </row>
    <row r="5082" spans="1:61" x14ac:dyDescent="0.3">
      <c r="A5082" s="1" t="s">
        <v>68</v>
      </c>
      <c r="B5082" s="7">
        <v>40766</v>
      </c>
      <c r="C5082" s="1">
        <v>13</v>
      </c>
      <c r="D5082" s="1">
        <v>238</v>
      </c>
      <c r="E5082" s="1">
        <v>1.5</v>
      </c>
      <c r="F5082" s="1">
        <v>55</v>
      </c>
      <c r="J5082" s="3">
        <v>0</v>
      </c>
      <c r="K5082" s="3">
        <v>1</v>
      </c>
      <c r="R5082" s="1">
        <v>1</v>
      </c>
    </row>
    <row r="5083" spans="1:61" x14ac:dyDescent="0.3">
      <c r="A5083" s="1" t="s">
        <v>68</v>
      </c>
      <c r="B5083" s="7">
        <v>40766</v>
      </c>
      <c r="C5083" s="1">
        <v>13</v>
      </c>
      <c r="D5083" s="1">
        <v>238</v>
      </c>
      <c r="E5083" s="1">
        <v>1.5</v>
      </c>
      <c r="F5083" s="1">
        <v>56</v>
      </c>
      <c r="H5083" s="1">
        <v>1</v>
      </c>
      <c r="AF5083" s="1">
        <v>1</v>
      </c>
      <c r="BI5083" s="1">
        <v>1</v>
      </c>
    </row>
    <row r="5084" spans="1:61" x14ac:dyDescent="0.3">
      <c r="A5084" s="1" t="s">
        <v>68</v>
      </c>
      <c r="B5084" s="7">
        <v>40766</v>
      </c>
      <c r="C5084" s="1">
        <v>13</v>
      </c>
      <c r="D5084" s="1">
        <v>238</v>
      </c>
      <c r="E5084" s="1">
        <v>1.5</v>
      </c>
      <c r="F5084" s="1">
        <v>57</v>
      </c>
      <c r="R5084" s="1">
        <v>1</v>
      </c>
    </row>
    <row r="5085" spans="1:61" x14ac:dyDescent="0.3">
      <c r="A5085" s="1" t="s">
        <v>68</v>
      </c>
      <c r="B5085" s="7">
        <v>40766</v>
      </c>
      <c r="C5085" s="1">
        <v>13</v>
      </c>
      <c r="D5085" s="1">
        <v>238</v>
      </c>
      <c r="E5085" s="1">
        <v>1.5</v>
      </c>
      <c r="F5085" s="1">
        <v>58</v>
      </c>
      <c r="H5085" s="1">
        <v>1</v>
      </c>
    </row>
    <row r="5086" spans="1:61" x14ac:dyDescent="0.3">
      <c r="A5086" s="1" t="s">
        <v>68</v>
      </c>
      <c r="B5086" s="7">
        <v>40766</v>
      </c>
      <c r="C5086" s="1">
        <v>13</v>
      </c>
      <c r="D5086" s="1">
        <v>238</v>
      </c>
      <c r="E5086" s="1">
        <v>1.5</v>
      </c>
      <c r="F5086" s="1">
        <v>59</v>
      </c>
      <c r="H5086" s="1">
        <v>1</v>
      </c>
      <c r="V5086" s="1">
        <v>1</v>
      </c>
    </row>
    <row r="5087" spans="1:61" x14ac:dyDescent="0.3">
      <c r="A5087" s="1" t="s">
        <v>68</v>
      </c>
      <c r="B5087" s="7">
        <v>40766</v>
      </c>
      <c r="C5087" s="1">
        <v>13</v>
      </c>
      <c r="D5087" s="1">
        <v>238</v>
      </c>
      <c r="E5087" s="1">
        <v>1.5</v>
      </c>
      <c r="F5087" s="1">
        <v>60</v>
      </c>
      <c r="BB5087" s="1">
        <v>1</v>
      </c>
    </row>
    <row r="5088" spans="1:61" x14ac:dyDescent="0.3">
      <c r="A5088" s="1" t="s">
        <v>68</v>
      </c>
      <c r="B5088" s="7">
        <v>40766</v>
      </c>
      <c r="C5088" s="1">
        <v>13</v>
      </c>
      <c r="D5088" s="1">
        <v>238</v>
      </c>
      <c r="E5088" s="1">
        <v>1.5</v>
      </c>
      <c r="F5088" s="1">
        <v>61</v>
      </c>
      <c r="H5088" s="1">
        <v>1</v>
      </c>
      <c r="R5088" s="1">
        <v>1</v>
      </c>
    </row>
    <row r="5089" spans="1:82" x14ac:dyDescent="0.3">
      <c r="A5089" s="1" t="s">
        <v>68</v>
      </c>
      <c r="B5089" s="7">
        <v>40766</v>
      </c>
      <c r="C5089" s="1">
        <v>13</v>
      </c>
      <c r="D5089" s="1">
        <v>238</v>
      </c>
      <c r="E5089" s="1">
        <v>1.5</v>
      </c>
      <c r="F5089" s="1">
        <v>62</v>
      </c>
      <c r="I5089" s="1">
        <v>1</v>
      </c>
      <c r="R5089" s="3">
        <v>0</v>
      </c>
      <c r="S5089" s="3">
        <v>1</v>
      </c>
    </row>
    <row r="5090" spans="1:82" x14ac:dyDescent="0.3">
      <c r="A5090" s="1" t="s">
        <v>68</v>
      </c>
      <c r="B5090" s="7">
        <v>40766</v>
      </c>
      <c r="C5090" s="1">
        <v>13</v>
      </c>
      <c r="D5090" s="1">
        <v>238</v>
      </c>
      <c r="E5090" s="1">
        <v>1.5</v>
      </c>
      <c r="F5090" s="1">
        <v>63</v>
      </c>
      <c r="H5090" s="1">
        <v>1</v>
      </c>
      <c r="R5090" s="1">
        <v>1</v>
      </c>
    </row>
    <row r="5091" spans="1:82" x14ac:dyDescent="0.3">
      <c r="A5091" s="1" t="s">
        <v>68</v>
      </c>
      <c r="B5091" s="7">
        <v>40766</v>
      </c>
      <c r="C5091" s="1">
        <v>13</v>
      </c>
      <c r="D5091" s="1">
        <v>238</v>
      </c>
      <c r="E5091" s="1">
        <v>1.5</v>
      </c>
      <c r="F5091" s="1">
        <v>64</v>
      </c>
      <c r="H5091" s="1">
        <v>1</v>
      </c>
    </row>
    <row r="5092" spans="1:82" x14ac:dyDescent="0.3">
      <c r="A5092" s="1" t="s">
        <v>68</v>
      </c>
      <c r="B5092" s="7">
        <v>40766</v>
      </c>
      <c r="C5092" s="1">
        <v>13</v>
      </c>
      <c r="D5092" s="1">
        <v>238</v>
      </c>
      <c r="E5092" s="1">
        <v>1.5</v>
      </c>
      <c r="F5092" s="1">
        <v>65</v>
      </c>
      <c r="H5092" s="1">
        <v>1</v>
      </c>
      <c r="R5092" s="1">
        <v>1</v>
      </c>
    </row>
    <row r="5093" spans="1:82" x14ac:dyDescent="0.3">
      <c r="A5093" s="1" t="s">
        <v>68</v>
      </c>
      <c r="B5093" s="7">
        <v>40766</v>
      </c>
      <c r="C5093" s="1">
        <v>13</v>
      </c>
      <c r="D5093" s="1">
        <v>238</v>
      </c>
      <c r="E5093" s="1">
        <v>1.5</v>
      </c>
      <c r="F5093" s="1">
        <v>66</v>
      </c>
      <c r="R5093" s="1">
        <v>1</v>
      </c>
      <c r="Y5093" s="1">
        <v>1</v>
      </c>
    </row>
    <row r="5094" spans="1:82" x14ac:dyDescent="0.3">
      <c r="A5094" s="1" t="s">
        <v>68</v>
      </c>
      <c r="B5094" s="7">
        <v>40766</v>
      </c>
      <c r="C5094" s="1">
        <v>13</v>
      </c>
      <c r="D5094" s="1">
        <v>238</v>
      </c>
      <c r="E5094" s="1">
        <v>1.5</v>
      </c>
      <c r="F5094" s="1">
        <v>67</v>
      </c>
      <c r="H5094" s="1">
        <v>1</v>
      </c>
    </row>
    <row r="5095" spans="1:82" x14ac:dyDescent="0.3">
      <c r="A5095" s="1" t="s">
        <v>68</v>
      </c>
      <c r="B5095" s="7">
        <v>40766</v>
      </c>
      <c r="C5095" s="1">
        <v>13</v>
      </c>
      <c r="D5095" s="1">
        <v>238</v>
      </c>
      <c r="E5095" s="1">
        <v>1.5</v>
      </c>
      <c r="F5095" s="1">
        <v>68</v>
      </c>
      <c r="H5095" s="1">
        <v>1</v>
      </c>
    </row>
    <row r="5096" spans="1:82" x14ac:dyDescent="0.3">
      <c r="A5096" s="1" t="s">
        <v>68</v>
      </c>
      <c r="B5096" s="7">
        <v>40766</v>
      </c>
      <c r="C5096" s="1">
        <v>13</v>
      </c>
      <c r="D5096" s="1">
        <v>238</v>
      </c>
      <c r="E5096" s="1">
        <v>1.5</v>
      </c>
      <c r="F5096" s="1">
        <v>69</v>
      </c>
      <c r="H5096" s="1">
        <v>1</v>
      </c>
      <c r="R5096" s="1">
        <v>1</v>
      </c>
    </row>
    <row r="5097" spans="1:82" x14ac:dyDescent="0.3">
      <c r="A5097" s="1" t="s">
        <v>68</v>
      </c>
      <c r="B5097" s="7">
        <v>40766</v>
      </c>
      <c r="C5097" s="1">
        <v>13</v>
      </c>
      <c r="D5097" s="1">
        <v>238</v>
      </c>
      <c r="E5097" s="1">
        <v>1.5</v>
      </c>
      <c r="F5097" s="1">
        <v>70</v>
      </c>
      <c r="V5097" s="1">
        <v>1</v>
      </c>
      <c r="CD5097" s="1">
        <v>1</v>
      </c>
    </row>
    <row r="5098" spans="1:82" x14ac:dyDescent="0.3">
      <c r="A5098" s="1" t="s">
        <v>68</v>
      </c>
      <c r="B5098" s="7">
        <v>40766</v>
      </c>
      <c r="C5098" s="1">
        <v>13</v>
      </c>
      <c r="D5098" s="1">
        <v>238</v>
      </c>
      <c r="E5098" s="1">
        <v>1.5</v>
      </c>
      <c r="F5098" s="1">
        <v>71</v>
      </c>
      <c r="R5098" s="1">
        <v>1</v>
      </c>
    </row>
    <row r="5099" spans="1:82" x14ac:dyDescent="0.3">
      <c r="A5099" s="1" t="s">
        <v>68</v>
      </c>
      <c r="B5099" s="7">
        <v>40766</v>
      </c>
      <c r="C5099" s="1">
        <v>13</v>
      </c>
      <c r="D5099" s="1">
        <v>238</v>
      </c>
      <c r="E5099" s="1">
        <v>1.5</v>
      </c>
      <c r="F5099" s="1">
        <v>72</v>
      </c>
      <c r="R5099" s="1">
        <v>1</v>
      </c>
    </row>
    <row r="5100" spans="1:82" x14ac:dyDescent="0.3">
      <c r="A5100" s="1" t="s">
        <v>68</v>
      </c>
      <c r="B5100" s="7">
        <v>40766</v>
      </c>
      <c r="C5100" s="1">
        <v>13</v>
      </c>
      <c r="D5100" s="1">
        <v>238</v>
      </c>
      <c r="E5100" s="1">
        <v>1.5</v>
      </c>
      <c r="F5100" s="1">
        <v>73</v>
      </c>
      <c r="L5100" s="1">
        <v>1</v>
      </c>
      <c r="R5100" s="1">
        <v>1</v>
      </c>
      <c r="BG5100" s="3">
        <v>0</v>
      </c>
      <c r="BH5100" s="3">
        <v>1</v>
      </c>
    </row>
    <row r="5101" spans="1:82" x14ac:dyDescent="0.3">
      <c r="A5101" s="1" t="s">
        <v>68</v>
      </c>
      <c r="B5101" s="7">
        <v>40766</v>
      </c>
      <c r="C5101" s="1">
        <v>13</v>
      </c>
      <c r="D5101" s="1">
        <v>238</v>
      </c>
      <c r="E5101" s="1">
        <v>1.5</v>
      </c>
      <c r="F5101" s="1">
        <v>74</v>
      </c>
      <c r="H5101" s="1">
        <v>1</v>
      </c>
      <c r="R5101" s="1">
        <v>1</v>
      </c>
    </row>
    <row r="5102" spans="1:82" x14ac:dyDescent="0.3">
      <c r="A5102" s="1" t="s">
        <v>68</v>
      </c>
      <c r="B5102" s="7">
        <v>40766</v>
      </c>
      <c r="C5102" s="1">
        <v>13</v>
      </c>
      <c r="D5102" s="1">
        <v>238</v>
      </c>
      <c r="E5102" s="1">
        <v>1.5</v>
      </c>
      <c r="F5102" s="1">
        <v>75</v>
      </c>
      <c r="L5102" s="1">
        <v>1</v>
      </c>
      <c r="R5102" s="1">
        <v>1</v>
      </c>
    </row>
    <row r="5103" spans="1:82" x14ac:dyDescent="0.3">
      <c r="A5103" s="1" t="s">
        <v>68</v>
      </c>
      <c r="B5103" s="7">
        <v>40766</v>
      </c>
      <c r="C5103" s="1">
        <v>13</v>
      </c>
      <c r="D5103" s="1">
        <v>238</v>
      </c>
      <c r="E5103" s="1">
        <v>1.5</v>
      </c>
      <c r="F5103" s="1">
        <v>76</v>
      </c>
      <c r="R5103" s="1">
        <v>1</v>
      </c>
      <c r="AI5103" s="1">
        <v>1</v>
      </c>
    </row>
    <row r="5104" spans="1:82" x14ac:dyDescent="0.3">
      <c r="A5104" s="1" t="s">
        <v>68</v>
      </c>
      <c r="B5104" s="7">
        <v>40766</v>
      </c>
      <c r="C5104" s="1">
        <v>13</v>
      </c>
      <c r="D5104" s="1">
        <v>238</v>
      </c>
      <c r="E5104" s="1">
        <v>1.5</v>
      </c>
      <c r="F5104" s="1">
        <v>77</v>
      </c>
      <c r="H5104" s="1">
        <v>1</v>
      </c>
      <c r="BG5104" s="1">
        <v>1</v>
      </c>
    </row>
    <row r="5105" spans="1:82" x14ac:dyDescent="0.3">
      <c r="A5105" s="1" t="s">
        <v>68</v>
      </c>
      <c r="B5105" s="7">
        <v>40766</v>
      </c>
      <c r="C5105" s="1">
        <v>13</v>
      </c>
      <c r="D5105" s="1">
        <v>238</v>
      </c>
      <c r="E5105" s="1">
        <v>1.5</v>
      </c>
      <c r="F5105" s="1">
        <v>78</v>
      </c>
      <c r="R5105" s="3">
        <v>0</v>
      </c>
      <c r="S5105" s="3">
        <v>1</v>
      </c>
      <c r="V5105" s="1">
        <v>1</v>
      </c>
      <c r="Y5105" s="1">
        <v>1</v>
      </c>
    </row>
    <row r="5106" spans="1:82" x14ac:dyDescent="0.3">
      <c r="A5106" s="1" t="s">
        <v>68</v>
      </c>
      <c r="B5106" s="7">
        <v>40766</v>
      </c>
      <c r="C5106" s="1">
        <v>13</v>
      </c>
      <c r="D5106" s="1">
        <v>238</v>
      </c>
      <c r="E5106" s="1">
        <v>1.5</v>
      </c>
      <c r="F5106" s="1">
        <v>79</v>
      </c>
      <c r="R5106" s="3">
        <v>0</v>
      </c>
      <c r="S5106" s="3">
        <v>1</v>
      </c>
      <c r="Y5106" s="1">
        <v>1</v>
      </c>
      <c r="AI5106" s="1">
        <v>1</v>
      </c>
    </row>
    <row r="5107" spans="1:82" x14ac:dyDescent="0.3">
      <c r="A5107" s="1" t="s">
        <v>68</v>
      </c>
      <c r="B5107" s="7">
        <v>40766</v>
      </c>
      <c r="C5107" s="1">
        <v>13</v>
      </c>
      <c r="D5107" s="1">
        <v>238</v>
      </c>
      <c r="E5107" s="1">
        <v>1.5</v>
      </c>
      <c r="F5107" s="1">
        <v>80</v>
      </c>
      <c r="H5107" s="1">
        <v>1</v>
      </c>
      <c r="L5107" s="1">
        <v>1</v>
      </c>
    </row>
    <row r="5108" spans="1:82" x14ac:dyDescent="0.3">
      <c r="A5108" s="1" t="s">
        <v>68</v>
      </c>
      <c r="B5108" s="7">
        <v>40766</v>
      </c>
      <c r="C5108" s="1">
        <v>13</v>
      </c>
      <c r="D5108" s="1">
        <v>238</v>
      </c>
      <c r="E5108" s="1">
        <v>1.5</v>
      </c>
      <c r="F5108" s="1">
        <v>81</v>
      </c>
      <c r="H5108" s="1">
        <v>1</v>
      </c>
      <c r="L5108" s="1">
        <v>1</v>
      </c>
      <c r="AS5108" s="1">
        <v>1</v>
      </c>
    </row>
    <row r="5109" spans="1:82" x14ac:dyDescent="0.3">
      <c r="A5109" s="1" t="s">
        <v>68</v>
      </c>
      <c r="B5109" s="7">
        <v>40766</v>
      </c>
      <c r="C5109" s="1">
        <v>13</v>
      </c>
      <c r="D5109" s="1">
        <v>238</v>
      </c>
      <c r="E5109" s="1">
        <v>1.5</v>
      </c>
      <c r="F5109" s="1">
        <v>82</v>
      </c>
      <c r="L5109" s="1">
        <v>1</v>
      </c>
      <c r="R5109" s="1">
        <v>1</v>
      </c>
    </row>
    <row r="5110" spans="1:82" x14ac:dyDescent="0.3">
      <c r="A5110" s="1" t="s">
        <v>68</v>
      </c>
      <c r="B5110" s="7">
        <v>40766</v>
      </c>
      <c r="C5110" s="1">
        <v>13</v>
      </c>
      <c r="D5110" s="1">
        <v>238</v>
      </c>
      <c r="E5110" s="1">
        <v>1.5</v>
      </c>
      <c r="F5110" s="1">
        <v>83</v>
      </c>
      <c r="R5110" s="1">
        <v>1</v>
      </c>
      <c r="AF5110" s="1">
        <v>1</v>
      </c>
    </row>
    <row r="5111" spans="1:82" x14ac:dyDescent="0.3">
      <c r="A5111" s="1" t="s">
        <v>68</v>
      </c>
      <c r="B5111" s="7">
        <v>40766</v>
      </c>
      <c r="C5111" s="1">
        <v>13</v>
      </c>
      <c r="D5111" s="1">
        <v>238</v>
      </c>
      <c r="E5111" s="1">
        <v>1.5</v>
      </c>
      <c r="F5111" s="1">
        <v>84</v>
      </c>
      <c r="R5111" s="3">
        <v>0</v>
      </c>
      <c r="S5111" s="3">
        <v>1</v>
      </c>
      <c r="V5111" s="1">
        <v>1</v>
      </c>
    </row>
    <row r="5112" spans="1:82" x14ac:dyDescent="0.3">
      <c r="A5112" s="1" t="s">
        <v>68</v>
      </c>
      <c r="B5112" s="7">
        <v>40766</v>
      </c>
      <c r="C5112" s="1">
        <v>13</v>
      </c>
      <c r="D5112" s="1">
        <v>238</v>
      </c>
      <c r="E5112" s="1">
        <v>1.5</v>
      </c>
      <c r="F5112" s="1">
        <v>85</v>
      </c>
      <c r="H5112" s="1">
        <v>1</v>
      </c>
      <c r="L5112" s="8">
        <v>1</v>
      </c>
      <c r="M5112" s="8"/>
    </row>
    <row r="5113" spans="1:82" x14ac:dyDescent="0.3">
      <c r="A5113" s="1" t="s">
        <v>68</v>
      </c>
      <c r="B5113" s="7">
        <v>40766</v>
      </c>
      <c r="C5113" s="1">
        <v>13</v>
      </c>
      <c r="D5113" s="1">
        <v>238</v>
      </c>
      <c r="E5113" s="1">
        <v>1.5</v>
      </c>
      <c r="F5113" s="1">
        <v>86</v>
      </c>
      <c r="H5113" s="1">
        <v>1</v>
      </c>
      <c r="R5113" s="1">
        <v>1</v>
      </c>
    </row>
    <row r="5114" spans="1:82" x14ac:dyDescent="0.3">
      <c r="A5114" s="1" t="s">
        <v>68</v>
      </c>
      <c r="B5114" s="7">
        <v>40766</v>
      </c>
      <c r="C5114" s="1">
        <v>13</v>
      </c>
      <c r="D5114" s="1">
        <v>238</v>
      </c>
      <c r="E5114" s="1">
        <v>1.5</v>
      </c>
      <c r="F5114" s="1">
        <v>87</v>
      </c>
      <c r="H5114" s="1">
        <v>1</v>
      </c>
      <c r="Y5114" s="1">
        <v>1</v>
      </c>
      <c r="AI5114" s="1">
        <v>1</v>
      </c>
    </row>
    <row r="5115" spans="1:82" x14ac:dyDescent="0.3">
      <c r="A5115" s="1" t="s">
        <v>68</v>
      </c>
      <c r="B5115" s="7">
        <v>40766</v>
      </c>
      <c r="C5115" s="1">
        <v>13</v>
      </c>
      <c r="D5115" s="1">
        <v>238</v>
      </c>
      <c r="E5115" s="1">
        <v>1.5</v>
      </c>
      <c r="F5115" s="1">
        <v>88</v>
      </c>
      <c r="R5115" s="1">
        <v>1</v>
      </c>
      <c r="CD5115" s="1">
        <v>1</v>
      </c>
    </row>
    <row r="5116" spans="1:82" x14ac:dyDescent="0.3">
      <c r="A5116" s="1" t="s">
        <v>68</v>
      </c>
      <c r="B5116" s="7">
        <v>40766</v>
      </c>
      <c r="C5116" s="1">
        <v>13</v>
      </c>
      <c r="D5116" s="1">
        <v>238</v>
      </c>
      <c r="E5116" s="1">
        <v>1.5</v>
      </c>
      <c r="F5116" s="1">
        <v>89</v>
      </c>
      <c r="L5116" s="1">
        <v>1</v>
      </c>
      <c r="AI5116" s="3">
        <v>0</v>
      </c>
      <c r="AJ5116" s="3">
        <v>1</v>
      </c>
    </row>
    <row r="5117" spans="1:82" x14ac:dyDescent="0.3">
      <c r="A5117" s="1" t="s">
        <v>68</v>
      </c>
      <c r="B5117" s="7">
        <v>40766</v>
      </c>
      <c r="C5117" s="1">
        <v>13</v>
      </c>
      <c r="D5117" s="1">
        <v>238</v>
      </c>
      <c r="E5117" s="1">
        <v>1.5</v>
      </c>
      <c r="F5117" s="1">
        <v>90</v>
      </c>
      <c r="H5117" s="1">
        <v>1</v>
      </c>
    </row>
    <row r="5118" spans="1:82" x14ac:dyDescent="0.3">
      <c r="A5118" s="1" t="s">
        <v>68</v>
      </c>
      <c r="B5118" s="7">
        <v>40766</v>
      </c>
      <c r="C5118" s="1">
        <v>13</v>
      </c>
      <c r="D5118" s="1">
        <v>238</v>
      </c>
      <c r="E5118" s="1">
        <v>1.5</v>
      </c>
      <c r="F5118" s="1">
        <v>91</v>
      </c>
      <c r="R5118" s="1">
        <v>1</v>
      </c>
      <c r="AI5118" s="1">
        <v>1</v>
      </c>
    </row>
    <row r="5119" spans="1:82" x14ac:dyDescent="0.3">
      <c r="A5119" s="1" t="s">
        <v>68</v>
      </c>
      <c r="B5119" s="7">
        <v>40766</v>
      </c>
      <c r="C5119" s="1">
        <v>13</v>
      </c>
      <c r="D5119" s="1">
        <v>238</v>
      </c>
      <c r="E5119" s="1">
        <v>1.5</v>
      </c>
      <c r="F5119" s="1">
        <v>92</v>
      </c>
      <c r="R5119" s="3">
        <v>0</v>
      </c>
      <c r="S5119" s="3">
        <v>1</v>
      </c>
      <c r="V5119" s="1">
        <v>1</v>
      </c>
    </row>
    <row r="5120" spans="1:82" x14ac:dyDescent="0.3">
      <c r="A5120" s="1" t="s">
        <v>68</v>
      </c>
      <c r="B5120" s="7">
        <v>40766</v>
      </c>
      <c r="C5120" s="1">
        <v>13</v>
      </c>
      <c r="D5120" s="1">
        <v>238</v>
      </c>
      <c r="E5120" s="1">
        <v>1.5</v>
      </c>
      <c r="F5120" s="1">
        <v>93</v>
      </c>
      <c r="R5120" s="1">
        <v>1</v>
      </c>
      <c r="AS5120" s="1">
        <v>1</v>
      </c>
    </row>
    <row r="5121" spans="1:90" x14ac:dyDescent="0.3">
      <c r="A5121" s="1" t="s">
        <v>68</v>
      </c>
      <c r="B5121" s="7">
        <v>40766</v>
      </c>
      <c r="C5121" s="1">
        <v>13</v>
      </c>
      <c r="D5121" s="1">
        <v>238</v>
      </c>
      <c r="E5121" s="1">
        <v>1.5</v>
      </c>
      <c r="F5121" s="1">
        <v>94</v>
      </c>
      <c r="H5121" s="1">
        <v>1</v>
      </c>
      <c r="AS5121" s="1">
        <v>1</v>
      </c>
    </row>
    <row r="5122" spans="1:90" x14ac:dyDescent="0.3">
      <c r="A5122" s="1" t="s">
        <v>68</v>
      </c>
      <c r="B5122" s="7">
        <v>40766</v>
      </c>
      <c r="C5122" s="1">
        <v>13</v>
      </c>
      <c r="D5122" s="1">
        <v>238</v>
      </c>
      <c r="E5122" s="1">
        <v>1.5</v>
      </c>
      <c r="F5122" s="1">
        <v>95</v>
      </c>
      <c r="R5122" s="1">
        <v>1</v>
      </c>
      <c r="V5122" s="1">
        <v>1</v>
      </c>
    </row>
    <row r="5123" spans="1:90" x14ac:dyDescent="0.3">
      <c r="A5123" s="1" t="s">
        <v>68</v>
      </c>
      <c r="B5123" s="7">
        <v>40766</v>
      </c>
      <c r="C5123" s="1">
        <v>13</v>
      </c>
      <c r="D5123" s="1">
        <v>238</v>
      </c>
      <c r="E5123" s="1">
        <v>1.5</v>
      </c>
      <c r="F5123" s="1">
        <v>96</v>
      </c>
      <c r="L5123" s="1">
        <v>1</v>
      </c>
      <c r="R5123" s="1">
        <v>1</v>
      </c>
      <c r="V5123" s="1">
        <v>1</v>
      </c>
    </row>
    <row r="5124" spans="1:90" x14ac:dyDescent="0.3">
      <c r="A5124" s="1" t="s">
        <v>68</v>
      </c>
      <c r="B5124" s="7">
        <v>40766</v>
      </c>
      <c r="C5124" s="1">
        <v>13</v>
      </c>
      <c r="D5124" s="1">
        <v>238</v>
      </c>
      <c r="E5124" s="1">
        <v>1.5</v>
      </c>
      <c r="F5124" s="1">
        <v>97</v>
      </c>
      <c r="L5124" s="8">
        <v>1</v>
      </c>
      <c r="M5124" s="8"/>
    </row>
    <row r="5125" spans="1:90" x14ac:dyDescent="0.3">
      <c r="A5125" s="1" t="s">
        <v>68</v>
      </c>
      <c r="B5125" s="7">
        <v>40766</v>
      </c>
      <c r="C5125" s="1">
        <v>13</v>
      </c>
      <c r="D5125" s="1">
        <v>238</v>
      </c>
      <c r="E5125" s="1">
        <v>1.5</v>
      </c>
      <c r="F5125" s="1">
        <v>98</v>
      </c>
      <c r="R5125" s="1">
        <v>1</v>
      </c>
      <c r="AS5125" s="1">
        <v>1</v>
      </c>
    </row>
    <row r="5126" spans="1:90" x14ac:dyDescent="0.3">
      <c r="A5126" s="1" t="s">
        <v>68</v>
      </c>
      <c r="B5126" s="7">
        <v>40766</v>
      </c>
      <c r="C5126" s="1">
        <v>13</v>
      </c>
      <c r="D5126" s="1">
        <v>238</v>
      </c>
      <c r="E5126" s="1">
        <v>1.5</v>
      </c>
      <c r="F5126" s="1">
        <v>99</v>
      </c>
      <c r="R5126" s="1">
        <v>1</v>
      </c>
      <c r="AI5126" s="1">
        <v>1</v>
      </c>
    </row>
    <row r="5127" spans="1:90" x14ac:dyDescent="0.3">
      <c r="A5127" s="1" t="s">
        <v>68</v>
      </c>
      <c r="B5127" s="7">
        <v>40766</v>
      </c>
      <c r="C5127" s="1">
        <v>13</v>
      </c>
      <c r="D5127" s="1">
        <v>238</v>
      </c>
      <c r="E5127" s="1">
        <v>1.5</v>
      </c>
      <c r="F5127" s="1">
        <v>100</v>
      </c>
      <c r="AF5127" s="1">
        <v>1</v>
      </c>
      <c r="AI5127" s="1">
        <v>1</v>
      </c>
      <c r="AY5127" s="1">
        <v>1</v>
      </c>
    </row>
    <row r="5128" spans="1:90" s="12" customFormat="1" x14ac:dyDescent="0.3">
      <c r="A5128" s="14" t="s">
        <v>68</v>
      </c>
      <c r="B5128" s="13"/>
      <c r="G5128" s="12">
        <f>SUM(G4928:G5127)</f>
        <v>0</v>
      </c>
      <c r="H5128" s="12">
        <f t="shared" ref="H5128" si="1940">SUM(H4928:H5127)</f>
        <v>41</v>
      </c>
      <c r="I5128" s="12">
        <f t="shared" ref="I5128" si="1941">SUM(I4928:I5127)</f>
        <v>15</v>
      </c>
      <c r="J5128" s="12">
        <f t="shared" ref="J5128" si="1942">SUM(J4928:J5127)</f>
        <v>45</v>
      </c>
      <c r="K5128" s="12">
        <f t="shared" ref="K5128" si="1943">SUM(K4928:K5127)</f>
        <v>10</v>
      </c>
      <c r="L5128" s="12">
        <f t="shared" ref="L5128" si="1944">SUM(L4928:L5127)</f>
        <v>23</v>
      </c>
      <c r="M5128" s="12">
        <f t="shared" ref="M5128" si="1945">SUM(M4928:M5127)</f>
        <v>0</v>
      </c>
      <c r="N5128" s="12">
        <f t="shared" ref="N5128" si="1946">SUM(N4928:N5127)</f>
        <v>0</v>
      </c>
      <c r="O5128" s="12">
        <f t="shared" ref="O5128" si="1947">SUM(O4928:O5127)</f>
        <v>0</v>
      </c>
      <c r="P5128" s="12">
        <f t="shared" ref="P5128" si="1948">SUM(P4928:P5127)</f>
        <v>0</v>
      </c>
      <c r="Q5128" s="12">
        <f t="shared" ref="Q5128" si="1949">SUM(Q4928:Q5127)</f>
        <v>0</v>
      </c>
      <c r="R5128" s="12">
        <f t="shared" ref="R5128" si="1950">SUM(R4928:R5127)</f>
        <v>98</v>
      </c>
      <c r="S5128" s="12">
        <f t="shared" ref="S5128" si="1951">SUM(S4928:S5127)</f>
        <v>18</v>
      </c>
      <c r="T5128" s="12">
        <f t="shared" ref="T5128" si="1952">SUM(T4928:T5127)</f>
        <v>0</v>
      </c>
      <c r="U5128" s="12">
        <f t="shared" ref="U5128" si="1953">SUM(U4928:U5127)</f>
        <v>0</v>
      </c>
      <c r="V5128" s="12">
        <f t="shared" ref="V5128" si="1954">SUM(V4928:V5127)</f>
        <v>12</v>
      </c>
      <c r="W5128" s="12">
        <f t="shared" ref="W5128" si="1955">SUM(W4928:W5127)</f>
        <v>0</v>
      </c>
      <c r="X5128" s="12">
        <f t="shared" ref="X5128" si="1956">SUM(X4928:X5127)</f>
        <v>0</v>
      </c>
      <c r="Y5128" s="12">
        <f t="shared" ref="Y5128" si="1957">SUM(Y4928:Y5127)</f>
        <v>5</v>
      </c>
      <c r="Z5128" s="12">
        <f t="shared" ref="Z5128" si="1958">SUM(Z4928:Z5127)</f>
        <v>0</v>
      </c>
      <c r="AA5128" s="12">
        <f t="shared" ref="AA5128" si="1959">SUM(AA4928:AA5127)</f>
        <v>0</v>
      </c>
      <c r="AB5128" s="12">
        <f t="shared" ref="AB5128" si="1960">SUM(AB4928:AB5127)</f>
        <v>1</v>
      </c>
      <c r="AC5128" s="12">
        <f t="shared" ref="AC5128" si="1961">SUM(AC4928:AC5127)</f>
        <v>0</v>
      </c>
      <c r="AD5128" s="12">
        <f t="shared" ref="AD5128" si="1962">SUM(AD4928:AD5127)</f>
        <v>0</v>
      </c>
      <c r="AE5128" s="12">
        <f t="shared" ref="AE5128" si="1963">SUM(AE4928:AE5127)</f>
        <v>0</v>
      </c>
      <c r="AF5128" s="12">
        <f t="shared" ref="AF5128" si="1964">SUM(AF4928:AF5127)</f>
        <v>6</v>
      </c>
      <c r="AG5128" s="12">
        <f t="shared" ref="AG5128" si="1965">SUM(AG4928:AG5127)</f>
        <v>0</v>
      </c>
      <c r="AH5128" s="12">
        <f t="shared" ref="AH5128" si="1966">SUM(AH4928:AH5127)</f>
        <v>0</v>
      </c>
      <c r="AI5128" s="12">
        <f t="shared" ref="AI5128" si="1967">SUM(AI4928:AI5127)</f>
        <v>10</v>
      </c>
      <c r="AJ5128" s="12">
        <f t="shared" ref="AJ5128" si="1968">SUM(AJ4928:AJ5127)</f>
        <v>1</v>
      </c>
      <c r="AK5128" s="12">
        <f t="shared" ref="AK5128" si="1969">SUM(AK4928:AK5127)</f>
        <v>0</v>
      </c>
      <c r="AL5128" s="12">
        <f t="shared" ref="AL5128" si="1970">SUM(AL4928:AL5127)</f>
        <v>0</v>
      </c>
      <c r="AM5128" s="12">
        <f t="shared" ref="AM5128" si="1971">SUM(AM4928:AM5127)</f>
        <v>0</v>
      </c>
      <c r="AN5128" s="12">
        <f t="shared" ref="AN5128" si="1972">SUM(AN4928:AN5127)</f>
        <v>0</v>
      </c>
      <c r="AO5128" s="12">
        <f t="shared" ref="AO5128" si="1973">SUM(AO4928:AO5127)</f>
        <v>0</v>
      </c>
      <c r="AP5128" s="12">
        <f t="shared" ref="AP5128" si="1974">SUM(AP4928:AP5127)</f>
        <v>0</v>
      </c>
      <c r="AQ5128" s="12">
        <f t="shared" ref="AQ5128" si="1975">SUM(AQ4928:AQ5127)</f>
        <v>0</v>
      </c>
      <c r="AR5128" s="12">
        <f t="shared" ref="AR5128" si="1976">SUM(AR4928:AR5127)</f>
        <v>0</v>
      </c>
      <c r="AS5128" s="12">
        <f t="shared" ref="AS5128" si="1977">SUM(AS4928:AS5127)</f>
        <v>6</v>
      </c>
      <c r="AT5128" s="12">
        <f t="shared" ref="AT5128" si="1978">SUM(AT4928:AT5127)</f>
        <v>0</v>
      </c>
      <c r="AU5128" s="12">
        <f t="shared" ref="AU5128" si="1979">SUM(AU4928:AU5127)</f>
        <v>0</v>
      </c>
      <c r="AV5128" s="12">
        <f t="shared" ref="AV5128" si="1980">SUM(AV4928:AV5127)</f>
        <v>0</v>
      </c>
      <c r="AW5128" s="12">
        <f t="shared" ref="AW5128" si="1981">SUM(AW4928:AW5127)</f>
        <v>0</v>
      </c>
      <c r="AX5128" s="12">
        <f t="shared" ref="AX5128" si="1982">SUM(AX4928:AX5127)</f>
        <v>0</v>
      </c>
      <c r="AY5128" s="12">
        <f t="shared" ref="AY5128" si="1983">SUM(AY4928:AY5127)</f>
        <v>1</v>
      </c>
      <c r="AZ5128" s="12">
        <f t="shared" ref="AZ5128" si="1984">SUM(AZ4928:AZ5127)</f>
        <v>0</v>
      </c>
      <c r="BA5128" s="12">
        <f t="shared" ref="BA5128" si="1985">SUM(BA4928:BA5127)</f>
        <v>0</v>
      </c>
      <c r="BB5128" s="12">
        <f t="shared" ref="BB5128" si="1986">SUM(BB4928:BB5127)</f>
        <v>1</v>
      </c>
      <c r="BC5128" s="12">
        <f t="shared" ref="BC5128" si="1987">SUM(BC4928:BC5127)</f>
        <v>0</v>
      </c>
      <c r="BD5128" s="12">
        <f t="shared" ref="BD5128" si="1988">SUM(BD4928:BD5127)</f>
        <v>0</v>
      </c>
      <c r="BE5128" s="12">
        <f t="shared" ref="BE5128" si="1989">SUM(BE4928:BE5127)</f>
        <v>0</v>
      </c>
      <c r="BF5128" s="12">
        <f t="shared" ref="BF5128" si="1990">SUM(BF4928:BF5127)</f>
        <v>0</v>
      </c>
      <c r="BG5128" s="12">
        <f t="shared" ref="BG5128" si="1991">SUM(BG4928:BG5127)</f>
        <v>1</v>
      </c>
      <c r="BH5128" s="12">
        <f t="shared" ref="BH5128" si="1992">SUM(BH4928:BH5127)</f>
        <v>1</v>
      </c>
      <c r="BI5128" s="12">
        <f t="shared" ref="BI5128" si="1993">SUM(BI4928:BI5127)</f>
        <v>2</v>
      </c>
      <c r="BJ5128" s="12">
        <f t="shared" ref="BJ5128" si="1994">SUM(BJ4928:BJ5127)</f>
        <v>0</v>
      </c>
      <c r="BK5128" s="12">
        <f t="shared" ref="BK5128" si="1995">SUM(BK4928:BK5127)</f>
        <v>1</v>
      </c>
      <c r="BL5128" s="12">
        <f t="shared" ref="BL5128" si="1996">SUM(BL4928:BL5127)</f>
        <v>0</v>
      </c>
      <c r="BM5128" s="12">
        <f t="shared" ref="BM5128" si="1997">SUM(BM4928:BM5127)</f>
        <v>0</v>
      </c>
      <c r="BN5128" s="12">
        <f t="shared" ref="BN5128" si="1998">SUM(BN4928:BN5127)</f>
        <v>0</v>
      </c>
      <c r="BO5128" s="12">
        <f t="shared" ref="BO5128" si="1999">SUM(BO4928:BO5127)</f>
        <v>0</v>
      </c>
      <c r="BP5128" s="12">
        <f t="shared" ref="BP5128" si="2000">SUM(BP4928:BP5127)</f>
        <v>0</v>
      </c>
      <c r="BQ5128" s="12">
        <f t="shared" ref="BQ5128" si="2001">SUM(BQ4928:BQ5127)</f>
        <v>0</v>
      </c>
      <c r="BR5128" s="12">
        <f t="shared" ref="BR5128" si="2002">SUM(BR4928:BR5127)</f>
        <v>0</v>
      </c>
      <c r="BS5128" s="12">
        <f t="shared" ref="BS5128" si="2003">SUM(BS4928:BS5127)</f>
        <v>0</v>
      </c>
      <c r="BT5128" s="12">
        <f t="shared" ref="BT5128" si="2004">SUM(BT4928:BT5127)</f>
        <v>0</v>
      </c>
      <c r="BU5128" s="12">
        <f t="shared" ref="BU5128" si="2005">SUM(BU4928:BU5127)</f>
        <v>0</v>
      </c>
      <c r="BV5128" s="12">
        <f t="shared" ref="BV5128" si="2006">SUM(BV4928:BV5127)</f>
        <v>0</v>
      </c>
      <c r="BW5128" s="12">
        <f t="shared" ref="BW5128" si="2007">SUM(BW4928:BW5127)</f>
        <v>0</v>
      </c>
      <c r="BX5128" s="12">
        <f t="shared" ref="BX5128" si="2008">SUM(BX4928:BX5127)</f>
        <v>0</v>
      </c>
      <c r="BY5128" s="12">
        <f t="shared" ref="BY5128" si="2009">SUM(BY4928:BY5127)</f>
        <v>0</v>
      </c>
      <c r="BZ5128" s="12">
        <f t="shared" ref="BZ5128" si="2010">SUM(BZ4928:BZ5127)</f>
        <v>0</v>
      </c>
      <c r="CA5128" s="12">
        <f t="shared" ref="CA5128" si="2011">SUM(CA4928:CA5127)</f>
        <v>0</v>
      </c>
      <c r="CB5128" s="12">
        <f t="shared" ref="CB5128" si="2012">SUM(CB4928:CB5127)</f>
        <v>0</v>
      </c>
      <c r="CC5128" s="12">
        <f t="shared" ref="CC5128" si="2013">SUM(CC4928:CC5127)</f>
        <v>0</v>
      </c>
      <c r="CD5128" s="12">
        <f t="shared" ref="CD5128" si="2014">SUM(CD4928:CD5127)</f>
        <v>2</v>
      </c>
      <c r="CE5128" s="12">
        <f t="shared" ref="CE5128" si="2015">SUM(CE4928:CE5127)</f>
        <v>0</v>
      </c>
      <c r="CF5128" s="12">
        <f t="shared" ref="CF5128" si="2016">SUM(CF4928:CF5127)</f>
        <v>0</v>
      </c>
      <c r="CG5128" s="12">
        <f t="shared" ref="CG5128" si="2017">SUM(CG4928:CG5127)</f>
        <v>0</v>
      </c>
      <c r="CH5128" s="12">
        <f t="shared" ref="CH5128" si="2018">SUM(CH4928:CH5127)</f>
        <v>0</v>
      </c>
      <c r="CI5128" s="12">
        <f t="shared" ref="CI5128" si="2019">SUM(CI4928:CI5127)</f>
        <v>0</v>
      </c>
      <c r="CJ5128" s="12">
        <f t="shared" ref="CJ5128" si="2020">SUM(CJ4928:CJ5127)</f>
        <v>0</v>
      </c>
      <c r="CK5128" s="12">
        <f t="shared" ref="CK5128" si="2021">SUM(CK4928:CK5127)</f>
        <v>0</v>
      </c>
      <c r="CL5128" s="12">
        <f t="shared" ref="CL5128" si="2022">SUM(CL4928:CL5127)</f>
        <v>0</v>
      </c>
    </row>
    <row r="5129" spans="1:90" x14ac:dyDescent="0.3">
      <c r="A5129" s="1" t="s">
        <v>69</v>
      </c>
      <c r="B5129" s="7">
        <v>40766</v>
      </c>
      <c r="C5129" s="1">
        <v>6.5</v>
      </c>
      <c r="D5129" s="1">
        <v>220</v>
      </c>
      <c r="E5129" s="1">
        <v>3</v>
      </c>
      <c r="F5129" s="1">
        <v>1</v>
      </c>
      <c r="H5129" s="1">
        <v>1</v>
      </c>
      <c r="R5129" s="1">
        <v>1</v>
      </c>
    </row>
    <row r="5130" spans="1:90" x14ac:dyDescent="0.3">
      <c r="A5130" s="1" t="s">
        <v>69</v>
      </c>
      <c r="B5130" s="7">
        <v>40766</v>
      </c>
      <c r="C5130" s="1">
        <v>6.5</v>
      </c>
      <c r="D5130" s="1">
        <v>220</v>
      </c>
      <c r="E5130" s="1">
        <v>3</v>
      </c>
      <c r="F5130" s="1">
        <v>2</v>
      </c>
      <c r="R5130" s="1">
        <v>1</v>
      </c>
    </row>
    <row r="5131" spans="1:90" x14ac:dyDescent="0.3">
      <c r="A5131" s="1" t="s">
        <v>69</v>
      </c>
      <c r="B5131" s="7">
        <v>40766</v>
      </c>
      <c r="C5131" s="1">
        <v>6.5</v>
      </c>
      <c r="D5131" s="1">
        <v>220</v>
      </c>
      <c r="E5131" s="1">
        <v>3</v>
      </c>
      <c r="F5131" s="1">
        <v>3</v>
      </c>
      <c r="H5131" s="1">
        <v>1</v>
      </c>
      <c r="R5131" s="3">
        <v>0</v>
      </c>
      <c r="S5131" s="3">
        <v>1</v>
      </c>
    </row>
    <row r="5132" spans="1:90" x14ac:dyDescent="0.3">
      <c r="A5132" s="1" t="s">
        <v>69</v>
      </c>
      <c r="B5132" s="7">
        <v>40766</v>
      </c>
      <c r="C5132" s="1">
        <v>6.5</v>
      </c>
      <c r="D5132" s="1">
        <v>220</v>
      </c>
      <c r="E5132" s="1">
        <v>3</v>
      </c>
      <c r="F5132" s="1">
        <v>4</v>
      </c>
      <c r="L5132" s="1">
        <v>1</v>
      </c>
      <c r="R5132" s="1">
        <v>1</v>
      </c>
    </row>
    <row r="5133" spans="1:90" x14ac:dyDescent="0.3">
      <c r="A5133" s="1" t="s">
        <v>69</v>
      </c>
      <c r="B5133" s="7">
        <v>40766</v>
      </c>
      <c r="C5133" s="1">
        <v>6.5</v>
      </c>
      <c r="D5133" s="1">
        <v>220</v>
      </c>
      <c r="E5133" s="1">
        <v>3</v>
      </c>
      <c r="F5133" s="1">
        <v>5</v>
      </c>
      <c r="L5133" s="1">
        <v>1</v>
      </c>
      <c r="R5133" s="1">
        <v>1</v>
      </c>
    </row>
    <row r="5134" spans="1:90" x14ac:dyDescent="0.3">
      <c r="A5134" s="1" t="s">
        <v>69</v>
      </c>
      <c r="B5134" s="7">
        <v>40766</v>
      </c>
      <c r="C5134" s="1">
        <v>6.5</v>
      </c>
      <c r="D5134" s="1">
        <v>220</v>
      </c>
      <c r="E5134" s="1">
        <v>3</v>
      </c>
      <c r="F5134" s="1">
        <v>6</v>
      </c>
      <c r="R5134" s="3">
        <v>0</v>
      </c>
      <c r="S5134" s="3">
        <v>1</v>
      </c>
      <c r="BP5134" s="1">
        <v>1</v>
      </c>
    </row>
    <row r="5135" spans="1:90" x14ac:dyDescent="0.3">
      <c r="A5135" s="1" t="s">
        <v>69</v>
      </c>
      <c r="B5135" s="7">
        <v>40766</v>
      </c>
      <c r="C5135" s="1">
        <v>6.5</v>
      </c>
      <c r="D5135" s="1">
        <v>220</v>
      </c>
      <c r="E5135" s="1">
        <v>3</v>
      </c>
      <c r="F5135" s="1">
        <v>7</v>
      </c>
      <c r="L5135" s="1">
        <v>1</v>
      </c>
    </row>
    <row r="5136" spans="1:90" x14ac:dyDescent="0.3">
      <c r="A5136" s="1" t="s">
        <v>69</v>
      </c>
      <c r="B5136" s="7">
        <v>40766</v>
      </c>
      <c r="C5136" s="1">
        <v>6.5</v>
      </c>
      <c r="D5136" s="1">
        <v>220</v>
      </c>
      <c r="E5136" s="1">
        <v>3</v>
      </c>
      <c r="F5136" s="1">
        <v>8</v>
      </c>
      <c r="L5136" s="1">
        <v>1</v>
      </c>
      <c r="R5136" s="1">
        <v>1</v>
      </c>
    </row>
    <row r="5137" spans="1:69" x14ac:dyDescent="0.3">
      <c r="A5137" s="1" t="s">
        <v>69</v>
      </c>
      <c r="B5137" s="7">
        <v>40766</v>
      </c>
      <c r="C5137" s="1">
        <v>6.5</v>
      </c>
      <c r="D5137" s="1">
        <v>220</v>
      </c>
      <c r="E5137" s="1">
        <v>3</v>
      </c>
      <c r="F5137" s="1">
        <v>9</v>
      </c>
      <c r="L5137" s="1">
        <v>1</v>
      </c>
      <c r="BP5137" s="1">
        <v>1</v>
      </c>
    </row>
    <row r="5138" spans="1:69" x14ac:dyDescent="0.3">
      <c r="A5138" s="1" t="s">
        <v>69</v>
      </c>
      <c r="B5138" s="7">
        <v>40766</v>
      </c>
      <c r="C5138" s="1">
        <v>6.5</v>
      </c>
      <c r="D5138" s="1">
        <v>220</v>
      </c>
      <c r="E5138" s="1">
        <v>3</v>
      </c>
      <c r="F5138" s="1">
        <v>10</v>
      </c>
      <c r="L5138" s="1">
        <v>1</v>
      </c>
      <c r="R5138" s="3">
        <v>0</v>
      </c>
      <c r="S5138" s="3">
        <v>1</v>
      </c>
    </row>
    <row r="5139" spans="1:69" x14ac:dyDescent="0.3">
      <c r="A5139" s="1" t="s">
        <v>69</v>
      </c>
      <c r="B5139" s="7">
        <v>40766</v>
      </c>
      <c r="C5139" s="1">
        <v>6.5</v>
      </c>
      <c r="D5139" s="1">
        <v>220</v>
      </c>
      <c r="E5139" s="1">
        <v>3</v>
      </c>
      <c r="F5139" s="1">
        <v>11</v>
      </c>
      <c r="H5139" s="1">
        <v>1</v>
      </c>
      <c r="BP5139" s="1">
        <v>1</v>
      </c>
    </row>
    <row r="5140" spans="1:69" x14ac:dyDescent="0.3">
      <c r="A5140" s="1" t="s">
        <v>69</v>
      </c>
      <c r="B5140" s="7">
        <v>40766</v>
      </c>
      <c r="C5140" s="1">
        <v>6.5</v>
      </c>
      <c r="D5140" s="1">
        <v>220</v>
      </c>
      <c r="E5140" s="1">
        <v>3</v>
      </c>
      <c r="F5140" s="1">
        <v>12</v>
      </c>
      <c r="H5140" s="1">
        <v>1</v>
      </c>
      <c r="R5140" s="1">
        <v>1</v>
      </c>
    </row>
    <row r="5141" spans="1:69" x14ac:dyDescent="0.3">
      <c r="A5141" s="1" t="s">
        <v>69</v>
      </c>
      <c r="B5141" s="7">
        <v>40766</v>
      </c>
      <c r="C5141" s="1">
        <v>6.5</v>
      </c>
      <c r="D5141" s="1">
        <v>220</v>
      </c>
      <c r="E5141" s="1">
        <v>3</v>
      </c>
      <c r="F5141" s="1">
        <v>13</v>
      </c>
      <c r="L5141" s="1">
        <v>1</v>
      </c>
      <c r="BB5141" s="1">
        <v>1</v>
      </c>
    </row>
    <row r="5142" spans="1:69" x14ac:dyDescent="0.3">
      <c r="A5142" s="1" t="s">
        <v>69</v>
      </c>
      <c r="B5142" s="7">
        <v>40766</v>
      </c>
      <c r="C5142" s="1">
        <v>6.5</v>
      </c>
      <c r="D5142" s="1">
        <v>220</v>
      </c>
      <c r="E5142" s="1">
        <v>3</v>
      </c>
      <c r="F5142" s="1">
        <v>14</v>
      </c>
      <c r="L5142" s="8">
        <v>1</v>
      </c>
      <c r="M5142" s="8"/>
    </row>
    <row r="5143" spans="1:69" x14ac:dyDescent="0.3">
      <c r="A5143" s="1" t="s">
        <v>69</v>
      </c>
      <c r="B5143" s="7">
        <v>40766</v>
      </c>
      <c r="C5143" s="1">
        <v>6.5</v>
      </c>
      <c r="D5143" s="1">
        <v>220</v>
      </c>
      <c r="E5143" s="1">
        <v>3</v>
      </c>
      <c r="F5143" s="1">
        <v>15</v>
      </c>
      <c r="L5143" s="1">
        <v>1</v>
      </c>
      <c r="R5143" s="1">
        <v>1</v>
      </c>
    </row>
    <row r="5144" spans="1:69" x14ac:dyDescent="0.3">
      <c r="A5144" s="1" t="s">
        <v>69</v>
      </c>
      <c r="B5144" s="7">
        <v>40766</v>
      </c>
      <c r="C5144" s="1">
        <v>6.5</v>
      </c>
      <c r="D5144" s="1">
        <v>220</v>
      </c>
      <c r="E5144" s="1">
        <v>3</v>
      </c>
      <c r="F5144" s="1">
        <v>16</v>
      </c>
      <c r="L5144" s="1">
        <v>1</v>
      </c>
      <c r="R5144" s="3">
        <v>0</v>
      </c>
      <c r="S5144" s="3">
        <v>1</v>
      </c>
    </row>
    <row r="5145" spans="1:69" x14ac:dyDescent="0.3">
      <c r="A5145" s="1" t="s">
        <v>69</v>
      </c>
      <c r="B5145" s="7">
        <v>40766</v>
      </c>
      <c r="C5145" s="1">
        <v>6.5</v>
      </c>
      <c r="D5145" s="1">
        <v>220</v>
      </c>
      <c r="E5145" s="1">
        <v>3</v>
      </c>
      <c r="F5145" s="1">
        <v>17</v>
      </c>
      <c r="R5145" s="3">
        <v>0</v>
      </c>
      <c r="S5145" s="3">
        <v>1</v>
      </c>
    </row>
    <row r="5146" spans="1:69" x14ac:dyDescent="0.3">
      <c r="A5146" s="1" t="s">
        <v>69</v>
      </c>
      <c r="B5146" s="7">
        <v>40766</v>
      </c>
      <c r="C5146" s="1">
        <v>6.5</v>
      </c>
      <c r="D5146" s="1">
        <v>220</v>
      </c>
      <c r="E5146" s="1">
        <v>3</v>
      </c>
      <c r="F5146" s="1">
        <v>18</v>
      </c>
      <c r="L5146" s="1">
        <v>1</v>
      </c>
      <c r="BP5146" s="3">
        <v>0</v>
      </c>
      <c r="BQ5146" s="3">
        <v>1</v>
      </c>
    </row>
    <row r="5147" spans="1:69" x14ac:dyDescent="0.3">
      <c r="A5147" s="1" t="s">
        <v>69</v>
      </c>
      <c r="B5147" s="7">
        <v>40766</v>
      </c>
      <c r="C5147" s="1">
        <v>6.5</v>
      </c>
      <c r="D5147" s="1">
        <v>220</v>
      </c>
      <c r="E5147" s="1">
        <v>3</v>
      </c>
      <c r="F5147" s="1">
        <v>19</v>
      </c>
      <c r="H5147" s="1">
        <v>1</v>
      </c>
    </row>
    <row r="5148" spans="1:69" x14ac:dyDescent="0.3">
      <c r="A5148" s="1" t="s">
        <v>69</v>
      </c>
      <c r="B5148" s="7">
        <v>40766</v>
      </c>
      <c r="C5148" s="1">
        <v>6.5</v>
      </c>
      <c r="D5148" s="1">
        <v>220</v>
      </c>
      <c r="E5148" s="1">
        <v>3</v>
      </c>
      <c r="F5148" s="1">
        <v>20</v>
      </c>
      <c r="L5148" s="1">
        <v>1</v>
      </c>
      <c r="AS5148" s="1">
        <v>1</v>
      </c>
    </row>
    <row r="5149" spans="1:69" x14ac:dyDescent="0.3">
      <c r="A5149" s="1" t="s">
        <v>69</v>
      </c>
      <c r="B5149" s="7">
        <v>40766</v>
      </c>
      <c r="C5149" s="1">
        <v>6.5</v>
      </c>
      <c r="D5149" s="1">
        <v>220</v>
      </c>
      <c r="E5149" s="1">
        <v>3</v>
      </c>
      <c r="F5149" s="1">
        <v>21</v>
      </c>
      <c r="L5149" s="1">
        <v>1</v>
      </c>
      <c r="R5149" s="1">
        <v>1</v>
      </c>
    </row>
    <row r="5150" spans="1:69" x14ac:dyDescent="0.3">
      <c r="A5150" s="1" t="s">
        <v>69</v>
      </c>
      <c r="B5150" s="7">
        <v>40766</v>
      </c>
      <c r="C5150" s="1">
        <v>6.5</v>
      </c>
      <c r="D5150" s="1">
        <v>220</v>
      </c>
      <c r="E5150" s="1">
        <v>3</v>
      </c>
      <c r="F5150" s="1">
        <v>22</v>
      </c>
      <c r="L5150" s="1">
        <v>1</v>
      </c>
      <c r="BP5150" s="1">
        <v>1</v>
      </c>
    </row>
    <row r="5151" spans="1:69" x14ac:dyDescent="0.3">
      <c r="A5151" s="1" t="s">
        <v>69</v>
      </c>
      <c r="B5151" s="7">
        <v>40766</v>
      </c>
      <c r="C5151" s="1">
        <v>6.5</v>
      </c>
      <c r="D5151" s="1">
        <v>220</v>
      </c>
      <c r="E5151" s="1">
        <v>3</v>
      </c>
      <c r="F5151" s="1">
        <v>23</v>
      </c>
      <c r="AI5151" s="3">
        <v>0</v>
      </c>
      <c r="AJ5151" s="3">
        <v>1</v>
      </c>
      <c r="BE5151" s="1">
        <v>1</v>
      </c>
    </row>
    <row r="5152" spans="1:69" x14ac:dyDescent="0.3">
      <c r="A5152" s="1" t="s">
        <v>69</v>
      </c>
      <c r="B5152" s="7">
        <v>40766</v>
      </c>
      <c r="C5152" s="1">
        <v>6.5</v>
      </c>
      <c r="D5152" s="1">
        <v>220</v>
      </c>
      <c r="E5152" s="1">
        <v>3</v>
      </c>
      <c r="F5152" s="1">
        <v>24</v>
      </c>
      <c r="H5152" s="1">
        <v>1</v>
      </c>
      <c r="R5152" s="1">
        <v>1</v>
      </c>
      <c r="AK5152" s="1">
        <v>1</v>
      </c>
    </row>
    <row r="5153" spans="1:70" x14ac:dyDescent="0.3">
      <c r="A5153" s="1" t="s">
        <v>69</v>
      </c>
      <c r="B5153" s="7">
        <v>40766</v>
      </c>
      <c r="C5153" s="1">
        <v>6.5</v>
      </c>
      <c r="D5153" s="1">
        <v>220</v>
      </c>
      <c r="E5153" s="1">
        <v>3</v>
      </c>
      <c r="F5153" s="1">
        <v>25</v>
      </c>
      <c r="R5153" s="1">
        <v>1</v>
      </c>
    </row>
    <row r="5154" spans="1:70" x14ac:dyDescent="0.3">
      <c r="A5154" s="1" t="s">
        <v>69</v>
      </c>
      <c r="B5154" s="7">
        <v>40766</v>
      </c>
      <c r="C5154" s="1">
        <v>6.5</v>
      </c>
      <c r="D5154" s="1">
        <v>220</v>
      </c>
      <c r="E5154" s="1">
        <v>3</v>
      </c>
      <c r="F5154" s="1">
        <v>26</v>
      </c>
      <c r="L5154" s="1">
        <v>1</v>
      </c>
      <c r="BP5154" s="1">
        <v>1</v>
      </c>
      <c r="BR5154" s="1">
        <v>1</v>
      </c>
    </row>
    <row r="5155" spans="1:70" x14ac:dyDescent="0.3">
      <c r="A5155" s="1" t="s">
        <v>69</v>
      </c>
      <c r="B5155" s="7">
        <v>40766</v>
      </c>
      <c r="C5155" s="1">
        <v>6.5</v>
      </c>
      <c r="D5155" s="1">
        <v>220</v>
      </c>
      <c r="E5155" s="1">
        <v>3</v>
      </c>
      <c r="F5155" s="1">
        <v>27</v>
      </c>
      <c r="L5155" s="1">
        <v>1</v>
      </c>
      <c r="BP5155" s="1">
        <v>1</v>
      </c>
    </row>
    <row r="5156" spans="1:70" x14ac:dyDescent="0.3">
      <c r="A5156" s="1" t="s">
        <v>69</v>
      </c>
      <c r="B5156" s="7">
        <v>40766</v>
      </c>
      <c r="C5156" s="1">
        <v>6.5</v>
      </c>
      <c r="D5156" s="1">
        <v>220</v>
      </c>
      <c r="E5156" s="1">
        <v>3</v>
      </c>
      <c r="F5156" s="1">
        <v>28</v>
      </c>
      <c r="L5156" s="1">
        <v>1</v>
      </c>
      <c r="R5156" s="1">
        <v>1</v>
      </c>
      <c r="BP5156" s="1">
        <v>1</v>
      </c>
    </row>
    <row r="5157" spans="1:70" x14ac:dyDescent="0.3">
      <c r="A5157" s="1" t="s">
        <v>69</v>
      </c>
      <c r="B5157" s="7">
        <v>40766</v>
      </c>
      <c r="C5157" s="1">
        <v>6.5</v>
      </c>
      <c r="D5157" s="1">
        <v>220</v>
      </c>
      <c r="E5157" s="1">
        <v>3</v>
      </c>
      <c r="F5157" s="1">
        <v>29</v>
      </c>
      <c r="R5157" s="1">
        <v>1</v>
      </c>
    </row>
    <row r="5158" spans="1:70" x14ac:dyDescent="0.3">
      <c r="A5158" s="1" t="s">
        <v>69</v>
      </c>
      <c r="B5158" s="7">
        <v>40766</v>
      </c>
      <c r="C5158" s="1">
        <v>6.5</v>
      </c>
      <c r="D5158" s="1">
        <v>220</v>
      </c>
      <c r="E5158" s="1">
        <v>3</v>
      </c>
      <c r="F5158" s="1">
        <v>30</v>
      </c>
      <c r="L5158" s="1">
        <v>1</v>
      </c>
      <c r="BR5158" s="1">
        <v>1</v>
      </c>
    </row>
    <row r="5159" spans="1:70" x14ac:dyDescent="0.3">
      <c r="A5159" s="1" t="s">
        <v>69</v>
      </c>
      <c r="B5159" s="7">
        <v>40766</v>
      </c>
      <c r="C5159" s="1">
        <v>6.5</v>
      </c>
      <c r="D5159" s="1">
        <v>220</v>
      </c>
      <c r="E5159" s="1">
        <v>3</v>
      </c>
      <c r="F5159" s="1">
        <v>31</v>
      </c>
      <c r="H5159" s="1">
        <v>1</v>
      </c>
      <c r="R5159" s="1">
        <v>1</v>
      </c>
    </row>
    <row r="5160" spans="1:70" x14ac:dyDescent="0.3">
      <c r="A5160" s="1" t="s">
        <v>69</v>
      </c>
      <c r="B5160" s="7">
        <v>40766</v>
      </c>
      <c r="C5160" s="1">
        <v>6.5</v>
      </c>
      <c r="D5160" s="1">
        <v>220</v>
      </c>
      <c r="E5160" s="1">
        <v>3</v>
      </c>
      <c r="F5160" s="1">
        <v>32</v>
      </c>
      <c r="L5160" s="1">
        <v>1</v>
      </c>
      <c r="R5160" s="3">
        <v>0</v>
      </c>
      <c r="S5160" s="3">
        <v>1</v>
      </c>
    </row>
    <row r="5161" spans="1:70" x14ac:dyDescent="0.3">
      <c r="A5161" s="1" t="s">
        <v>69</v>
      </c>
      <c r="B5161" s="7">
        <v>40766</v>
      </c>
      <c r="C5161" s="1">
        <v>6.5</v>
      </c>
      <c r="D5161" s="1">
        <v>220</v>
      </c>
      <c r="E5161" s="1">
        <v>3</v>
      </c>
      <c r="F5161" s="1">
        <v>33</v>
      </c>
      <c r="R5161" s="3">
        <v>0</v>
      </c>
      <c r="S5161" s="3">
        <v>1</v>
      </c>
      <c r="AS5161" s="1">
        <v>1</v>
      </c>
      <c r="BE5161" s="1">
        <v>1</v>
      </c>
    </row>
    <row r="5162" spans="1:70" x14ac:dyDescent="0.3">
      <c r="A5162" s="1" t="s">
        <v>69</v>
      </c>
      <c r="B5162" s="7">
        <v>40766</v>
      </c>
      <c r="C5162" s="1">
        <v>6.5</v>
      </c>
      <c r="D5162" s="1">
        <v>220</v>
      </c>
      <c r="E5162" s="1">
        <v>3</v>
      </c>
      <c r="F5162" s="1">
        <v>34</v>
      </c>
      <c r="R5162" s="1">
        <v>1</v>
      </c>
      <c r="BC5162" s="1">
        <v>1</v>
      </c>
    </row>
    <row r="5163" spans="1:70" x14ac:dyDescent="0.3">
      <c r="A5163" s="1" t="s">
        <v>69</v>
      </c>
      <c r="B5163" s="7">
        <v>40766</v>
      </c>
      <c r="C5163" s="1">
        <v>6.5</v>
      </c>
      <c r="D5163" s="1">
        <v>220</v>
      </c>
      <c r="E5163" s="1">
        <v>3</v>
      </c>
      <c r="F5163" s="1">
        <v>35</v>
      </c>
      <c r="V5163" s="1">
        <v>1</v>
      </c>
      <c r="BP5163" s="1">
        <v>1</v>
      </c>
    </row>
    <row r="5164" spans="1:70" x14ac:dyDescent="0.3">
      <c r="A5164" s="1" t="s">
        <v>69</v>
      </c>
      <c r="B5164" s="7">
        <v>40766</v>
      </c>
      <c r="C5164" s="1">
        <v>6.5</v>
      </c>
      <c r="D5164" s="1">
        <v>220</v>
      </c>
      <c r="E5164" s="1">
        <v>3</v>
      </c>
      <c r="F5164" s="1">
        <v>36</v>
      </c>
      <c r="L5164" s="1">
        <v>1</v>
      </c>
      <c r="R5164" s="1">
        <v>1</v>
      </c>
    </row>
    <row r="5165" spans="1:70" x14ac:dyDescent="0.3">
      <c r="A5165" s="1" t="s">
        <v>69</v>
      </c>
      <c r="B5165" s="7">
        <v>40766</v>
      </c>
      <c r="C5165" s="1">
        <v>6.5</v>
      </c>
      <c r="D5165" s="1">
        <v>220</v>
      </c>
      <c r="E5165" s="1">
        <v>3</v>
      </c>
      <c r="F5165" s="1">
        <v>37</v>
      </c>
      <c r="L5165" s="1">
        <v>1</v>
      </c>
      <c r="BE5165" s="1">
        <v>1</v>
      </c>
    </row>
    <row r="5166" spans="1:70" x14ac:dyDescent="0.3">
      <c r="A5166" s="1" t="s">
        <v>69</v>
      </c>
      <c r="B5166" s="7">
        <v>40766</v>
      </c>
      <c r="C5166" s="1">
        <v>6.5</v>
      </c>
      <c r="D5166" s="1">
        <v>220</v>
      </c>
      <c r="E5166" s="1">
        <v>3</v>
      </c>
      <c r="F5166" s="1">
        <v>38</v>
      </c>
      <c r="R5166" s="1">
        <v>1</v>
      </c>
      <c r="AS5166" s="1">
        <v>1</v>
      </c>
    </row>
    <row r="5167" spans="1:70" x14ac:dyDescent="0.3">
      <c r="A5167" s="1" t="s">
        <v>69</v>
      </c>
      <c r="B5167" s="7">
        <v>40766</v>
      </c>
      <c r="C5167" s="1">
        <v>6.5</v>
      </c>
      <c r="D5167" s="1">
        <v>220</v>
      </c>
      <c r="E5167" s="1">
        <v>3</v>
      </c>
      <c r="F5167" s="1">
        <v>39</v>
      </c>
      <c r="L5167" s="8">
        <v>1</v>
      </c>
      <c r="M5167" s="8"/>
      <c r="R5167" s="3">
        <v>0</v>
      </c>
      <c r="S5167" s="3">
        <v>1</v>
      </c>
    </row>
    <row r="5168" spans="1:70" x14ac:dyDescent="0.3">
      <c r="A5168" s="1" t="s">
        <v>69</v>
      </c>
      <c r="B5168" s="7">
        <v>40766</v>
      </c>
      <c r="C5168" s="1">
        <v>6.5</v>
      </c>
      <c r="D5168" s="1">
        <v>220</v>
      </c>
      <c r="E5168" s="1">
        <v>3</v>
      </c>
      <c r="F5168" s="1">
        <v>40</v>
      </c>
      <c r="H5168" s="1">
        <v>1</v>
      </c>
    </row>
    <row r="5169" spans="1:70" x14ac:dyDescent="0.3">
      <c r="A5169" s="1" t="s">
        <v>69</v>
      </c>
      <c r="B5169" s="7">
        <v>40766</v>
      </c>
      <c r="C5169" s="1">
        <v>6.5</v>
      </c>
      <c r="D5169" s="1">
        <v>220</v>
      </c>
      <c r="E5169" s="1">
        <v>3</v>
      </c>
      <c r="F5169" s="1">
        <v>41</v>
      </c>
      <c r="L5169" s="1">
        <v>1</v>
      </c>
      <c r="BB5169" s="1">
        <v>1</v>
      </c>
    </row>
    <row r="5170" spans="1:70" x14ac:dyDescent="0.3">
      <c r="A5170" s="1" t="s">
        <v>69</v>
      </c>
      <c r="B5170" s="7">
        <v>40766</v>
      </c>
      <c r="C5170" s="1">
        <v>6.5</v>
      </c>
      <c r="D5170" s="1">
        <v>220</v>
      </c>
      <c r="E5170" s="1">
        <v>3</v>
      </c>
      <c r="F5170" s="1">
        <v>42</v>
      </c>
      <c r="R5170" s="1">
        <v>1</v>
      </c>
      <c r="AI5170" s="3">
        <v>0</v>
      </c>
      <c r="AJ5170" s="3">
        <v>1</v>
      </c>
    </row>
    <row r="5171" spans="1:70" x14ac:dyDescent="0.3">
      <c r="A5171" s="1" t="s">
        <v>69</v>
      </c>
      <c r="B5171" s="7">
        <v>40766</v>
      </c>
      <c r="C5171" s="1">
        <v>6.5</v>
      </c>
      <c r="D5171" s="1">
        <v>220</v>
      </c>
      <c r="E5171" s="1">
        <v>3</v>
      </c>
      <c r="F5171" s="1">
        <v>43</v>
      </c>
      <c r="R5171" s="1">
        <v>1</v>
      </c>
      <c r="AI5171" s="3">
        <v>0</v>
      </c>
      <c r="AJ5171" s="3">
        <v>1</v>
      </c>
    </row>
    <row r="5172" spans="1:70" x14ac:dyDescent="0.3">
      <c r="A5172" s="1" t="s">
        <v>69</v>
      </c>
      <c r="B5172" s="7">
        <v>40766</v>
      </c>
      <c r="C5172" s="1">
        <v>6.5</v>
      </c>
      <c r="D5172" s="1">
        <v>220</v>
      </c>
      <c r="E5172" s="1">
        <v>3</v>
      </c>
      <c r="F5172" s="1">
        <v>44</v>
      </c>
      <c r="L5172" s="1">
        <v>1</v>
      </c>
      <c r="R5172" s="1">
        <v>1</v>
      </c>
    </row>
    <row r="5173" spans="1:70" x14ac:dyDescent="0.3">
      <c r="A5173" s="1" t="s">
        <v>69</v>
      </c>
      <c r="B5173" s="7">
        <v>40766</v>
      </c>
      <c r="C5173" s="1">
        <v>6.5</v>
      </c>
      <c r="D5173" s="1">
        <v>220</v>
      </c>
      <c r="E5173" s="1">
        <v>3</v>
      </c>
      <c r="F5173" s="1">
        <v>45</v>
      </c>
      <c r="L5173" s="1">
        <v>1</v>
      </c>
      <c r="R5173" s="3">
        <v>0</v>
      </c>
      <c r="S5173" s="3">
        <v>1</v>
      </c>
    </row>
    <row r="5174" spans="1:70" x14ac:dyDescent="0.3">
      <c r="A5174" s="1" t="s">
        <v>69</v>
      </c>
      <c r="B5174" s="7">
        <v>40766</v>
      </c>
      <c r="C5174" s="1">
        <v>6.5</v>
      </c>
      <c r="D5174" s="1">
        <v>220</v>
      </c>
      <c r="E5174" s="1">
        <v>3</v>
      </c>
      <c r="F5174" s="1">
        <v>46</v>
      </c>
      <c r="L5174" s="1">
        <v>1</v>
      </c>
      <c r="BR5174" s="1">
        <v>1</v>
      </c>
    </row>
    <row r="5175" spans="1:70" x14ac:dyDescent="0.3">
      <c r="A5175" s="1" t="s">
        <v>69</v>
      </c>
      <c r="B5175" s="7">
        <v>40766</v>
      </c>
      <c r="C5175" s="1">
        <v>6.5</v>
      </c>
      <c r="D5175" s="1">
        <v>220</v>
      </c>
      <c r="E5175" s="1">
        <v>3</v>
      </c>
      <c r="F5175" s="1">
        <v>47</v>
      </c>
      <c r="L5175" s="1">
        <v>1</v>
      </c>
    </row>
    <row r="5176" spans="1:70" x14ac:dyDescent="0.3">
      <c r="A5176" s="1" t="s">
        <v>69</v>
      </c>
      <c r="B5176" s="7">
        <v>40766</v>
      </c>
      <c r="C5176" s="1">
        <v>6.5</v>
      </c>
      <c r="D5176" s="1">
        <v>220</v>
      </c>
      <c r="E5176" s="1">
        <v>3</v>
      </c>
      <c r="F5176" s="1">
        <v>48</v>
      </c>
      <c r="L5176" s="1">
        <v>1</v>
      </c>
      <c r="R5176" s="3">
        <v>0</v>
      </c>
      <c r="S5176" s="3">
        <v>1</v>
      </c>
      <c r="BR5176" s="1">
        <v>1</v>
      </c>
    </row>
    <row r="5177" spans="1:70" x14ac:dyDescent="0.3">
      <c r="A5177" s="1" t="s">
        <v>69</v>
      </c>
      <c r="B5177" s="7">
        <v>40766</v>
      </c>
      <c r="C5177" s="1">
        <v>6.5</v>
      </c>
      <c r="D5177" s="1">
        <v>220</v>
      </c>
      <c r="E5177" s="1">
        <v>3</v>
      </c>
      <c r="F5177" s="1">
        <v>49</v>
      </c>
      <c r="L5177" s="1">
        <v>1</v>
      </c>
      <c r="R5177" s="3">
        <v>0</v>
      </c>
      <c r="S5177" s="3">
        <v>1</v>
      </c>
    </row>
    <row r="5178" spans="1:70" x14ac:dyDescent="0.3">
      <c r="A5178" s="1" t="s">
        <v>69</v>
      </c>
      <c r="B5178" s="7">
        <v>40766</v>
      </c>
      <c r="C5178" s="1">
        <v>6.5</v>
      </c>
      <c r="D5178" s="1">
        <v>220</v>
      </c>
      <c r="E5178" s="1">
        <v>3</v>
      </c>
      <c r="F5178" s="1">
        <v>50</v>
      </c>
      <c r="H5178" s="1">
        <v>1</v>
      </c>
      <c r="R5178" s="3">
        <v>0</v>
      </c>
      <c r="S5178" s="3">
        <v>1</v>
      </c>
    </row>
    <row r="5179" spans="1:70" x14ac:dyDescent="0.3">
      <c r="A5179" s="1" t="s">
        <v>69</v>
      </c>
      <c r="B5179" s="7">
        <v>40766</v>
      </c>
      <c r="C5179" s="1">
        <v>6.5</v>
      </c>
      <c r="D5179" s="1">
        <v>220</v>
      </c>
      <c r="E5179" s="1">
        <v>3</v>
      </c>
      <c r="F5179" s="1">
        <v>51</v>
      </c>
      <c r="H5179" s="1">
        <v>1</v>
      </c>
      <c r="R5179" s="3">
        <v>0</v>
      </c>
      <c r="S5179" s="3">
        <v>1</v>
      </c>
    </row>
    <row r="5180" spans="1:70" x14ac:dyDescent="0.3">
      <c r="A5180" s="1" t="s">
        <v>69</v>
      </c>
      <c r="B5180" s="7">
        <v>40766</v>
      </c>
      <c r="C5180" s="1">
        <v>6.5</v>
      </c>
      <c r="D5180" s="1">
        <v>220</v>
      </c>
      <c r="E5180" s="1">
        <v>3</v>
      </c>
      <c r="F5180" s="1">
        <v>52</v>
      </c>
      <c r="H5180" s="1">
        <v>1</v>
      </c>
      <c r="BB5180" s="1">
        <v>1</v>
      </c>
    </row>
    <row r="5181" spans="1:70" x14ac:dyDescent="0.3">
      <c r="A5181" s="1" t="s">
        <v>69</v>
      </c>
      <c r="B5181" s="7">
        <v>40766</v>
      </c>
      <c r="C5181" s="1">
        <v>6.5</v>
      </c>
      <c r="D5181" s="1">
        <v>220</v>
      </c>
      <c r="E5181" s="1">
        <v>3</v>
      </c>
      <c r="F5181" s="1">
        <v>53</v>
      </c>
      <c r="H5181" s="1">
        <v>1</v>
      </c>
      <c r="AM5181" s="1">
        <v>1</v>
      </c>
    </row>
    <row r="5182" spans="1:70" x14ac:dyDescent="0.3">
      <c r="A5182" s="1" t="s">
        <v>69</v>
      </c>
      <c r="B5182" s="7">
        <v>40766</v>
      </c>
      <c r="C5182" s="1">
        <v>6.5</v>
      </c>
      <c r="D5182" s="1">
        <v>220</v>
      </c>
      <c r="E5182" s="1">
        <v>3</v>
      </c>
      <c r="F5182" s="1">
        <v>54</v>
      </c>
      <c r="R5182" s="3">
        <v>0</v>
      </c>
      <c r="S5182" s="3">
        <v>1</v>
      </c>
    </row>
    <row r="5183" spans="1:70" x14ac:dyDescent="0.3">
      <c r="A5183" s="1" t="s">
        <v>69</v>
      </c>
      <c r="B5183" s="7">
        <v>40766</v>
      </c>
      <c r="C5183" s="1">
        <v>6.5</v>
      </c>
      <c r="D5183" s="1">
        <v>220</v>
      </c>
      <c r="E5183" s="1">
        <v>3</v>
      </c>
      <c r="F5183" s="1">
        <v>55</v>
      </c>
      <c r="N5183" s="1">
        <v>1</v>
      </c>
      <c r="R5183" s="1">
        <v>1</v>
      </c>
    </row>
    <row r="5184" spans="1:70" x14ac:dyDescent="0.3">
      <c r="A5184" s="1" t="s">
        <v>69</v>
      </c>
      <c r="B5184" s="7">
        <v>40766</v>
      </c>
      <c r="C5184" s="1">
        <v>6.5</v>
      </c>
      <c r="D5184" s="1">
        <v>220</v>
      </c>
      <c r="E5184" s="1">
        <v>3</v>
      </c>
      <c r="F5184" s="1">
        <v>56</v>
      </c>
      <c r="N5184" s="1">
        <v>1</v>
      </c>
      <c r="R5184" s="3">
        <v>0</v>
      </c>
      <c r="S5184" s="3">
        <v>1</v>
      </c>
    </row>
    <row r="5185" spans="1:70" x14ac:dyDescent="0.3">
      <c r="A5185" s="1" t="s">
        <v>69</v>
      </c>
      <c r="B5185" s="7">
        <v>40766</v>
      </c>
      <c r="C5185" s="1">
        <v>6.5</v>
      </c>
      <c r="D5185" s="1">
        <v>220</v>
      </c>
      <c r="E5185" s="1">
        <v>3</v>
      </c>
      <c r="F5185" s="1">
        <v>57</v>
      </c>
      <c r="L5185" s="1">
        <v>1</v>
      </c>
      <c r="R5185" s="3">
        <v>0</v>
      </c>
      <c r="S5185" s="3">
        <v>1</v>
      </c>
    </row>
    <row r="5186" spans="1:70" x14ac:dyDescent="0.3">
      <c r="A5186" s="1" t="s">
        <v>69</v>
      </c>
      <c r="B5186" s="7">
        <v>40766</v>
      </c>
      <c r="C5186" s="1">
        <v>6.5</v>
      </c>
      <c r="D5186" s="1">
        <v>220</v>
      </c>
      <c r="E5186" s="1">
        <v>3</v>
      </c>
      <c r="F5186" s="1">
        <v>58</v>
      </c>
      <c r="N5186" s="1">
        <v>1</v>
      </c>
      <c r="R5186" s="3">
        <v>0</v>
      </c>
      <c r="S5186" s="3">
        <v>1</v>
      </c>
    </row>
    <row r="5187" spans="1:70" x14ac:dyDescent="0.3">
      <c r="A5187" s="1" t="s">
        <v>69</v>
      </c>
      <c r="B5187" s="7">
        <v>40766</v>
      </c>
      <c r="C5187" s="1">
        <v>6.5</v>
      </c>
      <c r="D5187" s="1">
        <v>220</v>
      </c>
      <c r="E5187" s="1">
        <v>3</v>
      </c>
      <c r="F5187" s="1">
        <v>59</v>
      </c>
      <c r="R5187" s="3">
        <v>0</v>
      </c>
      <c r="S5187" s="3">
        <v>1</v>
      </c>
      <c r="BR5187" s="1">
        <v>1</v>
      </c>
    </row>
    <row r="5188" spans="1:70" x14ac:dyDescent="0.3">
      <c r="A5188" s="1" t="s">
        <v>69</v>
      </c>
      <c r="B5188" s="7">
        <v>40766</v>
      </c>
      <c r="C5188" s="1">
        <v>6.5</v>
      </c>
      <c r="D5188" s="1">
        <v>220</v>
      </c>
      <c r="E5188" s="1">
        <v>3</v>
      </c>
      <c r="F5188" s="1">
        <v>60</v>
      </c>
      <c r="H5188" s="1">
        <v>1</v>
      </c>
      <c r="L5188" s="8">
        <v>1</v>
      </c>
      <c r="M5188" s="8"/>
    </row>
    <row r="5189" spans="1:70" x14ac:dyDescent="0.3">
      <c r="A5189" s="1" t="s">
        <v>69</v>
      </c>
      <c r="B5189" s="7">
        <v>40766</v>
      </c>
      <c r="C5189" s="1">
        <v>6.5</v>
      </c>
      <c r="D5189" s="1">
        <v>220</v>
      </c>
      <c r="E5189" s="1">
        <v>3</v>
      </c>
      <c r="F5189" s="1">
        <v>61</v>
      </c>
      <c r="H5189" s="1">
        <v>1</v>
      </c>
      <c r="R5189" s="3">
        <v>0</v>
      </c>
      <c r="S5189" s="3">
        <v>1</v>
      </c>
    </row>
    <row r="5190" spans="1:70" x14ac:dyDescent="0.3">
      <c r="A5190" s="1" t="s">
        <v>69</v>
      </c>
      <c r="B5190" s="7">
        <v>40766</v>
      </c>
      <c r="C5190" s="1">
        <v>6.5</v>
      </c>
      <c r="D5190" s="1">
        <v>220</v>
      </c>
      <c r="E5190" s="1">
        <v>3</v>
      </c>
      <c r="F5190" s="1">
        <v>62</v>
      </c>
      <c r="H5190" s="1">
        <v>1</v>
      </c>
    </row>
    <row r="5191" spans="1:70" x14ac:dyDescent="0.3">
      <c r="A5191" s="1" t="s">
        <v>69</v>
      </c>
      <c r="B5191" s="7">
        <v>40766</v>
      </c>
      <c r="C5191" s="1">
        <v>6.5</v>
      </c>
      <c r="D5191" s="1">
        <v>220</v>
      </c>
      <c r="E5191" s="1">
        <v>3</v>
      </c>
      <c r="F5191" s="1">
        <v>63</v>
      </c>
      <c r="R5191" s="3">
        <v>0</v>
      </c>
      <c r="S5191" s="3">
        <v>1</v>
      </c>
      <c r="BP5191" s="1">
        <v>1</v>
      </c>
    </row>
    <row r="5192" spans="1:70" x14ac:dyDescent="0.3">
      <c r="A5192" s="1" t="s">
        <v>69</v>
      </c>
      <c r="B5192" s="7">
        <v>40766</v>
      </c>
      <c r="C5192" s="1">
        <v>6.5</v>
      </c>
      <c r="D5192" s="1">
        <v>220</v>
      </c>
      <c r="E5192" s="1">
        <v>3</v>
      </c>
      <c r="F5192" s="1">
        <v>64</v>
      </c>
      <c r="R5192" s="1">
        <v>1</v>
      </c>
      <c r="BG5192" s="3">
        <v>0</v>
      </c>
      <c r="BH5192" s="3">
        <v>1</v>
      </c>
      <c r="BR5192" s="1">
        <v>1</v>
      </c>
    </row>
    <row r="5193" spans="1:70" x14ac:dyDescent="0.3">
      <c r="A5193" s="1" t="s">
        <v>69</v>
      </c>
      <c r="B5193" s="7">
        <v>40766</v>
      </c>
      <c r="C5193" s="1">
        <v>6.5</v>
      </c>
      <c r="D5193" s="1">
        <v>220</v>
      </c>
      <c r="E5193" s="1">
        <v>3</v>
      </c>
      <c r="F5193" s="1">
        <v>65</v>
      </c>
      <c r="R5193" s="1">
        <v>1</v>
      </c>
    </row>
    <row r="5194" spans="1:70" x14ac:dyDescent="0.3">
      <c r="A5194" s="1" t="s">
        <v>69</v>
      </c>
      <c r="B5194" s="7">
        <v>40766</v>
      </c>
      <c r="C5194" s="1">
        <v>6.5</v>
      </c>
      <c r="D5194" s="1">
        <v>220</v>
      </c>
      <c r="E5194" s="1">
        <v>3</v>
      </c>
      <c r="F5194" s="1">
        <v>66</v>
      </c>
      <c r="H5194" s="1">
        <v>1</v>
      </c>
      <c r="AM5194" s="1">
        <v>1</v>
      </c>
    </row>
    <row r="5195" spans="1:70" x14ac:dyDescent="0.3">
      <c r="A5195" s="1" t="s">
        <v>69</v>
      </c>
      <c r="B5195" s="7">
        <v>40766</v>
      </c>
      <c r="C5195" s="1">
        <v>6.5</v>
      </c>
      <c r="D5195" s="1">
        <v>220</v>
      </c>
      <c r="E5195" s="1">
        <v>3</v>
      </c>
      <c r="F5195" s="1">
        <v>67</v>
      </c>
      <c r="L5195" s="1">
        <v>1</v>
      </c>
      <c r="N5195" s="1">
        <v>1</v>
      </c>
    </row>
    <row r="5196" spans="1:70" x14ac:dyDescent="0.3">
      <c r="A5196" s="1" t="s">
        <v>69</v>
      </c>
      <c r="B5196" s="7">
        <v>40766</v>
      </c>
      <c r="C5196" s="1">
        <v>6.5</v>
      </c>
      <c r="D5196" s="1">
        <v>220</v>
      </c>
      <c r="E5196" s="1">
        <v>3</v>
      </c>
      <c r="F5196" s="1">
        <v>68</v>
      </c>
      <c r="H5196" s="1">
        <v>1</v>
      </c>
      <c r="R5196" s="1">
        <v>1</v>
      </c>
    </row>
    <row r="5197" spans="1:70" x14ac:dyDescent="0.3">
      <c r="A5197" s="1" t="s">
        <v>69</v>
      </c>
      <c r="B5197" s="7">
        <v>40766</v>
      </c>
      <c r="C5197" s="1">
        <v>6.5</v>
      </c>
      <c r="D5197" s="1">
        <v>220</v>
      </c>
      <c r="E5197" s="1">
        <v>3</v>
      </c>
      <c r="F5197" s="1">
        <v>69</v>
      </c>
      <c r="H5197" s="1">
        <v>1</v>
      </c>
      <c r="R5197" s="3">
        <v>0</v>
      </c>
      <c r="S5197" s="3">
        <v>1</v>
      </c>
    </row>
    <row r="5198" spans="1:70" x14ac:dyDescent="0.3">
      <c r="A5198" s="1" t="s">
        <v>69</v>
      </c>
      <c r="B5198" s="7">
        <v>40766</v>
      </c>
      <c r="C5198" s="1">
        <v>6.5</v>
      </c>
      <c r="D5198" s="1">
        <v>220</v>
      </c>
      <c r="E5198" s="1">
        <v>3</v>
      </c>
      <c r="F5198" s="1">
        <v>70</v>
      </c>
      <c r="L5198" s="1">
        <v>1</v>
      </c>
      <c r="R5198" s="1">
        <v>1</v>
      </c>
      <c r="BR5198" s="1">
        <v>1</v>
      </c>
    </row>
    <row r="5199" spans="1:70" x14ac:dyDescent="0.3">
      <c r="A5199" s="1" t="s">
        <v>69</v>
      </c>
      <c r="B5199" s="7">
        <v>40766</v>
      </c>
      <c r="C5199" s="1">
        <v>6.5</v>
      </c>
      <c r="D5199" s="1">
        <v>220</v>
      </c>
      <c r="E5199" s="1">
        <v>3</v>
      </c>
      <c r="F5199" s="1">
        <v>71</v>
      </c>
      <c r="H5199" s="1">
        <v>1</v>
      </c>
      <c r="AF5199" s="1">
        <v>1</v>
      </c>
    </row>
    <row r="5200" spans="1:70" x14ac:dyDescent="0.3">
      <c r="A5200" s="1" t="s">
        <v>69</v>
      </c>
      <c r="B5200" s="7">
        <v>40766</v>
      </c>
      <c r="C5200" s="1">
        <v>6.5</v>
      </c>
      <c r="D5200" s="1">
        <v>220</v>
      </c>
      <c r="E5200" s="1">
        <v>3</v>
      </c>
      <c r="F5200" s="1">
        <v>72</v>
      </c>
      <c r="R5200" s="3">
        <v>0</v>
      </c>
      <c r="S5200" s="3">
        <v>1</v>
      </c>
    </row>
    <row r="5201" spans="1:68" x14ac:dyDescent="0.3">
      <c r="A5201" s="1" t="s">
        <v>69</v>
      </c>
      <c r="B5201" s="7">
        <v>40766</v>
      </c>
      <c r="C5201" s="1">
        <v>6.5</v>
      </c>
      <c r="D5201" s="1">
        <v>220</v>
      </c>
      <c r="E5201" s="1">
        <v>3</v>
      </c>
      <c r="F5201" s="1">
        <v>73</v>
      </c>
      <c r="L5201" s="1">
        <v>1</v>
      </c>
      <c r="AI5201" s="3">
        <v>0</v>
      </c>
      <c r="AJ5201" s="3">
        <v>1</v>
      </c>
    </row>
    <row r="5202" spans="1:68" x14ac:dyDescent="0.3">
      <c r="A5202" s="1" t="s">
        <v>69</v>
      </c>
      <c r="B5202" s="7">
        <v>40766</v>
      </c>
      <c r="C5202" s="1">
        <v>6.5</v>
      </c>
      <c r="D5202" s="1">
        <v>220</v>
      </c>
      <c r="E5202" s="1">
        <v>3</v>
      </c>
      <c r="F5202" s="1">
        <v>74</v>
      </c>
      <c r="R5202" s="3">
        <v>0</v>
      </c>
      <c r="S5202" s="3">
        <v>1</v>
      </c>
    </row>
    <row r="5203" spans="1:68" x14ac:dyDescent="0.3">
      <c r="A5203" s="1" t="s">
        <v>69</v>
      </c>
      <c r="B5203" s="7">
        <v>40766</v>
      </c>
      <c r="C5203" s="1">
        <v>6.5</v>
      </c>
      <c r="D5203" s="1">
        <v>220</v>
      </c>
      <c r="E5203" s="1">
        <v>3</v>
      </c>
      <c r="F5203" s="1">
        <v>75</v>
      </c>
      <c r="R5203" s="1">
        <v>1</v>
      </c>
      <c r="BP5203" s="1">
        <v>1</v>
      </c>
    </row>
    <row r="5204" spans="1:68" x14ac:dyDescent="0.3">
      <c r="A5204" s="1" t="s">
        <v>69</v>
      </c>
      <c r="B5204" s="7">
        <v>40766</v>
      </c>
      <c r="C5204" s="1">
        <v>6.5</v>
      </c>
      <c r="D5204" s="1">
        <v>220</v>
      </c>
      <c r="E5204" s="1">
        <v>3</v>
      </c>
      <c r="F5204" s="1">
        <v>76</v>
      </c>
      <c r="H5204" s="1">
        <v>1</v>
      </c>
      <c r="R5204" s="1">
        <v>1</v>
      </c>
    </row>
    <row r="5205" spans="1:68" x14ac:dyDescent="0.3">
      <c r="A5205" s="1" t="s">
        <v>69</v>
      </c>
      <c r="B5205" s="7">
        <v>40766</v>
      </c>
      <c r="C5205" s="1">
        <v>6.5</v>
      </c>
      <c r="D5205" s="1">
        <v>220</v>
      </c>
      <c r="E5205" s="1">
        <v>3</v>
      </c>
      <c r="F5205" s="1">
        <v>77</v>
      </c>
      <c r="R5205" s="3">
        <v>0</v>
      </c>
      <c r="S5205" s="3">
        <v>1</v>
      </c>
    </row>
    <row r="5206" spans="1:68" x14ac:dyDescent="0.3">
      <c r="A5206" s="1" t="s">
        <v>69</v>
      </c>
      <c r="B5206" s="7">
        <v>40766</v>
      </c>
      <c r="C5206" s="1">
        <v>6.5</v>
      </c>
      <c r="D5206" s="1">
        <v>220</v>
      </c>
      <c r="E5206" s="1">
        <v>3</v>
      </c>
      <c r="F5206" s="1">
        <v>78</v>
      </c>
      <c r="L5206" s="1">
        <v>1</v>
      </c>
      <c r="R5206" s="3">
        <v>0</v>
      </c>
      <c r="S5206" s="3">
        <v>1</v>
      </c>
    </row>
    <row r="5207" spans="1:68" x14ac:dyDescent="0.3">
      <c r="A5207" s="1" t="s">
        <v>69</v>
      </c>
      <c r="B5207" s="7">
        <v>40766</v>
      </c>
      <c r="C5207" s="1">
        <v>6.5</v>
      </c>
      <c r="D5207" s="1">
        <v>220</v>
      </c>
      <c r="E5207" s="1">
        <v>3</v>
      </c>
      <c r="F5207" s="1">
        <v>79</v>
      </c>
      <c r="H5207" s="1">
        <v>1</v>
      </c>
      <c r="L5207" s="1">
        <v>1</v>
      </c>
      <c r="BP5207" s="1">
        <v>1</v>
      </c>
    </row>
    <row r="5208" spans="1:68" x14ac:dyDescent="0.3">
      <c r="A5208" s="1" t="s">
        <v>69</v>
      </c>
      <c r="B5208" s="7">
        <v>40766</v>
      </c>
      <c r="C5208" s="1">
        <v>6.5</v>
      </c>
      <c r="D5208" s="1">
        <v>220</v>
      </c>
      <c r="E5208" s="1">
        <v>3</v>
      </c>
      <c r="F5208" s="1">
        <v>80</v>
      </c>
      <c r="H5208" s="1">
        <v>1</v>
      </c>
      <c r="R5208" s="3">
        <v>0</v>
      </c>
      <c r="S5208" s="3">
        <v>1</v>
      </c>
    </row>
    <row r="5209" spans="1:68" x14ac:dyDescent="0.3">
      <c r="A5209" s="1" t="s">
        <v>69</v>
      </c>
      <c r="B5209" s="7">
        <v>40766</v>
      </c>
      <c r="C5209" s="1">
        <v>6.5</v>
      </c>
      <c r="D5209" s="1">
        <v>220</v>
      </c>
      <c r="E5209" s="1">
        <v>3</v>
      </c>
      <c r="F5209" s="1">
        <v>81</v>
      </c>
      <c r="H5209" s="1">
        <v>1</v>
      </c>
      <c r="R5209" s="3">
        <v>0</v>
      </c>
      <c r="S5209" s="3">
        <v>1</v>
      </c>
    </row>
    <row r="5210" spans="1:68" x14ac:dyDescent="0.3">
      <c r="A5210" s="1" t="s">
        <v>69</v>
      </c>
      <c r="B5210" s="7">
        <v>40766</v>
      </c>
      <c r="C5210" s="1">
        <v>6.5</v>
      </c>
      <c r="D5210" s="1">
        <v>220</v>
      </c>
      <c r="E5210" s="1">
        <v>3</v>
      </c>
      <c r="F5210" s="1">
        <v>82</v>
      </c>
      <c r="H5210" s="1">
        <v>1</v>
      </c>
      <c r="R5210" s="3">
        <v>0</v>
      </c>
      <c r="S5210" s="3">
        <v>1</v>
      </c>
    </row>
    <row r="5211" spans="1:68" x14ac:dyDescent="0.3">
      <c r="A5211" s="1" t="s">
        <v>69</v>
      </c>
      <c r="B5211" s="7">
        <v>40766</v>
      </c>
      <c r="C5211" s="1">
        <v>6.5</v>
      </c>
      <c r="D5211" s="1">
        <v>220</v>
      </c>
      <c r="E5211" s="1">
        <v>3</v>
      </c>
      <c r="F5211" s="1">
        <v>83</v>
      </c>
      <c r="R5211" s="3">
        <v>0</v>
      </c>
      <c r="S5211" s="3">
        <v>1</v>
      </c>
    </row>
    <row r="5212" spans="1:68" x14ac:dyDescent="0.3">
      <c r="A5212" s="1" t="s">
        <v>69</v>
      </c>
      <c r="B5212" s="7">
        <v>40766</v>
      </c>
      <c r="C5212" s="1">
        <v>6.5</v>
      </c>
      <c r="D5212" s="1">
        <v>220</v>
      </c>
      <c r="E5212" s="1">
        <v>3</v>
      </c>
      <c r="F5212" s="1">
        <v>84</v>
      </c>
      <c r="H5212" s="1">
        <v>1</v>
      </c>
      <c r="R5212" s="1">
        <v>1</v>
      </c>
    </row>
    <row r="5213" spans="1:68" x14ac:dyDescent="0.3">
      <c r="A5213" s="1" t="s">
        <v>69</v>
      </c>
      <c r="B5213" s="7">
        <v>40766</v>
      </c>
      <c r="C5213" s="1">
        <v>6.5</v>
      </c>
      <c r="D5213" s="1">
        <v>220</v>
      </c>
      <c r="E5213" s="1">
        <v>3</v>
      </c>
      <c r="F5213" s="1">
        <v>85</v>
      </c>
      <c r="R5213" s="1">
        <v>1</v>
      </c>
    </row>
    <row r="5214" spans="1:68" x14ac:dyDescent="0.3">
      <c r="A5214" s="1" t="s">
        <v>69</v>
      </c>
      <c r="B5214" s="7">
        <v>40766</v>
      </c>
      <c r="C5214" s="1">
        <v>6.5</v>
      </c>
      <c r="D5214" s="1">
        <v>220</v>
      </c>
      <c r="E5214" s="1">
        <v>3</v>
      </c>
      <c r="F5214" s="1">
        <v>86</v>
      </c>
      <c r="R5214" s="1">
        <v>1</v>
      </c>
    </row>
    <row r="5215" spans="1:68" x14ac:dyDescent="0.3">
      <c r="A5215" s="1" t="s">
        <v>69</v>
      </c>
      <c r="B5215" s="7">
        <v>40766</v>
      </c>
      <c r="C5215" s="1">
        <v>6.5</v>
      </c>
      <c r="D5215" s="1">
        <v>220</v>
      </c>
      <c r="E5215" s="1">
        <v>3</v>
      </c>
      <c r="F5215" s="1">
        <v>87</v>
      </c>
      <c r="R5215" s="1">
        <v>1</v>
      </c>
    </row>
    <row r="5216" spans="1:68" x14ac:dyDescent="0.3">
      <c r="A5216" s="1" t="s">
        <v>69</v>
      </c>
      <c r="B5216" s="7">
        <v>40766</v>
      </c>
      <c r="C5216" s="1">
        <v>6.5</v>
      </c>
      <c r="D5216" s="1">
        <v>220</v>
      </c>
      <c r="E5216" s="1">
        <v>3</v>
      </c>
      <c r="F5216" s="1">
        <v>88</v>
      </c>
      <c r="L5216" s="1">
        <v>1</v>
      </c>
      <c r="N5216" s="1">
        <v>1</v>
      </c>
      <c r="R5216" s="1">
        <v>1</v>
      </c>
    </row>
    <row r="5217" spans="1:82" x14ac:dyDescent="0.3">
      <c r="A5217" s="1" t="s">
        <v>69</v>
      </c>
      <c r="B5217" s="7">
        <v>40766</v>
      </c>
      <c r="C5217" s="1">
        <v>6.5</v>
      </c>
      <c r="D5217" s="1">
        <v>220</v>
      </c>
      <c r="E5217" s="1">
        <v>3</v>
      </c>
      <c r="F5217" s="1">
        <v>89</v>
      </c>
      <c r="R5217" s="1">
        <v>1</v>
      </c>
    </row>
    <row r="5218" spans="1:82" x14ac:dyDescent="0.3">
      <c r="A5218" s="1" t="s">
        <v>69</v>
      </c>
      <c r="B5218" s="7">
        <v>40766</v>
      </c>
      <c r="C5218" s="1">
        <v>6.5</v>
      </c>
      <c r="D5218" s="1">
        <v>220</v>
      </c>
      <c r="E5218" s="1">
        <v>3</v>
      </c>
      <c r="F5218" s="1">
        <v>90</v>
      </c>
      <c r="L5218" s="1">
        <v>1</v>
      </c>
      <c r="N5218" s="1">
        <v>1</v>
      </c>
      <c r="R5218" s="3">
        <v>0</v>
      </c>
      <c r="S5218" s="3">
        <v>1</v>
      </c>
    </row>
    <row r="5219" spans="1:82" x14ac:dyDescent="0.3">
      <c r="A5219" s="1" t="s">
        <v>69</v>
      </c>
      <c r="B5219" s="7">
        <v>40766</v>
      </c>
      <c r="C5219" s="1">
        <v>6.5</v>
      </c>
      <c r="D5219" s="1">
        <v>220</v>
      </c>
      <c r="E5219" s="1">
        <v>3</v>
      </c>
      <c r="F5219" s="1">
        <v>91</v>
      </c>
      <c r="N5219" s="1">
        <v>1</v>
      </c>
      <c r="R5219" s="3">
        <v>0</v>
      </c>
      <c r="S5219" s="3">
        <v>1</v>
      </c>
    </row>
    <row r="5220" spans="1:82" x14ac:dyDescent="0.3">
      <c r="A5220" s="1" t="s">
        <v>69</v>
      </c>
      <c r="B5220" s="7">
        <v>40766</v>
      </c>
      <c r="C5220" s="1">
        <v>6.5</v>
      </c>
      <c r="D5220" s="1">
        <v>220</v>
      </c>
      <c r="E5220" s="1">
        <v>3</v>
      </c>
      <c r="F5220" s="1">
        <v>92</v>
      </c>
      <c r="AK5220" s="1">
        <v>1</v>
      </c>
      <c r="AM5220" s="1">
        <v>1</v>
      </c>
    </row>
    <row r="5221" spans="1:82" x14ac:dyDescent="0.3">
      <c r="A5221" s="1" t="s">
        <v>69</v>
      </c>
      <c r="B5221" s="7">
        <v>40766</v>
      </c>
      <c r="C5221" s="1">
        <v>6.5</v>
      </c>
      <c r="D5221" s="1">
        <v>220</v>
      </c>
      <c r="E5221" s="1">
        <v>3</v>
      </c>
      <c r="F5221" s="1">
        <v>93</v>
      </c>
      <c r="AK5221" s="1">
        <v>1</v>
      </c>
      <c r="BP5221" s="1">
        <v>1</v>
      </c>
    </row>
    <row r="5222" spans="1:82" x14ac:dyDescent="0.3">
      <c r="A5222" s="1" t="s">
        <v>69</v>
      </c>
      <c r="B5222" s="7">
        <v>40766</v>
      </c>
      <c r="C5222" s="1">
        <v>6.5</v>
      </c>
      <c r="D5222" s="1">
        <v>220</v>
      </c>
      <c r="E5222" s="1">
        <v>3</v>
      </c>
      <c r="F5222" s="1">
        <v>94</v>
      </c>
      <c r="H5222" s="1">
        <v>1</v>
      </c>
      <c r="R5222" s="3">
        <v>0</v>
      </c>
      <c r="S5222" s="3">
        <v>1</v>
      </c>
    </row>
    <row r="5223" spans="1:82" x14ac:dyDescent="0.3">
      <c r="A5223" s="1" t="s">
        <v>69</v>
      </c>
      <c r="B5223" s="7">
        <v>40766</v>
      </c>
      <c r="C5223" s="1">
        <v>6.5</v>
      </c>
      <c r="D5223" s="1">
        <v>220</v>
      </c>
      <c r="E5223" s="1">
        <v>3</v>
      </c>
      <c r="F5223" s="1">
        <v>95</v>
      </c>
      <c r="H5223" s="1">
        <v>1</v>
      </c>
      <c r="R5223" s="1">
        <v>1</v>
      </c>
    </row>
    <row r="5224" spans="1:82" x14ac:dyDescent="0.3">
      <c r="A5224" s="1" t="s">
        <v>69</v>
      </c>
      <c r="B5224" s="7">
        <v>40766</v>
      </c>
      <c r="C5224" s="1">
        <v>6.5</v>
      </c>
      <c r="D5224" s="1">
        <v>220</v>
      </c>
      <c r="E5224" s="1">
        <v>3</v>
      </c>
      <c r="F5224" s="1">
        <v>96</v>
      </c>
      <c r="H5224" s="1">
        <v>1</v>
      </c>
      <c r="BP5224" s="1">
        <v>1</v>
      </c>
    </row>
    <row r="5225" spans="1:82" x14ac:dyDescent="0.3">
      <c r="A5225" s="1" t="s">
        <v>69</v>
      </c>
      <c r="B5225" s="7">
        <v>40766</v>
      </c>
      <c r="C5225" s="1">
        <v>6.5</v>
      </c>
      <c r="D5225" s="1">
        <v>220</v>
      </c>
      <c r="E5225" s="1">
        <v>3</v>
      </c>
      <c r="F5225" s="1">
        <v>97</v>
      </c>
      <c r="H5225" s="1">
        <v>1</v>
      </c>
      <c r="R5225" s="3">
        <v>0</v>
      </c>
      <c r="S5225" s="3">
        <v>1</v>
      </c>
    </row>
    <row r="5226" spans="1:82" x14ac:dyDescent="0.3">
      <c r="A5226" s="1" t="s">
        <v>69</v>
      </c>
      <c r="B5226" s="7">
        <v>40766</v>
      </c>
      <c r="C5226" s="1">
        <v>6.5</v>
      </c>
      <c r="D5226" s="1">
        <v>220</v>
      </c>
      <c r="E5226" s="1">
        <v>3</v>
      </c>
      <c r="F5226" s="1">
        <v>98</v>
      </c>
      <c r="L5226" s="1">
        <v>1</v>
      </c>
      <c r="N5226" s="1">
        <v>1</v>
      </c>
      <c r="R5226" s="1">
        <v>1</v>
      </c>
    </row>
    <row r="5227" spans="1:82" x14ac:dyDescent="0.3">
      <c r="A5227" s="1" t="s">
        <v>69</v>
      </c>
      <c r="B5227" s="7">
        <v>40766</v>
      </c>
      <c r="C5227" s="1">
        <v>6.5</v>
      </c>
      <c r="D5227" s="1">
        <v>220</v>
      </c>
      <c r="E5227" s="1">
        <v>3</v>
      </c>
      <c r="F5227" s="1">
        <v>99</v>
      </c>
      <c r="L5227" s="1">
        <v>1</v>
      </c>
      <c r="R5227" s="1">
        <v>1</v>
      </c>
      <c r="BP5227" s="1">
        <v>1</v>
      </c>
    </row>
    <row r="5228" spans="1:82" x14ac:dyDescent="0.3">
      <c r="A5228" s="1" t="s">
        <v>69</v>
      </c>
      <c r="B5228" s="7">
        <v>40766</v>
      </c>
      <c r="C5228" s="1">
        <v>6.5</v>
      </c>
      <c r="D5228" s="1">
        <v>220</v>
      </c>
      <c r="E5228" s="1">
        <v>3</v>
      </c>
      <c r="F5228" s="1">
        <v>100</v>
      </c>
      <c r="R5228" s="1">
        <v>1</v>
      </c>
      <c r="CD5228" s="1">
        <v>1</v>
      </c>
    </row>
    <row r="5229" spans="1:82" x14ac:dyDescent="0.3">
      <c r="A5229" s="1" t="s">
        <v>69</v>
      </c>
      <c r="B5229" s="7">
        <v>40766</v>
      </c>
      <c r="C5229" s="1">
        <v>11</v>
      </c>
      <c r="D5229" s="1">
        <v>34</v>
      </c>
      <c r="E5229" s="1">
        <v>2</v>
      </c>
      <c r="F5229" s="1">
        <v>1</v>
      </c>
      <c r="L5229" s="1">
        <v>1</v>
      </c>
      <c r="R5229" s="1">
        <v>1</v>
      </c>
    </row>
    <row r="5230" spans="1:82" x14ac:dyDescent="0.3">
      <c r="A5230" s="1" t="s">
        <v>69</v>
      </c>
      <c r="B5230" s="7">
        <v>40766</v>
      </c>
      <c r="C5230" s="1">
        <v>11</v>
      </c>
      <c r="D5230" s="1">
        <v>34</v>
      </c>
      <c r="E5230" s="1">
        <v>2</v>
      </c>
      <c r="F5230" s="1">
        <v>2</v>
      </c>
      <c r="L5230" s="1">
        <v>1</v>
      </c>
    </row>
    <row r="5231" spans="1:82" x14ac:dyDescent="0.3">
      <c r="A5231" s="1" t="s">
        <v>69</v>
      </c>
      <c r="B5231" s="7">
        <v>40766</v>
      </c>
      <c r="C5231" s="1">
        <v>11</v>
      </c>
      <c r="D5231" s="1">
        <v>34</v>
      </c>
      <c r="E5231" s="1">
        <v>2</v>
      </c>
      <c r="F5231" s="1">
        <v>3</v>
      </c>
      <c r="R5231" s="3">
        <v>0</v>
      </c>
      <c r="S5231" s="3">
        <v>1</v>
      </c>
      <c r="AM5231" s="1">
        <v>1</v>
      </c>
    </row>
    <row r="5232" spans="1:82" x14ac:dyDescent="0.3">
      <c r="A5232" s="1" t="s">
        <v>69</v>
      </c>
      <c r="B5232" s="7">
        <v>40766</v>
      </c>
      <c r="C5232" s="1">
        <v>11</v>
      </c>
      <c r="D5232" s="1">
        <v>34</v>
      </c>
      <c r="E5232" s="1">
        <v>2</v>
      </c>
      <c r="F5232" s="1">
        <v>4</v>
      </c>
      <c r="H5232" s="1">
        <v>1</v>
      </c>
    </row>
    <row r="5233" spans="1:79" x14ac:dyDescent="0.3">
      <c r="A5233" s="1" t="s">
        <v>69</v>
      </c>
      <c r="B5233" s="7">
        <v>40766</v>
      </c>
      <c r="C5233" s="1">
        <v>11</v>
      </c>
      <c r="D5233" s="1">
        <v>34</v>
      </c>
      <c r="E5233" s="1">
        <v>2</v>
      </c>
      <c r="F5233" s="1">
        <v>5</v>
      </c>
      <c r="R5233" s="1">
        <v>1</v>
      </c>
      <c r="AM5233" s="1">
        <v>1</v>
      </c>
    </row>
    <row r="5234" spans="1:79" x14ac:dyDescent="0.3">
      <c r="A5234" s="1" t="s">
        <v>69</v>
      </c>
      <c r="B5234" s="7">
        <v>40766</v>
      </c>
      <c r="C5234" s="1">
        <v>11</v>
      </c>
      <c r="D5234" s="1">
        <v>34</v>
      </c>
      <c r="E5234" s="1">
        <v>2</v>
      </c>
      <c r="F5234" s="1">
        <v>6</v>
      </c>
      <c r="H5234" s="1">
        <v>1</v>
      </c>
      <c r="R5234" s="1">
        <v>1</v>
      </c>
    </row>
    <row r="5235" spans="1:79" x14ac:dyDescent="0.3">
      <c r="A5235" s="1" t="s">
        <v>69</v>
      </c>
      <c r="B5235" s="7">
        <v>40766</v>
      </c>
      <c r="C5235" s="1">
        <v>11</v>
      </c>
      <c r="D5235" s="1">
        <v>34</v>
      </c>
      <c r="E5235" s="1">
        <v>2</v>
      </c>
      <c r="F5235" s="1">
        <v>7</v>
      </c>
      <c r="R5235" s="1">
        <v>1</v>
      </c>
      <c r="BL5235" s="1">
        <v>1</v>
      </c>
    </row>
    <row r="5236" spans="1:79" x14ac:dyDescent="0.3">
      <c r="A5236" s="1" t="s">
        <v>69</v>
      </c>
      <c r="B5236" s="7">
        <v>40766</v>
      </c>
      <c r="C5236" s="1">
        <v>11</v>
      </c>
      <c r="D5236" s="1">
        <v>34</v>
      </c>
      <c r="E5236" s="1">
        <v>2</v>
      </c>
      <c r="F5236" s="1">
        <v>8</v>
      </c>
      <c r="R5236" s="3">
        <v>0</v>
      </c>
      <c r="S5236" s="3">
        <v>1</v>
      </c>
    </row>
    <row r="5237" spans="1:79" x14ac:dyDescent="0.3">
      <c r="A5237" s="1" t="s">
        <v>69</v>
      </c>
      <c r="B5237" s="7">
        <v>40766</v>
      </c>
      <c r="C5237" s="1">
        <v>11</v>
      </c>
      <c r="D5237" s="1">
        <v>34</v>
      </c>
      <c r="E5237" s="1">
        <v>2</v>
      </c>
      <c r="F5237" s="1">
        <v>9</v>
      </c>
      <c r="L5237" s="1">
        <v>1</v>
      </c>
      <c r="R5237" s="3">
        <v>0</v>
      </c>
      <c r="S5237" s="3">
        <v>1</v>
      </c>
    </row>
    <row r="5238" spans="1:79" x14ac:dyDescent="0.3">
      <c r="A5238" s="1" t="s">
        <v>69</v>
      </c>
      <c r="B5238" s="7">
        <v>40766</v>
      </c>
      <c r="C5238" s="1">
        <v>11</v>
      </c>
      <c r="D5238" s="1">
        <v>34</v>
      </c>
      <c r="E5238" s="1">
        <v>2</v>
      </c>
      <c r="F5238" s="1">
        <v>10</v>
      </c>
      <c r="L5238" s="1">
        <v>1</v>
      </c>
      <c r="BZ5238" s="3">
        <v>0</v>
      </c>
      <c r="CA5238" s="3">
        <v>1</v>
      </c>
    </row>
    <row r="5239" spans="1:79" x14ac:dyDescent="0.3">
      <c r="A5239" s="1" t="s">
        <v>69</v>
      </c>
      <c r="B5239" s="7">
        <v>40766</v>
      </c>
      <c r="C5239" s="1">
        <v>11</v>
      </c>
      <c r="D5239" s="1">
        <v>34</v>
      </c>
      <c r="E5239" s="1">
        <v>2</v>
      </c>
      <c r="F5239" s="1">
        <v>11</v>
      </c>
      <c r="V5239" s="1">
        <v>1</v>
      </c>
      <c r="AF5239" s="1">
        <v>1</v>
      </c>
    </row>
    <row r="5240" spans="1:79" x14ac:dyDescent="0.3">
      <c r="A5240" s="1" t="s">
        <v>69</v>
      </c>
      <c r="B5240" s="7">
        <v>40766</v>
      </c>
      <c r="C5240" s="1">
        <v>11</v>
      </c>
      <c r="D5240" s="1">
        <v>34</v>
      </c>
      <c r="E5240" s="1">
        <v>2</v>
      </c>
      <c r="F5240" s="1">
        <v>12</v>
      </c>
      <c r="R5240" s="3">
        <v>0</v>
      </c>
      <c r="S5240" s="3">
        <v>1</v>
      </c>
    </row>
    <row r="5241" spans="1:79" x14ac:dyDescent="0.3">
      <c r="A5241" s="1" t="s">
        <v>69</v>
      </c>
      <c r="B5241" s="7">
        <v>40766</v>
      </c>
      <c r="C5241" s="1">
        <v>11</v>
      </c>
      <c r="D5241" s="1">
        <v>34</v>
      </c>
      <c r="E5241" s="1">
        <v>2</v>
      </c>
      <c r="F5241" s="1">
        <v>13</v>
      </c>
      <c r="H5241" s="1">
        <v>1</v>
      </c>
      <c r="V5241" s="1">
        <v>1</v>
      </c>
    </row>
    <row r="5242" spans="1:79" x14ac:dyDescent="0.3">
      <c r="A5242" s="1" t="s">
        <v>69</v>
      </c>
      <c r="B5242" s="7">
        <v>40766</v>
      </c>
      <c r="C5242" s="1">
        <v>11</v>
      </c>
      <c r="D5242" s="1">
        <v>34</v>
      </c>
      <c r="E5242" s="1">
        <v>2</v>
      </c>
      <c r="F5242" s="1">
        <v>14</v>
      </c>
      <c r="BP5242" s="3">
        <v>0</v>
      </c>
      <c r="BQ5242" s="3">
        <v>1</v>
      </c>
    </row>
    <row r="5243" spans="1:79" x14ac:dyDescent="0.3">
      <c r="A5243" s="1" t="s">
        <v>69</v>
      </c>
      <c r="B5243" s="7">
        <v>40766</v>
      </c>
      <c r="C5243" s="1">
        <v>11</v>
      </c>
      <c r="D5243" s="1">
        <v>34</v>
      </c>
      <c r="E5243" s="1">
        <v>2</v>
      </c>
      <c r="F5243" s="1">
        <v>15</v>
      </c>
      <c r="L5243" s="1">
        <v>1</v>
      </c>
    </row>
    <row r="5244" spans="1:79" x14ac:dyDescent="0.3">
      <c r="A5244" s="1" t="s">
        <v>69</v>
      </c>
      <c r="B5244" s="7">
        <v>40766</v>
      </c>
      <c r="C5244" s="1">
        <v>11</v>
      </c>
      <c r="D5244" s="1">
        <v>34</v>
      </c>
      <c r="E5244" s="1">
        <v>2</v>
      </c>
      <c r="F5244" s="1">
        <v>16</v>
      </c>
      <c r="H5244" s="1">
        <v>1</v>
      </c>
    </row>
    <row r="5245" spans="1:79" x14ac:dyDescent="0.3">
      <c r="A5245" s="1" t="s">
        <v>69</v>
      </c>
      <c r="B5245" s="7">
        <v>40766</v>
      </c>
      <c r="C5245" s="1">
        <v>11</v>
      </c>
      <c r="D5245" s="1">
        <v>34</v>
      </c>
      <c r="E5245" s="1">
        <v>2</v>
      </c>
      <c r="F5245" s="1">
        <v>17</v>
      </c>
    </row>
    <row r="5246" spans="1:79" x14ac:dyDescent="0.3">
      <c r="A5246" s="1" t="s">
        <v>69</v>
      </c>
      <c r="B5246" s="7">
        <v>40766</v>
      </c>
      <c r="C5246" s="1">
        <v>11</v>
      </c>
      <c r="D5246" s="1">
        <v>34</v>
      </c>
      <c r="E5246" s="1">
        <v>2</v>
      </c>
      <c r="F5246" s="1">
        <v>18</v>
      </c>
      <c r="R5246" s="1">
        <v>1</v>
      </c>
    </row>
    <row r="5247" spans="1:79" x14ac:dyDescent="0.3">
      <c r="A5247" s="1" t="s">
        <v>69</v>
      </c>
      <c r="B5247" s="7">
        <v>40766</v>
      </c>
      <c r="C5247" s="1">
        <v>11</v>
      </c>
      <c r="D5247" s="1">
        <v>34</v>
      </c>
      <c r="E5247" s="1">
        <v>2</v>
      </c>
      <c r="F5247" s="1">
        <v>19</v>
      </c>
      <c r="R5247" s="3">
        <v>0</v>
      </c>
      <c r="S5247" s="3">
        <v>1</v>
      </c>
    </row>
    <row r="5248" spans="1:79" x14ac:dyDescent="0.3">
      <c r="A5248" s="1" t="s">
        <v>69</v>
      </c>
      <c r="B5248" s="7">
        <v>40766</v>
      </c>
      <c r="C5248" s="1">
        <v>11</v>
      </c>
      <c r="D5248" s="1">
        <v>34</v>
      </c>
      <c r="E5248" s="1">
        <v>2</v>
      </c>
      <c r="F5248" s="1">
        <v>20</v>
      </c>
      <c r="H5248" s="1">
        <v>1</v>
      </c>
      <c r="R5248" s="1">
        <v>1</v>
      </c>
    </row>
    <row r="5249" spans="1:46" x14ac:dyDescent="0.3">
      <c r="A5249" s="1" t="s">
        <v>69</v>
      </c>
      <c r="B5249" s="7">
        <v>40766</v>
      </c>
      <c r="C5249" s="1">
        <v>11</v>
      </c>
      <c r="D5249" s="1">
        <v>34</v>
      </c>
      <c r="E5249" s="1">
        <v>2</v>
      </c>
      <c r="F5249" s="1">
        <v>21</v>
      </c>
      <c r="H5249" s="1">
        <v>1</v>
      </c>
      <c r="V5249" s="1">
        <v>1</v>
      </c>
    </row>
    <row r="5250" spans="1:46" x14ac:dyDescent="0.3">
      <c r="A5250" s="1" t="s">
        <v>69</v>
      </c>
      <c r="B5250" s="7">
        <v>40766</v>
      </c>
      <c r="C5250" s="1">
        <v>11</v>
      </c>
      <c r="D5250" s="1">
        <v>34</v>
      </c>
      <c r="E5250" s="1">
        <v>2</v>
      </c>
      <c r="F5250" s="1">
        <v>22</v>
      </c>
      <c r="R5250" s="3">
        <v>0</v>
      </c>
      <c r="S5250" s="3">
        <v>1</v>
      </c>
      <c r="V5250" s="1">
        <v>1</v>
      </c>
    </row>
    <row r="5251" spans="1:46" x14ac:dyDescent="0.3">
      <c r="A5251" s="1" t="s">
        <v>69</v>
      </c>
      <c r="B5251" s="7">
        <v>40766</v>
      </c>
      <c r="C5251" s="1">
        <v>11</v>
      </c>
      <c r="D5251" s="1">
        <v>34</v>
      </c>
      <c r="E5251" s="1">
        <v>2</v>
      </c>
      <c r="F5251" s="1">
        <v>23</v>
      </c>
      <c r="R5251" s="3">
        <v>0</v>
      </c>
      <c r="S5251" s="3">
        <v>1</v>
      </c>
      <c r="AM5251" s="1">
        <v>1</v>
      </c>
    </row>
    <row r="5252" spans="1:46" x14ac:dyDescent="0.3">
      <c r="A5252" s="1" t="s">
        <v>69</v>
      </c>
      <c r="B5252" s="7">
        <v>40766</v>
      </c>
      <c r="C5252" s="1">
        <v>11</v>
      </c>
      <c r="D5252" s="1">
        <v>34</v>
      </c>
      <c r="E5252" s="1">
        <v>2</v>
      </c>
      <c r="F5252" s="1">
        <v>24</v>
      </c>
      <c r="L5252" s="1">
        <v>1</v>
      </c>
    </row>
    <row r="5253" spans="1:46" x14ac:dyDescent="0.3">
      <c r="A5253" s="1" t="s">
        <v>69</v>
      </c>
      <c r="B5253" s="7">
        <v>40766</v>
      </c>
      <c r="C5253" s="1">
        <v>11</v>
      </c>
      <c r="D5253" s="1">
        <v>34</v>
      </c>
      <c r="E5253" s="1">
        <v>2</v>
      </c>
      <c r="F5253" s="1">
        <v>25</v>
      </c>
      <c r="H5253" s="1">
        <v>1</v>
      </c>
      <c r="R5253" s="1">
        <v>1</v>
      </c>
    </row>
    <row r="5254" spans="1:46" x14ac:dyDescent="0.3">
      <c r="A5254" s="1" t="s">
        <v>69</v>
      </c>
      <c r="B5254" s="7">
        <v>40766</v>
      </c>
      <c r="C5254" s="1">
        <v>11</v>
      </c>
      <c r="D5254" s="1">
        <v>34</v>
      </c>
      <c r="E5254" s="1">
        <v>2</v>
      </c>
      <c r="F5254" s="1">
        <v>26</v>
      </c>
      <c r="R5254" s="3">
        <v>0</v>
      </c>
      <c r="S5254" s="3">
        <v>1</v>
      </c>
      <c r="V5254" s="1">
        <v>1</v>
      </c>
    </row>
    <row r="5255" spans="1:46" x14ac:dyDescent="0.3">
      <c r="A5255" s="1" t="s">
        <v>69</v>
      </c>
      <c r="B5255" s="7">
        <v>40766</v>
      </c>
      <c r="C5255" s="1">
        <v>11</v>
      </c>
      <c r="D5255" s="1">
        <v>34</v>
      </c>
      <c r="E5255" s="1">
        <v>2</v>
      </c>
      <c r="F5255" s="1">
        <v>27</v>
      </c>
      <c r="R5255" s="1">
        <v>1</v>
      </c>
    </row>
    <row r="5256" spans="1:46" x14ac:dyDescent="0.3">
      <c r="A5256" s="1" t="s">
        <v>69</v>
      </c>
      <c r="B5256" s="7">
        <v>40766</v>
      </c>
      <c r="C5256" s="1">
        <v>11</v>
      </c>
      <c r="D5256" s="1">
        <v>34</v>
      </c>
      <c r="E5256" s="1">
        <v>2</v>
      </c>
      <c r="F5256" s="1">
        <v>28</v>
      </c>
      <c r="R5256" s="1">
        <v>1</v>
      </c>
      <c r="AT5256" s="1">
        <v>1</v>
      </c>
    </row>
    <row r="5257" spans="1:46" x14ac:dyDescent="0.3">
      <c r="A5257" s="1" t="s">
        <v>69</v>
      </c>
      <c r="B5257" s="7">
        <v>40766</v>
      </c>
      <c r="C5257" s="1">
        <v>11</v>
      </c>
      <c r="D5257" s="1">
        <v>34</v>
      </c>
      <c r="E5257" s="1">
        <v>2</v>
      </c>
      <c r="F5257" s="1">
        <v>29</v>
      </c>
      <c r="L5257" s="1">
        <v>1</v>
      </c>
      <c r="R5257" s="3">
        <v>0</v>
      </c>
      <c r="S5257" s="3">
        <v>1</v>
      </c>
      <c r="AT5257" s="1">
        <v>1</v>
      </c>
    </row>
    <row r="5258" spans="1:46" x14ac:dyDescent="0.3">
      <c r="A5258" s="1" t="s">
        <v>69</v>
      </c>
      <c r="B5258" s="7">
        <v>40766</v>
      </c>
      <c r="C5258" s="1">
        <v>11</v>
      </c>
      <c r="D5258" s="1">
        <v>34</v>
      </c>
      <c r="E5258" s="1">
        <v>2</v>
      </c>
      <c r="F5258" s="1">
        <v>30</v>
      </c>
      <c r="L5258" s="1">
        <v>1</v>
      </c>
      <c r="R5258" s="1">
        <v>1</v>
      </c>
    </row>
    <row r="5259" spans="1:46" x14ac:dyDescent="0.3">
      <c r="A5259" s="1" t="s">
        <v>69</v>
      </c>
      <c r="B5259" s="7">
        <v>40766</v>
      </c>
      <c r="C5259" s="1">
        <v>11</v>
      </c>
      <c r="D5259" s="1">
        <v>34</v>
      </c>
      <c r="E5259" s="1">
        <v>2</v>
      </c>
      <c r="F5259" s="1">
        <v>31</v>
      </c>
      <c r="R5259" s="3">
        <v>0</v>
      </c>
      <c r="S5259" s="3">
        <v>1</v>
      </c>
      <c r="V5259" s="1">
        <v>1</v>
      </c>
    </row>
    <row r="5260" spans="1:46" x14ac:dyDescent="0.3">
      <c r="A5260" s="1" t="s">
        <v>69</v>
      </c>
      <c r="B5260" s="7">
        <v>40766</v>
      </c>
      <c r="C5260" s="1">
        <v>11</v>
      </c>
      <c r="D5260" s="1">
        <v>34</v>
      </c>
      <c r="E5260" s="1">
        <v>2</v>
      </c>
      <c r="F5260" s="1">
        <v>32</v>
      </c>
      <c r="R5260" s="3">
        <v>0</v>
      </c>
      <c r="S5260" s="3">
        <v>1</v>
      </c>
    </row>
    <row r="5261" spans="1:46" x14ac:dyDescent="0.3">
      <c r="A5261" s="1" t="s">
        <v>69</v>
      </c>
      <c r="B5261" s="7">
        <v>40766</v>
      </c>
      <c r="C5261" s="1">
        <v>11</v>
      </c>
      <c r="D5261" s="1">
        <v>34</v>
      </c>
      <c r="E5261" s="1">
        <v>2</v>
      </c>
      <c r="F5261" s="1">
        <v>33</v>
      </c>
      <c r="R5261" s="3">
        <v>0</v>
      </c>
      <c r="S5261" s="3">
        <v>1</v>
      </c>
    </row>
    <row r="5262" spans="1:46" x14ac:dyDescent="0.3">
      <c r="A5262" s="1" t="s">
        <v>69</v>
      </c>
      <c r="B5262" s="7">
        <v>40766</v>
      </c>
      <c r="C5262" s="1">
        <v>11</v>
      </c>
      <c r="D5262" s="1">
        <v>34</v>
      </c>
      <c r="E5262" s="1">
        <v>2</v>
      </c>
      <c r="F5262" s="1">
        <v>34</v>
      </c>
      <c r="R5262" s="1">
        <v>1</v>
      </c>
      <c r="AT5262" s="1">
        <v>1</v>
      </c>
    </row>
    <row r="5263" spans="1:46" x14ac:dyDescent="0.3">
      <c r="A5263" s="1" t="s">
        <v>69</v>
      </c>
      <c r="B5263" s="7">
        <v>40766</v>
      </c>
      <c r="C5263" s="1">
        <v>11</v>
      </c>
      <c r="D5263" s="1">
        <v>34</v>
      </c>
      <c r="E5263" s="1">
        <v>2</v>
      </c>
      <c r="F5263" s="1">
        <v>35</v>
      </c>
      <c r="R5263" s="3">
        <v>0</v>
      </c>
      <c r="S5263" s="3">
        <v>1</v>
      </c>
      <c r="V5263" s="1">
        <v>1</v>
      </c>
    </row>
    <row r="5264" spans="1:46" x14ac:dyDescent="0.3">
      <c r="A5264" s="1" t="s">
        <v>69</v>
      </c>
      <c r="B5264" s="7">
        <v>40766</v>
      </c>
      <c r="C5264" s="1">
        <v>11</v>
      </c>
      <c r="D5264" s="1">
        <v>34</v>
      </c>
      <c r="E5264" s="1">
        <v>2</v>
      </c>
      <c r="F5264" s="1">
        <v>36</v>
      </c>
      <c r="R5264" s="1">
        <v>1</v>
      </c>
      <c r="AI5264" s="8">
        <v>1</v>
      </c>
      <c r="AJ5264" s="8"/>
    </row>
    <row r="5265" spans="1:81" x14ac:dyDescent="0.3">
      <c r="A5265" s="1" t="s">
        <v>69</v>
      </c>
      <c r="B5265" s="7">
        <v>40766</v>
      </c>
      <c r="C5265" s="1">
        <v>11</v>
      </c>
      <c r="D5265" s="1">
        <v>34</v>
      </c>
      <c r="E5265" s="1">
        <v>2</v>
      </c>
      <c r="F5265" s="1">
        <v>37</v>
      </c>
      <c r="L5265" s="1">
        <v>1</v>
      </c>
      <c r="R5265" s="3">
        <v>0</v>
      </c>
      <c r="S5265" s="3">
        <v>1</v>
      </c>
      <c r="BE5265" s="1">
        <v>1</v>
      </c>
    </row>
    <row r="5266" spans="1:81" x14ac:dyDescent="0.3">
      <c r="A5266" s="1" t="s">
        <v>69</v>
      </c>
      <c r="B5266" s="7">
        <v>40766</v>
      </c>
      <c r="C5266" s="1">
        <v>11</v>
      </c>
      <c r="D5266" s="1">
        <v>34</v>
      </c>
      <c r="E5266" s="1">
        <v>2</v>
      </c>
      <c r="F5266" s="1">
        <v>38</v>
      </c>
      <c r="L5266" s="1">
        <v>1</v>
      </c>
      <c r="R5266" s="1">
        <v>1</v>
      </c>
    </row>
    <row r="5267" spans="1:81" x14ac:dyDescent="0.3">
      <c r="A5267" s="1" t="s">
        <v>69</v>
      </c>
      <c r="B5267" s="7">
        <v>40766</v>
      </c>
      <c r="C5267" s="1">
        <v>11</v>
      </c>
      <c r="D5267" s="1">
        <v>34</v>
      </c>
      <c r="E5267" s="1">
        <v>2</v>
      </c>
      <c r="F5267" s="1">
        <v>39</v>
      </c>
      <c r="AT5267" s="1">
        <v>1</v>
      </c>
      <c r="BE5267" s="1">
        <v>1</v>
      </c>
    </row>
    <row r="5268" spans="1:81" x14ac:dyDescent="0.3">
      <c r="A5268" s="1" t="s">
        <v>69</v>
      </c>
      <c r="B5268" s="7">
        <v>40766</v>
      </c>
      <c r="C5268" s="1">
        <v>11</v>
      </c>
      <c r="D5268" s="1">
        <v>34</v>
      </c>
      <c r="E5268" s="1">
        <v>2</v>
      </c>
      <c r="F5268" s="1">
        <v>40</v>
      </c>
      <c r="H5268" s="1">
        <v>1</v>
      </c>
      <c r="R5268" s="1">
        <v>1</v>
      </c>
      <c r="AB5268" s="1">
        <v>1</v>
      </c>
    </row>
    <row r="5269" spans="1:81" x14ac:dyDescent="0.3">
      <c r="A5269" s="1" t="s">
        <v>69</v>
      </c>
      <c r="B5269" s="7">
        <v>40766</v>
      </c>
      <c r="C5269" s="1">
        <v>11</v>
      </c>
      <c r="D5269" s="1">
        <v>34</v>
      </c>
      <c r="E5269" s="1">
        <v>2</v>
      </c>
      <c r="F5269" s="1">
        <v>41</v>
      </c>
      <c r="H5269" s="1">
        <v>1</v>
      </c>
      <c r="BP5269" s="1">
        <v>1</v>
      </c>
    </row>
    <row r="5270" spans="1:81" x14ac:dyDescent="0.3">
      <c r="A5270" s="1" t="s">
        <v>69</v>
      </c>
      <c r="B5270" s="7">
        <v>40766</v>
      </c>
      <c r="C5270" s="1">
        <v>11</v>
      </c>
      <c r="D5270" s="1">
        <v>34</v>
      </c>
      <c r="E5270" s="1">
        <v>2</v>
      </c>
      <c r="F5270" s="1">
        <v>42</v>
      </c>
      <c r="BE5270" s="1">
        <v>1</v>
      </c>
    </row>
    <row r="5271" spans="1:81" x14ac:dyDescent="0.3">
      <c r="A5271" s="1" t="s">
        <v>69</v>
      </c>
      <c r="B5271" s="7">
        <v>40766</v>
      </c>
      <c r="C5271" s="1">
        <v>11</v>
      </c>
      <c r="D5271" s="1">
        <v>34</v>
      </c>
      <c r="E5271" s="1">
        <v>2</v>
      </c>
      <c r="F5271" s="1">
        <v>43</v>
      </c>
      <c r="L5271" s="8">
        <v>1</v>
      </c>
      <c r="M5271" s="8"/>
      <c r="AB5271" s="1">
        <v>1</v>
      </c>
    </row>
    <row r="5272" spans="1:81" x14ac:dyDescent="0.3">
      <c r="A5272" s="1" t="s">
        <v>69</v>
      </c>
      <c r="B5272" s="7">
        <v>40766</v>
      </c>
      <c r="C5272" s="1">
        <v>11</v>
      </c>
      <c r="D5272" s="1">
        <v>34</v>
      </c>
      <c r="E5272" s="1">
        <v>2</v>
      </c>
      <c r="F5272" s="1">
        <v>44</v>
      </c>
      <c r="H5272" s="1">
        <v>1</v>
      </c>
      <c r="BP5272" s="1">
        <v>1</v>
      </c>
    </row>
    <row r="5273" spans="1:81" x14ac:dyDescent="0.3">
      <c r="A5273" s="1" t="s">
        <v>69</v>
      </c>
      <c r="B5273" s="7">
        <v>40766</v>
      </c>
      <c r="C5273" s="1">
        <v>11</v>
      </c>
      <c r="D5273" s="1">
        <v>34</v>
      </c>
      <c r="E5273" s="1">
        <v>2</v>
      </c>
      <c r="F5273" s="1">
        <v>45</v>
      </c>
      <c r="R5273" s="3">
        <v>0</v>
      </c>
      <c r="S5273" s="3">
        <v>1</v>
      </c>
      <c r="V5273" s="1">
        <v>1</v>
      </c>
    </row>
    <row r="5274" spans="1:81" x14ac:dyDescent="0.3">
      <c r="A5274" s="1" t="s">
        <v>69</v>
      </c>
      <c r="B5274" s="7">
        <v>40766</v>
      </c>
      <c r="C5274" s="1">
        <v>11</v>
      </c>
      <c r="D5274" s="1">
        <v>34</v>
      </c>
      <c r="E5274" s="1">
        <v>2</v>
      </c>
      <c r="F5274" s="1">
        <v>46</v>
      </c>
      <c r="R5274" s="3">
        <v>0</v>
      </c>
      <c r="S5274" s="3">
        <v>1</v>
      </c>
    </row>
    <row r="5275" spans="1:81" x14ac:dyDescent="0.3">
      <c r="A5275" s="1" t="s">
        <v>69</v>
      </c>
      <c r="B5275" s="7">
        <v>40766</v>
      </c>
      <c r="C5275" s="1">
        <v>11</v>
      </c>
      <c r="D5275" s="1">
        <v>34</v>
      </c>
      <c r="E5275" s="1">
        <v>2</v>
      </c>
      <c r="F5275" s="1">
        <v>47</v>
      </c>
      <c r="L5275" s="1">
        <v>1</v>
      </c>
      <c r="AT5275" s="1">
        <v>1</v>
      </c>
    </row>
    <row r="5276" spans="1:81" x14ac:dyDescent="0.3">
      <c r="A5276" s="1" t="s">
        <v>69</v>
      </c>
      <c r="B5276" s="7">
        <v>40766</v>
      </c>
      <c r="C5276" s="1">
        <v>11</v>
      </c>
      <c r="D5276" s="1">
        <v>34</v>
      </c>
      <c r="E5276" s="1">
        <v>2</v>
      </c>
      <c r="F5276" s="1">
        <v>48</v>
      </c>
      <c r="R5276" s="3">
        <v>0</v>
      </c>
      <c r="S5276" s="3">
        <v>1</v>
      </c>
    </row>
    <row r="5277" spans="1:81" x14ac:dyDescent="0.3">
      <c r="A5277" s="1" t="s">
        <v>69</v>
      </c>
      <c r="B5277" s="7">
        <v>40766</v>
      </c>
      <c r="C5277" s="1">
        <v>11</v>
      </c>
      <c r="D5277" s="1">
        <v>34</v>
      </c>
      <c r="E5277" s="1">
        <v>2</v>
      </c>
      <c r="F5277" s="1">
        <v>49</v>
      </c>
      <c r="L5277" s="1">
        <v>1</v>
      </c>
      <c r="BE5277" s="1">
        <v>1</v>
      </c>
      <c r="CB5277" s="1">
        <v>1</v>
      </c>
    </row>
    <row r="5278" spans="1:81" x14ac:dyDescent="0.3">
      <c r="A5278" s="1" t="s">
        <v>69</v>
      </c>
      <c r="B5278" s="7">
        <v>40766</v>
      </c>
      <c r="C5278" s="1">
        <v>11</v>
      </c>
      <c r="D5278" s="1">
        <v>34</v>
      </c>
      <c r="E5278" s="1">
        <v>2</v>
      </c>
      <c r="F5278" s="1">
        <v>50</v>
      </c>
      <c r="H5278" s="1">
        <v>1</v>
      </c>
      <c r="CB5278" s="3">
        <v>0</v>
      </c>
      <c r="CC5278" s="3">
        <v>1</v>
      </c>
    </row>
    <row r="5279" spans="1:81" x14ac:dyDescent="0.3">
      <c r="A5279" s="1" t="s">
        <v>69</v>
      </c>
      <c r="B5279" s="7">
        <v>40766</v>
      </c>
      <c r="C5279" s="1">
        <v>11</v>
      </c>
      <c r="D5279" s="1">
        <v>34</v>
      </c>
      <c r="E5279" s="1">
        <v>2</v>
      </c>
      <c r="F5279" s="1">
        <v>51</v>
      </c>
      <c r="R5279" s="3">
        <v>0</v>
      </c>
      <c r="S5279" s="3">
        <v>1</v>
      </c>
      <c r="AF5279" s="1">
        <v>1</v>
      </c>
    </row>
    <row r="5280" spans="1:81" x14ac:dyDescent="0.3">
      <c r="A5280" s="1" t="s">
        <v>69</v>
      </c>
      <c r="B5280" s="7">
        <v>40766</v>
      </c>
      <c r="C5280" s="1">
        <v>11</v>
      </c>
      <c r="D5280" s="1">
        <v>34</v>
      </c>
      <c r="E5280" s="1">
        <v>2</v>
      </c>
      <c r="F5280" s="1">
        <v>52</v>
      </c>
      <c r="H5280" s="1">
        <v>1</v>
      </c>
      <c r="R5280" s="3">
        <v>0</v>
      </c>
      <c r="S5280" s="3">
        <v>1</v>
      </c>
    </row>
    <row r="5281" spans="1:73" x14ac:dyDescent="0.3">
      <c r="A5281" s="1" t="s">
        <v>69</v>
      </c>
      <c r="B5281" s="7">
        <v>40766</v>
      </c>
      <c r="C5281" s="1">
        <v>11</v>
      </c>
      <c r="D5281" s="1">
        <v>34</v>
      </c>
      <c r="E5281" s="1">
        <v>2</v>
      </c>
      <c r="F5281" s="1">
        <v>53</v>
      </c>
      <c r="AB5281" s="1">
        <v>1</v>
      </c>
    </row>
    <row r="5282" spans="1:73" x14ac:dyDescent="0.3">
      <c r="A5282" s="1" t="s">
        <v>69</v>
      </c>
      <c r="B5282" s="7">
        <v>40766</v>
      </c>
      <c r="C5282" s="1">
        <v>11</v>
      </c>
      <c r="D5282" s="1">
        <v>34</v>
      </c>
      <c r="E5282" s="1">
        <v>2</v>
      </c>
      <c r="F5282" s="1">
        <v>54</v>
      </c>
      <c r="R5282" s="3">
        <v>0</v>
      </c>
      <c r="S5282" s="3">
        <v>1</v>
      </c>
    </row>
    <row r="5283" spans="1:73" x14ac:dyDescent="0.3">
      <c r="A5283" s="1" t="s">
        <v>69</v>
      </c>
      <c r="B5283" s="7">
        <v>40766</v>
      </c>
      <c r="C5283" s="1">
        <v>11</v>
      </c>
      <c r="D5283" s="1">
        <v>34</v>
      </c>
      <c r="E5283" s="1">
        <v>2</v>
      </c>
      <c r="F5283" s="1">
        <v>55</v>
      </c>
      <c r="BP5283" s="1">
        <v>1</v>
      </c>
    </row>
    <row r="5284" spans="1:73" x14ac:dyDescent="0.3">
      <c r="A5284" s="1" t="s">
        <v>69</v>
      </c>
      <c r="B5284" s="7">
        <v>40766</v>
      </c>
      <c r="C5284" s="1">
        <v>11</v>
      </c>
      <c r="D5284" s="1">
        <v>34</v>
      </c>
      <c r="E5284" s="1">
        <v>2</v>
      </c>
      <c r="F5284" s="1">
        <v>56</v>
      </c>
      <c r="R5284" s="3">
        <v>0</v>
      </c>
      <c r="S5284" s="3">
        <v>1</v>
      </c>
    </row>
    <row r="5285" spans="1:73" x14ac:dyDescent="0.3">
      <c r="A5285" s="1" t="s">
        <v>69</v>
      </c>
      <c r="B5285" s="7">
        <v>40766</v>
      </c>
      <c r="C5285" s="1">
        <v>11</v>
      </c>
      <c r="D5285" s="1">
        <v>34</v>
      </c>
      <c r="E5285" s="1">
        <v>2</v>
      </c>
      <c r="F5285" s="1">
        <v>57</v>
      </c>
      <c r="L5285" s="1">
        <v>1</v>
      </c>
      <c r="BP5285" s="1">
        <v>1</v>
      </c>
    </row>
    <row r="5286" spans="1:73" x14ac:dyDescent="0.3">
      <c r="A5286" s="1" t="s">
        <v>69</v>
      </c>
      <c r="B5286" s="7">
        <v>40766</v>
      </c>
      <c r="C5286" s="1">
        <v>11</v>
      </c>
      <c r="D5286" s="1">
        <v>34</v>
      </c>
      <c r="E5286" s="1">
        <v>2</v>
      </c>
      <c r="F5286" s="1">
        <v>58</v>
      </c>
      <c r="H5286" s="1">
        <v>1</v>
      </c>
      <c r="R5286" s="1">
        <v>1</v>
      </c>
    </row>
    <row r="5287" spans="1:73" x14ac:dyDescent="0.3">
      <c r="A5287" s="1" t="s">
        <v>69</v>
      </c>
      <c r="B5287" s="7">
        <v>40766</v>
      </c>
      <c r="C5287" s="1">
        <v>11</v>
      </c>
      <c r="D5287" s="1">
        <v>34</v>
      </c>
      <c r="E5287" s="1">
        <v>2</v>
      </c>
      <c r="F5287" s="1">
        <v>59</v>
      </c>
      <c r="H5287" s="1">
        <v>1</v>
      </c>
      <c r="R5287" s="3">
        <v>0</v>
      </c>
      <c r="S5287" s="3">
        <v>1</v>
      </c>
    </row>
    <row r="5288" spans="1:73" x14ac:dyDescent="0.3">
      <c r="A5288" s="1" t="s">
        <v>69</v>
      </c>
      <c r="B5288" s="7">
        <v>40766</v>
      </c>
      <c r="C5288" s="1">
        <v>11</v>
      </c>
      <c r="D5288" s="1">
        <v>34</v>
      </c>
      <c r="E5288" s="1">
        <v>2</v>
      </c>
      <c r="F5288" s="1">
        <v>60</v>
      </c>
      <c r="H5288" s="1">
        <v>1</v>
      </c>
    </row>
    <row r="5289" spans="1:73" x14ac:dyDescent="0.3">
      <c r="A5289" s="1" t="s">
        <v>69</v>
      </c>
      <c r="B5289" s="7">
        <v>40766</v>
      </c>
      <c r="C5289" s="1">
        <v>11</v>
      </c>
      <c r="D5289" s="1">
        <v>34</v>
      </c>
      <c r="E5289" s="1">
        <v>2</v>
      </c>
      <c r="F5289" s="1">
        <v>61</v>
      </c>
      <c r="V5289" s="1">
        <v>1</v>
      </c>
    </row>
    <row r="5290" spans="1:73" x14ac:dyDescent="0.3">
      <c r="A5290" s="1" t="s">
        <v>69</v>
      </c>
      <c r="B5290" s="7">
        <v>40766</v>
      </c>
      <c r="C5290" s="1">
        <v>11</v>
      </c>
      <c r="D5290" s="1">
        <v>34</v>
      </c>
      <c r="E5290" s="1">
        <v>2</v>
      </c>
      <c r="F5290" s="1">
        <v>62</v>
      </c>
      <c r="H5290" s="1">
        <v>1</v>
      </c>
      <c r="V5290" s="8">
        <v>1</v>
      </c>
    </row>
    <row r="5291" spans="1:73" x14ac:dyDescent="0.3">
      <c r="A5291" s="1" t="s">
        <v>69</v>
      </c>
      <c r="B5291" s="7">
        <v>40766</v>
      </c>
      <c r="C5291" s="1">
        <v>11</v>
      </c>
      <c r="D5291" s="1">
        <v>34</v>
      </c>
      <c r="E5291" s="1">
        <v>2</v>
      </c>
      <c r="F5291" s="1">
        <v>63</v>
      </c>
      <c r="H5291" s="1">
        <v>1</v>
      </c>
      <c r="L5291" s="3">
        <v>0</v>
      </c>
      <c r="M5291" s="3">
        <v>1</v>
      </c>
      <c r="R5291" s="1">
        <v>1</v>
      </c>
    </row>
    <row r="5292" spans="1:73" x14ac:dyDescent="0.3">
      <c r="A5292" s="1" t="s">
        <v>69</v>
      </c>
      <c r="B5292" s="7">
        <v>40766</v>
      </c>
      <c r="C5292" s="1">
        <v>11</v>
      </c>
      <c r="D5292" s="1">
        <v>34</v>
      </c>
      <c r="E5292" s="1">
        <v>2</v>
      </c>
      <c r="F5292" s="1">
        <v>64</v>
      </c>
      <c r="R5292" s="8">
        <v>1</v>
      </c>
      <c r="S5292" s="8"/>
    </row>
    <row r="5293" spans="1:73" x14ac:dyDescent="0.3">
      <c r="A5293" s="1" t="s">
        <v>69</v>
      </c>
      <c r="B5293" s="7">
        <v>40766</v>
      </c>
      <c r="C5293" s="1">
        <v>11</v>
      </c>
      <c r="D5293" s="1">
        <v>34</v>
      </c>
      <c r="E5293" s="1">
        <v>2</v>
      </c>
      <c r="F5293" s="1">
        <v>65</v>
      </c>
      <c r="BU5293" s="1">
        <v>1</v>
      </c>
    </row>
    <row r="5294" spans="1:73" x14ac:dyDescent="0.3">
      <c r="A5294" s="1" t="s">
        <v>69</v>
      </c>
      <c r="B5294" s="7">
        <v>40766</v>
      </c>
      <c r="C5294" s="1">
        <v>11</v>
      </c>
      <c r="D5294" s="1">
        <v>34</v>
      </c>
      <c r="E5294" s="1">
        <v>2</v>
      </c>
      <c r="F5294" s="1">
        <v>66</v>
      </c>
      <c r="R5294" s="1">
        <v>1</v>
      </c>
      <c r="AB5294" s="3">
        <v>0</v>
      </c>
      <c r="AC5294" s="3">
        <v>1</v>
      </c>
    </row>
    <row r="5295" spans="1:73" x14ac:dyDescent="0.3">
      <c r="A5295" s="1" t="s">
        <v>69</v>
      </c>
      <c r="B5295" s="7">
        <v>40766</v>
      </c>
      <c r="C5295" s="1">
        <v>11</v>
      </c>
      <c r="D5295" s="1">
        <v>34</v>
      </c>
      <c r="E5295" s="1">
        <v>2</v>
      </c>
      <c r="F5295" s="1">
        <v>67</v>
      </c>
      <c r="H5295" s="1">
        <v>1</v>
      </c>
      <c r="AF5295" s="1">
        <v>1</v>
      </c>
    </row>
    <row r="5296" spans="1:73" x14ac:dyDescent="0.3">
      <c r="A5296" s="1" t="s">
        <v>69</v>
      </c>
      <c r="B5296" s="7">
        <v>40766</v>
      </c>
      <c r="C5296" s="1">
        <v>11</v>
      </c>
      <c r="D5296" s="1">
        <v>34</v>
      </c>
      <c r="E5296" s="1">
        <v>2</v>
      </c>
      <c r="F5296" s="1">
        <v>68</v>
      </c>
      <c r="R5296" s="1">
        <v>1</v>
      </c>
      <c r="V5296" s="1">
        <v>1</v>
      </c>
    </row>
    <row r="5297" spans="1:57" x14ac:dyDescent="0.3">
      <c r="A5297" s="1" t="s">
        <v>69</v>
      </c>
      <c r="B5297" s="7">
        <v>40766</v>
      </c>
      <c r="C5297" s="1">
        <v>11</v>
      </c>
      <c r="D5297" s="1">
        <v>34</v>
      </c>
      <c r="E5297" s="1">
        <v>2</v>
      </c>
      <c r="F5297" s="1">
        <v>69</v>
      </c>
      <c r="L5297" s="1">
        <v>1</v>
      </c>
      <c r="R5297" s="1">
        <v>1</v>
      </c>
    </row>
    <row r="5298" spans="1:57" x14ac:dyDescent="0.3">
      <c r="A5298" s="1" t="s">
        <v>69</v>
      </c>
      <c r="B5298" s="7">
        <v>40766</v>
      </c>
      <c r="C5298" s="1">
        <v>11</v>
      </c>
      <c r="D5298" s="1">
        <v>34</v>
      </c>
      <c r="E5298" s="1">
        <v>2</v>
      </c>
      <c r="F5298" s="1">
        <v>70</v>
      </c>
      <c r="H5298" s="1">
        <v>1</v>
      </c>
      <c r="R5298" s="3">
        <v>0</v>
      </c>
      <c r="S5298" s="3">
        <v>1</v>
      </c>
    </row>
    <row r="5299" spans="1:57" x14ac:dyDescent="0.3">
      <c r="A5299" s="1" t="s">
        <v>69</v>
      </c>
      <c r="B5299" s="7">
        <v>40766</v>
      </c>
      <c r="C5299" s="1">
        <v>11</v>
      </c>
      <c r="D5299" s="1">
        <v>34</v>
      </c>
      <c r="E5299" s="1">
        <v>2</v>
      </c>
      <c r="F5299" s="1">
        <v>71</v>
      </c>
      <c r="H5299" s="1">
        <v>1</v>
      </c>
      <c r="AM5299" s="1">
        <v>1</v>
      </c>
    </row>
    <row r="5300" spans="1:57" x14ac:dyDescent="0.3">
      <c r="A5300" s="1" t="s">
        <v>69</v>
      </c>
      <c r="B5300" s="7">
        <v>40766</v>
      </c>
      <c r="C5300" s="1">
        <v>11</v>
      </c>
      <c r="D5300" s="1">
        <v>34</v>
      </c>
      <c r="E5300" s="1">
        <v>2</v>
      </c>
      <c r="F5300" s="1">
        <v>72</v>
      </c>
      <c r="I5300" s="1">
        <v>1</v>
      </c>
    </row>
    <row r="5301" spans="1:57" x14ac:dyDescent="0.3">
      <c r="A5301" s="1" t="s">
        <v>69</v>
      </c>
      <c r="B5301" s="7">
        <v>40766</v>
      </c>
      <c r="C5301" s="1">
        <v>11</v>
      </c>
      <c r="D5301" s="1">
        <v>34</v>
      </c>
      <c r="E5301" s="1">
        <v>2</v>
      </c>
      <c r="F5301" s="1">
        <v>73</v>
      </c>
      <c r="AM5301" s="1">
        <v>1</v>
      </c>
      <c r="BE5301" s="1">
        <v>1</v>
      </c>
    </row>
    <row r="5302" spans="1:57" x14ac:dyDescent="0.3">
      <c r="A5302" s="1" t="s">
        <v>69</v>
      </c>
      <c r="B5302" s="7">
        <v>40766</v>
      </c>
      <c r="C5302" s="1">
        <v>11</v>
      </c>
      <c r="D5302" s="1">
        <v>34</v>
      </c>
      <c r="E5302" s="1">
        <v>2</v>
      </c>
      <c r="F5302" s="1">
        <v>74</v>
      </c>
      <c r="AK5302" s="1">
        <v>1</v>
      </c>
      <c r="AS5302" s="1">
        <v>1</v>
      </c>
    </row>
    <row r="5303" spans="1:57" x14ac:dyDescent="0.3">
      <c r="A5303" s="1" t="s">
        <v>69</v>
      </c>
      <c r="B5303" s="7">
        <v>40766</v>
      </c>
      <c r="C5303" s="1">
        <v>11</v>
      </c>
      <c r="D5303" s="1">
        <v>34</v>
      </c>
      <c r="E5303" s="1">
        <v>2</v>
      </c>
      <c r="F5303" s="1">
        <v>75</v>
      </c>
      <c r="H5303" s="1">
        <v>1</v>
      </c>
      <c r="AM5303" s="1">
        <v>1</v>
      </c>
    </row>
    <row r="5304" spans="1:57" x14ac:dyDescent="0.3">
      <c r="A5304" s="1" t="s">
        <v>69</v>
      </c>
      <c r="B5304" s="7">
        <v>40766</v>
      </c>
      <c r="C5304" s="1">
        <v>11</v>
      </c>
      <c r="D5304" s="1">
        <v>34</v>
      </c>
      <c r="E5304" s="1">
        <v>2</v>
      </c>
      <c r="F5304" s="1">
        <v>76</v>
      </c>
      <c r="H5304" s="1">
        <v>1</v>
      </c>
    </row>
    <row r="5305" spans="1:57" x14ac:dyDescent="0.3">
      <c r="A5305" s="1" t="s">
        <v>69</v>
      </c>
      <c r="B5305" s="7">
        <v>40766</v>
      </c>
      <c r="C5305" s="1">
        <v>11</v>
      </c>
      <c r="D5305" s="1">
        <v>34</v>
      </c>
      <c r="E5305" s="1">
        <v>2</v>
      </c>
      <c r="F5305" s="1">
        <v>77</v>
      </c>
      <c r="R5305" s="3">
        <v>0</v>
      </c>
      <c r="S5305" s="3">
        <v>1</v>
      </c>
      <c r="V5305" s="1">
        <v>1</v>
      </c>
    </row>
    <row r="5306" spans="1:57" x14ac:dyDescent="0.3">
      <c r="A5306" s="1" t="s">
        <v>69</v>
      </c>
      <c r="B5306" s="7">
        <v>40766</v>
      </c>
      <c r="C5306" s="1">
        <v>11</v>
      </c>
      <c r="D5306" s="1">
        <v>34</v>
      </c>
      <c r="E5306" s="1">
        <v>2</v>
      </c>
      <c r="F5306" s="1">
        <v>78</v>
      </c>
      <c r="H5306" s="1">
        <v>1</v>
      </c>
      <c r="R5306" s="3">
        <v>0</v>
      </c>
      <c r="S5306" s="3">
        <v>1</v>
      </c>
    </row>
    <row r="5307" spans="1:57" x14ac:dyDescent="0.3">
      <c r="A5307" s="1" t="s">
        <v>69</v>
      </c>
      <c r="B5307" s="7">
        <v>40766</v>
      </c>
      <c r="C5307" s="1">
        <v>11</v>
      </c>
      <c r="D5307" s="1">
        <v>34</v>
      </c>
      <c r="E5307" s="1">
        <v>2</v>
      </c>
      <c r="F5307" s="1">
        <v>79</v>
      </c>
      <c r="L5307" s="1">
        <v>1</v>
      </c>
      <c r="R5307" s="1">
        <v>1</v>
      </c>
    </row>
    <row r="5308" spans="1:57" x14ac:dyDescent="0.3">
      <c r="A5308" s="1" t="s">
        <v>69</v>
      </c>
      <c r="B5308" s="7">
        <v>40766</v>
      </c>
      <c r="C5308" s="1">
        <v>11</v>
      </c>
      <c r="D5308" s="1">
        <v>34</v>
      </c>
      <c r="E5308" s="1">
        <v>2</v>
      </c>
      <c r="F5308" s="1">
        <v>80</v>
      </c>
      <c r="L5308" s="1">
        <v>1</v>
      </c>
    </row>
    <row r="5309" spans="1:57" x14ac:dyDescent="0.3">
      <c r="A5309" s="1" t="s">
        <v>69</v>
      </c>
      <c r="B5309" s="7">
        <v>40766</v>
      </c>
      <c r="C5309" s="1">
        <v>11</v>
      </c>
      <c r="D5309" s="1">
        <v>34</v>
      </c>
      <c r="E5309" s="1">
        <v>2</v>
      </c>
      <c r="F5309" s="1">
        <v>81</v>
      </c>
      <c r="H5309" s="1">
        <v>1</v>
      </c>
      <c r="AM5309" s="1">
        <v>1</v>
      </c>
    </row>
    <row r="5310" spans="1:57" x14ac:dyDescent="0.3">
      <c r="A5310" s="1" t="s">
        <v>69</v>
      </c>
      <c r="B5310" s="7">
        <v>40766</v>
      </c>
      <c r="C5310" s="1">
        <v>11</v>
      </c>
      <c r="D5310" s="1">
        <v>34</v>
      </c>
      <c r="E5310" s="1">
        <v>2</v>
      </c>
      <c r="F5310" s="1">
        <v>82</v>
      </c>
      <c r="H5310" s="1">
        <v>1</v>
      </c>
      <c r="L5310" s="1">
        <v>1</v>
      </c>
    </row>
    <row r="5311" spans="1:57" x14ac:dyDescent="0.3">
      <c r="A5311" s="1" t="s">
        <v>69</v>
      </c>
      <c r="B5311" s="7">
        <v>40766</v>
      </c>
      <c r="C5311" s="1">
        <v>11</v>
      </c>
      <c r="D5311" s="1">
        <v>34</v>
      </c>
      <c r="E5311" s="1">
        <v>2</v>
      </c>
      <c r="F5311" s="1">
        <v>83</v>
      </c>
      <c r="H5311" s="1">
        <v>1</v>
      </c>
      <c r="L5311" s="1">
        <v>1</v>
      </c>
    </row>
    <row r="5312" spans="1:57" x14ac:dyDescent="0.3">
      <c r="A5312" s="1" t="s">
        <v>69</v>
      </c>
      <c r="B5312" s="7">
        <v>40766</v>
      </c>
      <c r="C5312" s="1">
        <v>11</v>
      </c>
      <c r="D5312" s="1">
        <v>34</v>
      </c>
      <c r="E5312" s="1">
        <v>2</v>
      </c>
      <c r="F5312" s="1">
        <v>84</v>
      </c>
      <c r="H5312" s="1">
        <v>1</v>
      </c>
      <c r="R5312" s="3">
        <v>0</v>
      </c>
      <c r="S5312" s="3">
        <v>1</v>
      </c>
    </row>
    <row r="5313" spans="1:68" x14ac:dyDescent="0.3">
      <c r="A5313" s="1" t="s">
        <v>69</v>
      </c>
      <c r="B5313" s="7">
        <v>40766</v>
      </c>
      <c r="C5313" s="1">
        <v>11</v>
      </c>
      <c r="D5313" s="1">
        <v>34</v>
      </c>
      <c r="E5313" s="1">
        <v>2</v>
      </c>
      <c r="F5313" s="1">
        <v>85</v>
      </c>
      <c r="H5313" s="1">
        <v>1</v>
      </c>
      <c r="AF5313" s="1">
        <v>1</v>
      </c>
    </row>
    <row r="5314" spans="1:68" x14ac:dyDescent="0.3">
      <c r="A5314" s="1" t="s">
        <v>69</v>
      </c>
      <c r="B5314" s="7">
        <v>40766</v>
      </c>
      <c r="C5314" s="1">
        <v>11</v>
      </c>
      <c r="D5314" s="1">
        <v>34</v>
      </c>
      <c r="E5314" s="1">
        <v>2</v>
      </c>
      <c r="F5314" s="1">
        <v>86</v>
      </c>
      <c r="R5314" s="3">
        <v>0</v>
      </c>
      <c r="S5314" s="3">
        <v>1</v>
      </c>
      <c r="V5314" s="1">
        <v>1</v>
      </c>
    </row>
    <row r="5315" spans="1:68" x14ac:dyDescent="0.3">
      <c r="A5315" s="1" t="s">
        <v>69</v>
      </c>
      <c r="B5315" s="7">
        <v>40766</v>
      </c>
      <c r="C5315" s="1">
        <v>11</v>
      </c>
      <c r="D5315" s="1">
        <v>34</v>
      </c>
      <c r="E5315" s="1">
        <v>2</v>
      </c>
      <c r="F5315" s="1">
        <v>87</v>
      </c>
      <c r="R5315" s="3">
        <v>0</v>
      </c>
      <c r="S5315" s="3">
        <v>1</v>
      </c>
    </row>
    <row r="5316" spans="1:68" x14ac:dyDescent="0.3">
      <c r="A5316" s="1" t="s">
        <v>69</v>
      </c>
      <c r="B5316" s="7">
        <v>40766</v>
      </c>
      <c r="C5316" s="1">
        <v>11</v>
      </c>
      <c r="D5316" s="1">
        <v>34</v>
      </c>
      <c r="E5316" s="1">
        <v>2</v>
      </c>
      <c r="F5316" s="1">
        <v>88</v>
      </c>
      <c r="V5316" s="1">
        <v>1</v>
      </c>
      <c r="AB5316" s="1">
        <v>1</v>
      </c>
    </row>
    <row r="5317" spans="1:68" x14ac:dyDescent="0.3">
      <c r="A5317" s="1" t="s">
        <v>69</v>
      </c>
      <c r="B5317" s="7">
        <v>40766</v>
      </c>
      <c r="C5317" s="1">
        <v>11</v>
      </c>
      <c r="D5317" s="1">
        <v>34</v>
      </c>
      <c r="E5317" s="1">
        <v>2</v>
      </c>
      <c r="F5317" s="1">
        <v>89</v>
      </c>
      <c r="L5317" s="1">
        <v>1</v>
      </c>
      <c r="R5317" s="1">
        <v>1</v>
      </c>
    </row>
    <row r="5318" spans="1:68" x14ac:dyDescent="0.3">
      <c r="A5318" s="1" t="s">
        <v>69</v>
      </c>
      <c r="B5318" s="7">
        <v>40766</v>
      </c>
      <c r="C5318" s="1">
        <v>11</v>
      </c>
      <c r="D5318" s="1">
        <v>34</v>
      </c>
      <c r="E5318" s="1">
        <v>2</v>
      </c>
      <c r="F5318" s="1">
        <v>90</v>
      </c>
      <c r="R5318" s="1">
        <v>1</v>
      </c>
      <c r="BE5318" s="1">
        <v>1</v>
      </c>
    </row>
    <row r="5319" spans="1:68" x14ac:dyDescent="0.3">
      <c r="A5319" s="1" t="s">
        <v>69</v>
      </c>
      <c r="B5319" s="7">
        <v>40766</v>
      </c>
      <c r="C5319" s="1">
        <v>11</v>
      </c>
      <c r="D5319" s="1">
        <v>34</v>
      </c>
      <c r="E5319" s="1">
        <v>2</v>
      </c>
      <c r="F5319" s="1">
        <v>91</v>
      </c>
      <c r="H5319" s="1">
        <v>1</v>
      </c>
    </row>
    <row r="5320" spans="1:68" x14ac:dyDescent="0.3">
      <c r="A5320" s="1" t="s">
        <v>69</v>
      </c>
      <c r="B5320" s="7">
        <v>40766</v>
      </c>
      <c r="C5320" s="1">
        <v>11</v>
      </c>
      <c r="D5320" s="1">
        <v>34</v>
      </c>
      <c r="E5320" s="1">
        <v>2</v>
      </c>
      <c r="F5320" s="1">
        <v>92</v>
      </c>
      <c r="R5320" s="3">
        <v>0</v>
      </c>
      <c r="S5320" s="3">
        <v>1</v>
      </c>
      <c r="AF5320" s="1">
        <v>1</v>
      </c>
    </row>
    <row r="5321" spans="1:68" x14ac:dyDescent="0.3">
      <c r="A5321" s="1" t="s">
        <v>69</v>
      </c>
      <c r="B5321" s="7">
        <v>40766</v>
      </c>
      <c r="C5321" s="1">
        <v>11</v>
      </c>
      <c r="D5321" s="1">
        <v>34</v>
      </c>
      <c r="E5321" s="1">
        <v>2</v>
      </c>
      <c r="F5321" s="1">
        <v>93</v>
      </c>
      <c r="V5321" s="1">
        <v>1</v>
      </c>
      <c r="AK5321" s="1">
        <v>1</v>
      </c>
      <c r="AM5321" s="1">
        <v>1</v>
      </c>
    </row>
    <row r="5322" spans="1:68" x14ac:dyDescent="0.3">
      <c r="A5322" s="1" t="s">
        <v>69</v>
      </c>
      <c r="B5322" s="7">
        <v>40766</v>
      </c>
      <c r="C5322" s="1">
        <v>11</v>
      </c>
      <c r="D5322" s="1">
        <v>34</v>
      </c>
      <c r="E5322" s="1">
        <v>2</v>
      </c>
      <c r="F5322" s="1">
        <v>94</v>
      </c>
      <c r="H5322" s="1">
        <v>1</v>
      </c>
      <c r="N5322" s="8">
        <v>1</v>
      </c>
      <c r="O5322" s="8"/>
      <c r="V5322" s="1">
        <v>1</v>
      </c>
    </row>
    <row r="5323" spans="1:68" x14ac:dyDescent="0.3">
      <c r="A5323" s="1" t="s">
        <v>69</v>
      </c>
      <c r="B5323" s="7">
        <v>40766</v>
      </c>
      <c r="C5323" s="1">
        <v>11</v>
      </c>
      <c r="D5323" s="1">
        <v>34</v>
      </c>
      <c r="E5323" s="1">
        <v>2</v>
      </c>
      <c r="F5323" s="1">
        <v>95</v>
      </c>
      <c r="L5323" s="1">
        <v>1</v>
      </c>
      <c r="N5323" s="1">
        <v>1</v>
      </c>
      <c r="AB5323" s="1">
        <v>1</v>
      </c>
    </row>
    <row r="5324" spans="1:68" x14ac:dyDescent="0.3">
      <c r="A5324" s="1" t="s">
        <v>69</v>
      </c>
      <c r="B5324" s="7">
        <v>40766</v>
      </c>
      <c r="C5324" s="1">
        <v>11</v>
      </c>
      <c r="D5324" s="1">
        <v>34</v>
      </c>
      <c r="E5324" s="1">
        <v>2</v>
      </c>
      <c r="F5324" s="1">
        <v>96</v>
      </c>
      <c r="R5324" s="3">
        <v>0</v>
      </c>
      <c r="S5324" s="3">
        <v>1</v>
      </c>
    </row>
    <row r="5325" spans="1:68" x14ac:dyDescent="0.3">
      <c r="A5325" s="1" t="s">
        <v>69</v>
      </c>
      <c r="B5325" s="7">
        <v>40766</v>
      </c>
      <c r="C5325" s="1">
        <v>11</v>
      </c>
      <c r="D5325" s="1">
        <v>34</v>
      </c>
      <c r="E5325" s="1">
        <v>2</v>
      </c>
      <c r="F5325" s="1">
        <v>97</v>
      </c>
      <c r="L5325" s="1">
        <v>1</v>
      </c>
      <c r="R5325" s="1">
        <v>1</v>
      </c>
      <c r="V5325" s="1">
        <v>1</v>
      </c>
    </row>
    <row r="5326" spans="1:68" x14ac:dyDescent="0.3">
      <c r="A5326" s="1" t="s">
        <v>69</v>
      </c>
      <c r="B5326" s="7">
        <v>40766</v>
      </c>
      <c r="C5326" s="1">
        <v>11</v>
      </c>
      <c r="D5326" s="1">
        <v>34</v>
      </c>
      <c r="E5326" s="1">
        <v>2</v>
      </c>
      <c r="F5326" s="1">
        <v>98</v>
      </c>
      <c r="H5326" s="1">
        <v>1</v>
      </c>
      <c r="V5326" s="1">
        <v>1</v>
      </c>
    </row>
    <row r="5327" spans="1:68" x14ac:dyDescent="0.3">
      <c r="A5327" s="1" t="s">
        <v>69</v>
      </c>
      <c r="B5327" s="7">
        <v>40766</v>
      </c>
      <c r="C5327" s="1">
        <v>11</v>
      </c>
      <c r="D5327" s="1">
        <v>34</v>
      </c>
      <c r="E5327" s="1">
        <v>2</v>
      </c>
      <c r="F5327" s="1">
        <v>99</v>
      </c>
      <c r="R5327" s="3">
        <v>0</v>
      </c>
      <c r="S5327" s="3">
        <v>1</v>
      </c>
      <c r="BP5327" s="1">
        <v>1</v>
      </c>
    </row>
    <row r="5328" spans="1:68" x14ac:dyDescent="0.3">
      <c r="A5328" s="1" t="s">
        <v>69</v>
      </c>
      <c r="B5328" s="7">
        <v>40766</v>
      </c>
      <c r="C5328" s="1">
        <v>11</v>
      </c>
      <c r="D5328" s="1">
        <v>34</v>
      </c>
      <c r="E5328" s="1">
        <v>2</v>
      </c>
      <c r="F5328" s="1">
        <v>100</v>
      </c>
      <c r="R5328" s="3">
        <v>0</v>
      </c>
      <c r="S5328" s="3">
        <v>1</v>
      </c>
    </row>
    <row r="5329" spans="1:90" s="12" customFormat="1" x14ac:dyDescent="0.3">
      <c r="A5329" s="14" t="s">
        <v>69</v>
      </c>
      <c r="B5329" s="13"/>
      <c r="G5329" s="12">
        <f>SUM(G5129:G5328)</f>
        <v>0</v>
      </c>
      <c r="H5329" s="12">
        <f t="shared" ref="H5329" si="2023">SUM(H5129:H5328)</f>
        <v>60</v>
      </c>
      <c r="I5329" s="12">
        <f t="shared" ref="I5329" si="2024">SUM(I5129:I5328)</f>
        <v>1</v>
      </c>
      <c r="J5329" s="12">
        <f t="shared" ref="J5329" si="2025">SUM(J5129:J5328)</f>
        <v>0</v>
      </c>
      <c r="K5329" s="12">
        <f t="shared" ref="K5329" si="2026">SUM(K5129:K5328)</f>
        <v>0</v>
      </c>
      <c r="L5329" s="12">
        <f t="shared" ref="L5329" si="2027">SUM(L5129:L5328)</f>
        <v>62</v>
      </c>
      <c r="M5329" s="12">
        <f t="shared" ref="M5329" si="2028">SUM(M5129:M5328)</f>
        <v>1</v>
      </c>
      <c r="N5329" s="12">
        <f t="shared" ref="N5329" si="2029">SUM(N5129:N5328)</f>
        <v>10</v>
      </c>
      <c r="O5329" s="12">
        <f t="shared" ref="O5329" si="2030">SUM(O5129:O5328)</f>
        <v>0</v>
      </c>
      <c r="P5329" s="12">
        <f t="shared" ref="P5329" si="2031">SUM(P5129:P5328)</f>
        <v>0</v>
      </c>
      <c r="Q5329" s="12">
        <f t="shared" ref="Q5329" si="2032">SUM(Q5129:Q5328)</f>
        <v>0</v>
      </c>
      <c r="R5329" s="12">
        <f t="shared" ref="R5329" si="2033">SUM(R5129:R5328)</f>
        <v>60</v>
      </c>
      <c r="S5329" s="12">
        <f t="shared" ref="S5329" si="2034">SUM(S5129:S5328)</f>
        <v>65</v>
      </c>
      <c r="T5329" s="12">
        <f t="shared" ref="T5329" si="2035">SUM(T5129:T5328)</f>
        <v>0</v>
      </c>
      <c r="U5329" s="12">
        <f t="shared" ref="U5329" si="2036">SUM(U5129:U5328)</f>
        <v>0</v>
      </c>
      <c r="V5329" s="12">
        <f t="shared" ref="V5329" si="2037">SUM(V5129:V5328)</f>
        <v>19</v>
      </c>
      <c r="W5329" s="12">
        <f t="shared" ref="W5329" si="2038">SUM(W5129:W5328)</f>
        <v>0</v>
      </c>
      <c r="X5329" s="12">
        <f t="shared" ref="X5329" si="2039">SUM(X5129:X5328)</f>
        <v>0</v>
      </c>
      <c r="Y5329" s="12">
        <f t="shared" ref="Y5329" si="2040">SUM(Y5129:Y5328)</f>
        <v>0</v>
      </c>
      <c r="Z5329" s="12">
        <f t="shared" ref="Z5329" si="2041">SUM(Z5129:Z5328)</f>
        <v>0</v>
      </c>
      <c r="AA5329" s="12">
        <f t="shared" ref="AA5329" si="2042">SUM(AA5129:AA5328)</f>
        <v>0</v>
      </c>
      <c r="AB5329" s="12">
        <f t="shared" ref="AB5329" si="2043">SUM(AB5129:AB5328)</f>
        <v>5</v>
      </c>
      <c r="AC5329" s="12">
        <f t="shared" ref="AC5329" si="2044">SUM(AC5129:AC5328)</f>
        <v>1</v>
      </c>
      <c r="AD5329" s="12">
        <f t="shared" ref="AD5329" si="2045">SUM(AD5129:AD5328)</f>
        <v>0</v>
      </c>
      <c r="AE5329" s="12">
        <f t="shared" ref="AE5329" si="2046">SUM(AE5129:AE5328)</f>
        <v>0</v>
      </c>
      <c r="AF5329" s="12">
        <f t="shared" ref="AF5329" si="2047">SUM(AF5129:AF5328)</f>
        <v>6</v>
      </c>
      <c r="AG5329" s="12">
        <f t="shared" ref="AG5329" si="2048">SUM(AG5129:AG5328)</f>
        <v>0</v>
      </c>
      <c r="AH5329" s="12">
        <f t="shared" ref="AH5329" si="2049">SUM(AH5129:AH5328)</f>
        <v>0</v>
      </c>
      <c r="AI5329" s="12">
        <f t="shared" ref="AI5329" si="2050">SUM(AI5129:AI5328)</f>
        <v>1</v>
      </c>
      <c r="AJ5329" s="12">
        <f t="shared" ref="AJ5329" si="2051">SUM(AJ5129:AJ5328)</f>
        <v>4</v>
      </c>
      <c r="AK5329" s="12">
        <f t="shared" ref="AK5329" si="2052">SUM(AK5129:AK5328)</f>
        <v>5</v>
      </c>
      <c r="AL5329" s="12">
        <f t="shared" ref="AL5329" si="2053">SUM(AL5129:AL5328)</f>
        <v>0</v>
      </c>
      <c r="AM5329" s="12">
        <f t="shared" ref="AM5329" si="2054">SUM(AM5129:AM5328)</f>
        <v>11</v>
      </c>
      <c r="AN5329" s="12">
        <f t="shared" ref="AN5329" si="2055">SUM(AN5129:AN5328)</f>
        <v>0</v>
      </c>
      <c r="AO5329" s="12">
        <f t="shared" ref="AO5329" si="2056">SUM(AO5129:AO5328)</f>
        <v>0</v>
      </c>
      <c r="AP5329" s="12">
        <f t="shared" ref="AP5329" si="2057">SUM(AP5129:AP5328)</f>
        <v>0</v>
      </c>
      <c r="AQ5329" s="12">
        <f t="shared" ref="AQ5329" si="2058">SUM(AQ5129:AQ5328)</f>
        <v>0</v>
      </c>
      <c r="AR5329" s="12">
        <f t="shared" ref="AR5329" si="2059">SUM(AR5129:AR5328)</f>
        <v>0</v>
      </c>
      <c r="AS5329" s="12">
        <f t="shared" ref="AS5329" si="2060">SUM(AS5129:AS5328)</f>
        <v>4</v>
      </c>
      <c r="AT5329" s="12">
        <f t="shared" ref="AT5329" si="2061">SUM(AT5129:AT5328)</f>
        <v>5</v>
      </c>
      <c r="AU5329" s="12">
        <f t="shared" ref="AU5329" si="2062">SUM(AU5129:AU5328)</f>
        <v>0</v>
      </c>
      <c r="AV5329" s="12">
        <f t="shared" ref="AV5329" si="2063">SUM(AV5129:AV5328)</f>
        <v>0</v>
      </c>
      <c r="AW5329" s="12">
        <f t="shared" ref="AW5329" si="2064">SUM(AW5129:AW5328)</f>
        <v>0</v>
      </c>
      <c r="AX5329" s="12">
        <f t="shared" ref="AX5329" si="2065">SUM(AX5129:AX5328)</f>
        <v>0</v>
      </c>
      <c r="AY5329" s="12">
        <f t="shared" ref="AY5329" si="2066">SUM(AY5129:AY5328)</f>
        <v>0</v>
      </c>
      <c r="AZ5329" s="12">
        <f t="shared" ref="AZ5329" si="2067">SUM(AZ5129:AZ5328)</f>
        <v>0</v>
      </c>
      <c r="BA5329" s="12">
        <f t="shared" ref="BA5329" si="2068">SUM(BA5129:BA5328)</f>
        <v>0</v>
      </c>
      <c r="BB5329" s="12">
        <f t="shared" ref="BB5329" si="2069">SUM(BB5129:BB5328)</f>
        <v>3</v>
      </c>
      <c r="BC5329" s="12">
        <f t="shared" ref="BC5329" si="2070">SUM(BC5129:BC5328)</f>
        <v>1</v>
      </c>
      <c r="BD5329" s="12">
        <f t="shared" ref="BD5329" si="2071">SUM(BD5129:BD5328)</f>
        <v>0</v>
      </c>
      <c r="BE5329" s="12">
        <f t="shared" ref="BE5329" si="2072">SUM(BE5129:BE5328)</f>
        <v>9</v>
      </c>
      <c r="BF5329" s="12">
        <f t="shared" ref="BF5329" si="2073">SUM(BF5129:BF5328)</f>
        <v>0</v>
      </c>
      <c r="BG5329" s="12">
        <f t="shared" ref="BG5329" si="2074">SUM(BG5129:BG5328)</f>
        <v>0</v>
      </c>
      <c r="BH5329" s="12">
        <f t="shared" ref="BH5329" si="2075">SUM(BH5129:BH5328)</f>
        <v>1</v>
      </c>
      <c r="BI5329" s="12">
        <f t="shared" ref="BI5329" si="2076">SUM(BI5129:BI5328)</f>
        <v>0</v>
      </c>
      <c r="BJ5329" s="12">
        <f t="shared" ref="BJ5329" si="2077">SUM(BJ5129:BJ5328)</f>
        <v>0</v>
      </c>
      <c r="BK5329" s="12">
        <f t="shared" ref="BK5329" si="2078">SUM(BK5129:BK5328)</f>
        <v>0</v>
      </c>
      <c r="BL5329" s="12">
        <f t="shared" ref="BL5329" si="2079">SUM(BL5129:BL5328)</f>
        <v>1</v>
      </c>
      <c r="BM5329" s="12">
        <f t="shared" ref="BM5329" si="2080">SUM(BM5129:BM5328)</f>
        <v>0</v>
      </c>
      <c r="BN5329" s="12">
        <f t="shared" ref="BN5329" si="2081">SUM(BN5129:BN5328)</f>
        <v>0</v>
      </c>
      <c r="BO5329" s="12">
        <f t="shared" ref="BO5329" si="2082">SUM(BO5129:BO5328)</f>
        <v>0</v>
      </c>
      <c r="BP5329" s="12">
        <f t="shared" ref="BP5329" si="2083">SUM(BP5129:BP5328)</f>
        <v>19</v>
      </c>
      <c r="BQ5329" s="12">
        <f t="shared" ref="BQ5329" si="2084">SUM(BQ5129:BQ5328)</f>
        <v>2</v>
      </c>
      <c r="BR5329" s="12">
        <f t="shared" ref="BR5329" si="2085">SUM(BR5129:BR5328)</f>
        <v>7</v>
      </c>
      <c r="BS5329" s="12">
        <f t="shared" ref="BS5329" si="2086">SUM(BS5129:BS5328)</f>
        <v>0</v>
      </c>
      <c r="BT5329" s="12">
        <f t="shared" ref="BT5329" si="2087">SUM(BT5129:BT5328)</f>
        <v>0</v>
      </c>
      <c r="BU5329" s="12">
        <f t="shared" ref="BU5329" si="2088">SUM(BU5129:BU5328)</f>
        <v>1</v>
      </c>
      <c r="BV5329" s="12">
        <f t="shared" ref="BV5329" si="2089">SUM(BV5129:BV5328)</f>
        <v>0</v>
      </c>
      <c r="BW5329" s="12">
        <f t="shared" ref="BW5329" si="2090">SUM(BW5129:BW5328)</f>
        <v>0</v>
      </c>
      <c r="BX5329" s="12">
        <f t="shared" ref="BX5329" si="2091">SUM(BX5129:BX5328)</f>
        <v>0</v>
      </c>
      <c r="BY5329" s="12">
        <f t="shared" ref="BY5329" si="2092">SUM(BY5129:BY5328)</f>
        <v>0</v>
      </c>
      <c r="BZ5329" s="12">
        <f t="shared" ref="BZ5329" si="2093">SUM(BZ5129:BZ5328)</f>
        <v>0</v>
      </c>
      <c r="CA5329" s="12">
        <f t="shared" ref="CA5329" si="2094">SUM(CA5129:CA5328)</f>
        <v>1</v>
      </c>
      <c r="CB5329" s="12">
        <f t="shared" ref="CB5329" si="2095">SUM(CB5129:CB5328)</f>
        <v>1</v>
      </c>
      <c r="CC5329" s="12">
        <f t="shared" ref="CC5329" si="2096">SUM(CC5129:CC5328)</f>
        <v>1</v>
      </c>
      <c r="CD5329" s="12">
        <f t="shared" ref="CD5329" si="2097">SUM(CD5129:CD5328)</f>
        <v>1</v>
      </c>
      <c r="CE5329" s="12">
        <f t="shared" ref="CE5329" si="2098">SUM(CE5129:CE5328)</f>
        <v>0</v>
      </c>
      <c r="CF5329" s="12">
        <f t="shared" ref="CF5329" si="2099">SUM(CF5129:CF5328)</f>
        <v>0</v>
      </c>
      <c r="CG5329" s="12">
        <f t="shared" ref="CG5329" si="2100">SUM(CG5129:CG5328)</f>
        <v>0</v>
      </c>
      <c r="CH5329" s="12">
        <f t="shared" ref="CH5329" si="2101">SUM(CH5129:CH5328)</f>
        <v>0</v>
      </c>
      <c r="CI5329" s="12">
        <f t="shared" ref="CI5329" si="2102">SUM(CI5129:CI5328)</f>
        <v>0</v>
      </c>
      <c r="CJ5329" s="12">
        <f t="shared" ref="CJ5329" si="2103">SUM(CJ5129:CJ5328)</f>
        <v>0</v>
      </c>
      <c r="CK5329" s="12">
        <f t="shared" ref="CK5329" si="2104">SUM(CK5129:CK5328)</f>
        <v>0</v>
      </c>
      <c r="CL5329" s="12">
        <f t="shared" ref="CL5329" si="2105">SUM(CL5129:CL5328)</f>
        <v>0</v>
      </c>
    </row>
    <row r="5330" spans="1:90" x14ac:dyDescent="0.3">
      <c r="A5330" s="1" t="s">
        <v>70</v>
      </c>
      <c r="B5330" s="7">
        <v>40766</v>
      </c>
      <c r="C5330" s="1">
        <v>9</v>
      </c>
      <c r="D5330" s="1">
        <v>139</v>
      </c>
      <c r="E5330" s="1">
        <v>4</v>
      </c>
      <c r="F5330" s="1">
        <v>1</v>
      </c>
      <c r="L5330" s="1">
        <v>1</v>
      </c>
    </row>
    <row r="5331" spans="1:90" x14ac:dyDescent="0.3">
      <c r="A5331" s="1" t="s">
        <v>70</v>
      </c>
      <c r="B5331" s="7">
        <v>40766</v>
      </c>
      <c r="C5331" s="1">
        <v>9</v>
      </c>
      <c r="D5331" s="1">
        <v>139</v>
      </c>
      <c r="E5331" s="1">
        <v>4</v>
      </c>
      <c r="F5331" s="1">
        <v>2</v>
      </c>
      <c r="P5331" s="3">
        <v>0</v>
      </c>
      <c r="Q5331" s="3">
        <v>1</v>
      </c>
    </row>
    <row r="5332" spans="1:90" x14ac:dyDescent="0.3">
      <c r="A5332" s="1" t="s">
        <v>70</v>
      </c>
      <c r="B5332" s="7">
        <v>40766</v>
      </c>
      <c r="C5332" s="1">
        <v>9</v>
      </c>
      <c r="D5332" s="1">
        <v>139</v>
      </c>
      <c r="E5332" s="1">
        <v>4</v>
      </c>
      <c r="F5332" s="1">
        <v>3</v>
      </c>
      <c r="P5332" s="3">
        <v>0</v>
      </c>
      <c r="Q5332" s="3">
        <v>1</v>
      </c>
      <c r="R5332" s="1">
        <v>1</v>
      </c>
    </row>
    <row r="5333" spans="1:90" x14ac:dyDescent="0.3">
      <c r="A5333" s="1" t="s">
        <v>70</v>
      </c>
      <c r="B5333" s="7">
        <v>40766</v>
      </c>
      <c r="C5333" s="1">
        <v>9</v>
      </c>
      <c r="D5333" s="1">
        <v>139</v>
      </c>
      <c r="E5333" s="1">
        <v>4</v>
      </c>
      <c r="F5333" s="1">
        <v>4</v>
      </c>
      <c r="L5333" s="8">
        <v>1</v>
      </c>
      <c r="M5333" s="8"/>
    </row>
    <row r="5334" spans="1:90" x14ac:dyDescent="0.3">
      <c r="A5334" s="1" t="s">
        <v>70</v>
      </c>
      <c r="B5334" s="7">
        <v>40766</v>
      </c>
      <c r="C5334" s="1">
        <v>9</v>
      </c>
      <c r="D5334" s="1">
        <v>139</v>
      </c>
      <c r="E5334" s="1">
        <v>4</v>
      </c>
      <c r="F5334" s="1">
        <v>5</v>
      </c>
      <c r="I5334" s="1">
        <v>1</v>
      </c>
    </row>
    <row r="5335" spans="1:90" x14ac:dyDescent="0.3">
      <c r="A5335" s="1" t="s">
        <v>70</v>
      </c>
      <c r="B5335" s="7">
        <v>40766</v>
      </c>
      <c r="C5335" s="1">
        <v>9</v>
      </c>
      <c r="D5335" s="1">
        <v>139</v>
      </c>
      <c r="E5335" s="1">
        <v>4</v>
      </c>
      <c r="F5335" s="1">
        <v>6</v>
      </c>
      <c r="P5335" s="1">
        <v>1</v>
      </c>
    </row>
    <row r="5336" spans="1:90" x14ac:dyDescent="0.3">
      <c r="A5336" s="1" t="s">
        <v>70</v>
      </c>
      <c r="B5336" s="7">
        <v>40766</v>
      </c>
      <c r="C5336" s="1">
        <v>9</v>
      </c>
      <c r="D5336" s="1">
        <v>139</v>
      </c>
      <c r="E5336" s="1">
        <v>4</v>
      </c>
      <c r="F5336" s="1">
        <v>7</v>
      </c>
      <c r="P5336" s="3">
        <v>0</v>
      </c>
      <c r="Q5336" s="3">
        <v>1</v>
      </c>
    </row>
    <row r="5337" spans="1:90" x14ac:dyDescent="0.3">
      <c r="A5337" s="1" t="s">
        <v>70</v>
      </c>
      <c r="B5337" s="7">
        <v>40766</v>
      </c>
      <c r="C5337" s="1">
        <v>9</v>
      </c>
      <c r="D5337" s="1">
        <v>139</v>
      </c>
      <c r="E5337" s="1">
        <v>4</v>
      </c>
      <c r="F5337" s="1">
        <v>8</v>
      </c>
      <c r="P5337" s="3">
        <v>0</v>
      </c>
      <c r="Q5337" s="3">
        <v>1</v>
      </c>
      <c r="R5337" s="1">
        <v>1</v>
      </c>
    </row>
    <row r="5338" spans="1:90" x14ac:dyDescent="0.3">
      <c r="A5338" s="1" t="s">
        <v>70</v>
      </c>
      <c r="B5338" s="7">
        <v>40766</v>
      </c>
      <c r="C5338" s="1">
        <v>9</v>
      </c>
      <c r="D5338" s="1">
        <v>139</v>
      </c>
      <c r="E5338" s="1">
        <v>4</v>
      </c>
      <c r="F5338" s="1">
        <v>9</v>
      </c>
      <c r="R5338" s="1">
        <v>1</v>
      </c>
    </row>
    <row r="5339" spans="1:90" x14ac:dyDescent="0.3">
      <c r="A5339" s="1" t="s">
        <v>70</v>
      </c>
      <c r="B5339" s="7">
        <v>40766</v>
      </c>
      <c r="C5339" s="1">
        <v>9</v>
      </c>
      <c r="D5339" s="1">
        <v>139</v>
      </c>
      <c r="E5339" s="1">
        <v>4</v>
      </c>
      <c r="F5339" s="1">
        <v>10</v>
      </c>
      <c r="L5339" s="1">
        <v>1</v>
      </c>
    </row>
    <row r="5340" spans="1:90" x14ac:dyDescent="0.3">
      <c r="A5340" s="1" t="s">
        <v>70</v>
      </c>
      <c r="B5340" s="7">
        <v>40766</v>
      </c>
      <c r="C5340" s="1">
        <v>9</v>
      </c>
      <c r="D5340" s="1">
        <v>139</v>
      </c>
      <c r="E5340" s="1">
        <v>4</v>
      </c>
      <c r="F5340" s="1">
        <v>11</v>
      </c>
      <c r="R5340" s="1">
        <v>1</v>
      </c>
    </row>
    <row r="5341" spans="1:90" x14ac:dyDescent="0.3">
      <c r="A5341" s="1" t="s">
        <v>70</v>
      </c>
      <c r="B5341" s="7">
        <v>40766</v>
      </c>
      <c r="C5341" s="1">
        <v>9</v>
      </c>
      <c r="D5341" s="1">
        <v>139</v>
      </c>
      <c r="E5341" s="1">
        <v>4</v>
      </c>
      <c r="F5341" s="1">
        <v>12</v>
      </c>
      <c r="R5341" s="1">
        <v>1</v>
      </c>
    </row>
    <row r="5342" spans="1:90" x14ac:dyDescent="0.3">
      <c r="A5342" s="1" t="s">
        <v>70</v>
      </c>
      <c r="B5342" s="7">
        <v>40766</v>
      </c>
      <c r="C5342" s="1">
        <v>9</v>
      </c>
      <c r="D5342" s="1">
        <v>139</v>
      </c>
      <c r="E5342" s="1">
        <v>4</v>
      </c>
      <c r="F5342" s="1">
        <v>13</v>
      </c>
      <c r="P5342" s="1">
        <v>1</v>
      </c>
    </row>
    <row r="5343" spans="1:90" x14ac:dyDescent="0.3">
      <c r="A5343" s="1" t="s">
        <v>70</v>
      </c>
      <c r="B5343" s="7">
        <v>40766</v>
      </c>
      <c r="C5343" s="1">
        <v>9</v>
      </c>
      <c r="D5343" s="1">
        <v>139</v>
      </c>
      <c r="E5343" s="1">
        <v>4</v>
      </c>
      <c r="F5343" s="1">
        <v>14</v>
      </c>
      <c r="P5343" s="3">
        <v>0</v>
      </c>
      <c r="Q5343" s="3">
        <v>1</v>
      </c>
      <c r="R5343" s="1">
        <v>1</v>
      </c>
    </row>
    <row r="5344" spans="1:90" x14ac:dyDescent="0.3">
      <c r="A5344" s="1" t="s">
        <v>70</v>
      </c>
      <c r="B5344" s="7">
        <v>40766</v>
      </c>
      <c r="C5344" s="1">
        <v>9</v>
      </c>
      <c r="D5344" s="1">
        <v>139</v>
      </c>
      <c r="E5344" s="1">
        <v>4</v>
      </c>
      <c r="F5344" s="1">
        <v>15</v>
      </c>
      <c r="H5344" s="1">
        <v>1</v>
      </c>
      <c r="R5344" s="1">
        <v>1</v>
      </c>
    </row>
    <row r="5345" spans="1:19" x14ac:dyDescent="0.3">
      <c r="A5345" s="1" t="s">
        <v>70</v>
      </c>
      <c r="B5345" s="7">
        <v>40766</v>
      </c>
      <c r="C5345" s="1">
        <v>9</v>
      </c>
      <c r="D5345" s="1">
        <v>139</v>
      </c>
      <c r="E5345" s="1">
        <v>4</v>
      </c>
      <c r="F5345" s="1">
        <v>16</v>
      </c>
      <c r="I5345" s="1">
        <v>1</v>
      </c>
      <c r="L5345" s="1">
        <v>1</v>
      </c>
    </row>
    <row r="5346" spans="1:19" x14ac:dyDescent="0.3">
      <c r="A5346" s="1" t="s">
        <v>70</v>
      </c>
      <c r="B5346" s="7">
        <v>40766</v>
      </c>
      <c r="C5346" s="1">
        <v>9</v>
      </c>
      <c r="D5346" s="1">
        <v>139</v>
      </c>
      <c r="E5346" s="1">
        <v>4</v>
      </c>
      <c r="F5346" s="1">
        <v>17</v>
      </c>
      <c r="L5346" s="1">
        <v>1</v>
      </c>
    </row>
    <row r="5347" spans="1:19" x14ac:dyDescent="0.3">
      <c r="A5347" s="1" t="s">
        <v>70</v>
      </c>
      <c r="B5347" s="7">
        <v>40766</v>
      </c>
      <c r="C5347" s="1">
        <v>9</v>
      </c>
      <c r="D5347" s="1">
        <v>139</v>
      </c>
      <c r="E5347" s="1">
        <v>4</v>
      </c>
      <c r="F5347" s="1">
        <v>18</v>
      </c>
      <c r="L5347" s="1">
        <v>1</v>
      </c>
      <c r="R5347" s="1">
        <v>1</v>
      </c>
    </row>
    <row r="5348" spans="1:19" x14ac:dyDescent="0.3">
      <c r="A5348" s="1" t="s">
        <v>70</v>
      </c>
      <c r="B5348" s="7">
        <v>40766</v>
      </c>
      <c r="C5348" s="1">
        <v>9</v>
      </c>
      <c r="D5348" s="1">
        <v>139</v>
      </c>
      <c r="E5348" s="1">
        <v>4</v>
      </c>
      <c r="F5348" s="1">
        <v>19</v>
      </c>
      <c r="L5348" s="1">
        <v>1</v>
      </c>
    </row>
    <row r="5349" spans="1:19" x14ac:dyDescent="0.3">
      <c r="A5349" s="1" t="s">
        <v>70</v>
      </c>
      <c r="B5349" s="7">
        <v>40766</v>
      </c>
      <c r="C5349" s="1">
        <v>9</v>
      </c>
      <c r="D5349" s="1">
        <v>139</v>
      </c>
      <c r="E5349" s="1">
        <v>4</v>
      </c>
      <c r="F5349" s="1">
        <v>20</v>
      </c>
      <c r="L5349" s="3">
        <v>0</v>
      </c>
      <c r="M5349" s="3">
        <v>1</v>
      </c>
    </row>
    <row r="5350" spans="1:19" x14ac:dyDescent="0.3">
      <c r="A5350" s="1" t="s">
        <v>70</v>
      </c>
      <c r="B5350" s="7">
        <v>40766</v>
      </c>
      <c r="C5350" s="1">
        <v>9</v>
      </c>
      <c r="D5350" s="1">
        <v>139</v>
      </c>
      <c r="E5350" s="1">
        <v>4</v>
      </c>
      <c r="F5350" s="1">
        <v>21</v>
      </c>
      <c r="R5350" s="1">
        <v>1</v>
      </c>
    </row>
    <row r="5351" spans="1:19" x14ac:dyDescent="0.3">
      <c r="A5351" s="1" t="s">
        <v>70</v>
      </c>
      <c r="B5351" s="7">
        <v>40766</v>
      </c>
      <c r="C5351" s="1">
        <v>9</v>
      </c>
      <c r="D5351" s="1">
        <v>139</v>
      </c>
      <c r="E5351" s="1">
        <v>4</v>
      </c>
      <c r="F5351" s="1">
        <v>22</v>
      </c>
      <c r="R5351" s="1">
        <v>1</v>
      </c>
    </row>
    <row r="5352" spans="1:19" x14ac:dyDescent="0.3">
      <c r="A5352" s="1" t="s">
        <v>70</v>
      </c>
      <c r="B5352" s="7">
        <v>40766</v>
      </c>
      <c r="C5352" s="1">
        <v>9</v>
      </c>
      <c r="D5352" s="1">
        <v>139</v>
      </c>
      <c r="E5352" s="1">
        <v>4</v>
      </c>
      <c r="F5352" s="1">
        <v>23</v>
      </c>
      <c r="H5352" s="1">
        <v>1</v>
      </c>
      <c r="I5352" s="1">
        <v>1</v>
      </c>
    </row>
    <row r="5353" spans="1:19" x14ac:dyDescent="0.3">
      <c r="A5353" s="1" t="s">
        <v>70</v>
      </c>
      <c r="B5353" s="7">
        <v>40766</v>
      </c>
      <c r="C5353" s="1">
        <v>9</v>
      </c>
      <c r="D5353" s="1">
        <v>139</v>
      </c>
      <c r="E5353" s="1">
        <v>4</v>
      </c>
      <c r="F5353" s="1">
        <v>24</v>
      </c>
      <c r="R5353" s="3">
        <v>0</v>
      </c>
      <c r="S5353" s="3">
        <v>1</v>
      </c>
    </row>
    <row r="5354" spans="1:19" x14ac:dyDescent="0.3">
      <c r="A5354" s="1" t="s">
        <v>70</v>
      </c>
      <c r="B5354" s="7">
        <v>40766</v>
      </c>
      <c r="C5354" s="1">
        <v>9</v>
      </c>
      <c r="D5354" s="1">
        <v>139</v>
      </c>
      <c r="E5354" s="1">
        <v>4</v>
      </c>
      <c r="F5354" s="1">
        <v>25</v>
      </c>
      <c r="H5354" s="1">
        <v>1</v>
      </c>
    </row>
    <row r="5355" spans="1:19" x14ac:dyDescent="0.3">
      <c r="A5355" s="1" t="s">
        <v>70</v>
      </c>
      <c r="B5355" s="7">
        <v>40766</v>
      </c>
      <c r="C5355" s="1">
        <v>9</v>
      </c>
      <c r="D5355" s="1">
        <v>139</v>
      </c>
      <c r="E5355" s="1">
        <v>4</v>
      </c>
      <c r="F5355" s="1">
        <v>26</v>
      </c>
      <c r="L5355" s="1">
        <v>1</v>
      </c>
    </row>
    <row r="5356" spans="1:19" x14ac:dyDescent="0.3">
      <c r="A5356" s="1" t="s">
        <v>70</v>
      </c>
      <c r="B5356" s="7">
        <v>40766</v>
      </c>
      <c r="C5356" s="1">
        <v>9</v>
      </c>
      <c r="D5356" s="1">
        <v>139</v>
      </c>
      <c r="E5356" s="1">
        <v>4</v>
      </c>
      <c r="F5356" s="1">
        <v>27</v>
      </c>
      <c r="L5356" s="1">
        <v>1</v>
      </c>
      <c r="R5356" s="1">
        <v>1</v>
      </c>
    </row>
    <row r="5357" spans="1:19" x14ac:dyDescent="0.3">
      <c r="A5357" s="1" t="s">
        <v>70</v>
      </c>
      <c r="B5357" s="7">
        <v>40766</v>
      </c>
      <c r="C5357" s="1">
        <v>9</v>
      </c>
      <c r="D5357" s="1">
        <v>139</v>
      </c>
      <c r="E5357" s="1">
        <v>4</v>
      </c>
      <c r="F5357" s="1">
        <v>28</v>
      </c>
      <c r="R5357" s="1">
        <v>1</v>
      </c>
    </row>
    <row r="5358" spans="1:19" x14ac:dyDescent="0.3">
      <c r="A5358" s="1" t="s">
        <v>70</v>
      </c>
      <c r="B5358" s="7">
        <v>40766</v>
      </c>
      <c r="C5358" s="1">
        <v>9</v>
      </c>
      <c r="D5358" s="1">
        <v>139</v>
      </c>
      <c r="E5358" s="1">
        <v>4</v>
      </c>
      <c r="F5358" s="1">
        <v>29</v>
      </c>
      <c r="L5358" s="1">
        <v>1</v>
      </c>
    </row>
    <row r="5359" spans="1:19" x14ac:dyDescent="0.3">
      <c r="A5359" s="1" t="s">
        <v>70</v>
      </c>
      <c r="B5359" s="7">
        <v>40766</v>
      </c>
      <c r="C5359" s="1">
        <v>9</v>
      </c>
      <c r="D5359" s="1">
        <v>139</v>
      </c>
      <c r="E5359" s="1">
        <v>4</v>
      </c>
      <c r="F5359" s="1">
        <v>30</v>
      </c>
      <c r="L5359" s="1">
        <v>1</v>
      </c>
      <c r="R5359" s="1">
        <v>1</v>
      </c>
    </row>
    <row r="5360" spans="1:19" x14ac:dyDescent="0.3">
      <c r="A5360" s="1" t="s">
        <v>70</v>
      </c>
      <c r="B5360" s="7">
        <v>40766</v>
      </c>
      <c r="C5360" s="1">
        <v>9</v>
      </c>
      <c r="D5360" s="1">
        <v>139</v>
      </c>
      <c r="E5360" s="1">
        <v>4</v>
      </c>
      <c r="F5360" s="1">
        <v>31</v>
      </c>
      <c r="L5360" s="1">
        <v>1</v>
      </c>
    </row>
    <row r="5361" spans="1:45" x14ac:dyDescent="0.3">
      <c r="A5361" s="1" t="s">
        <v>70</v>
      </c>
      <c r="B5361" s="7">
        <v>40766</v>
      </c>
      <c r="C5361" s="1">
        <v>9</v>
      </c>
      <c r="D5361" s="1">
        <v>139</v>
      </c>
      <c r="E5361" s="1">
        <v>4</v>
      </c>
      <c r="F5361" s="1">
        <v>32</v>
      </c>
      <c r="R5361" s="1">
        <v>1</v>
      </c>
    </row>
    <row r="5362" spans="1:45" x14ac:dyDescent="0.3">
      <c r="A5362" s="1" t="s">
        <v>70</v>
      </c>
      <c r="B5362" s="7">
        <v>40766</v>
      </c>
      <c r="C5362" s="1">
        <v>9</v>
      </c>
      <c r="D5362" s="1">
        <v>139</v>
      </c>
      <c r="E5362" s="1">
        <v>4</v>
      </c>
      <c r="F5362" s="1">
        <v>33</v>
      </c>
      <c r="H5362" s="1">
        <v>1</v>
      </c>
    </row>
    <row r="5363" spans="1:45" x14ac:dyDescent="0.3">
      <c r="A5363" s="1" t="s">
        <v>70</v>
      </c>
      <c r="B5363" s="7">
        <v>40766</v>
      </c>
      <c r="C5363" s="1">
        <v>9</v>
      </c>
      <c r="D5363" s="1">
        <v>139</v>
      </c>
      <c r="E5363" s="1">
        <v>4</v>
      </c>
      <c r="F5363" s="1">
        <v>34</v>
      </c>
      <c r="L5363" s="1">
        <v>1</v>
      </c>
      <c r="R5363" s="1">
        <v>1</v>
      </c>
    </row>
    <row r="5364" spans="1:45" x14ac:dyDescent="0.3">
      <c r="A5364" s="1" t="s">
        <v>70</v>
      </c>
      <c r="B5364" s="7">
        <v>40766</v>
      </c>
      <c r="C5364" s="1">
        <v>9</v>
      </c>
      <c r="D5364" s="1">
        <v>139</v>
      </c>
      <c r="E5364" s="1">
        <v>4</v>
      </c>
      <c r="F5364" s="1">
        <v>35</v>
      </c>
      <c r="AS5364" s="1">
        <v>1</v>
      </c>
    </row>
    <row r="5365" spans="1:45" x14ac:dyDescent="0.3">
      <c r="A5365" s="1" t="s">
        <v>70</v>
      </c>
      <c r="B5365" s="7">
        <v>40766</v>
      </c>
      <c r="C5365" s="1">
        <v>9</v>
      </c>
      <c r="D5365" s="1">
        <v>139</v>
      </c>
      <c r="E5365" s="1">
        <v>4</v>
      </c>
      <c r="F5365" s="1">
        <v>36</v>
      </c>
      <c r="L5365" s="1">
        <v>1</v>
      </c>
    </row>
    <row r="5366" spans="1:45" x14ac:dyDescent="0.3">
      <c r="A5366" s="1" t="s">
        <v>70</v>
      </c>
      <c r="B5366" s="7">
        <v>40766</v>
      </c>
      <c r="C5366" s="1">
        <v>9</v>
      </c>
      <c r="D5366" s="1">
        <v>139</v>
      </c>
      <c r="E5366" s="1">
        <v>4</v>
      </c>
      <c r="F5366" s="1">
        <v>37</v>
      </c>
      <c r="L5366" s="1">
        <v>1</v>
      </c>
    </row>
    <row r="5367" spans="1:45" x14ac:dyDescent="0.3">
      <c r="A5367" s="1" t="s">
        <v>70</v>
      </c>
      <c r="B5367" s="7">
        <v>40766</v>
      </c>
      <c r="C5367" s="1">
        <v>9</v>
      </c>
      <c r="D5367" s="1">
        <v>139</v>
      </c>
      <c r="E5367" s="1">
        <v>4</v>
      </c>
      <c r="F5367" s="1">
        <v>38</v>
      </c>
      <c r="L5367" s="1">
        <v>1</v>
      </c>
    </row>
    <row r="5368" spans="1:45" x14ac:dyDescent="0.3">
      <c r="A5368" s="1" t="s">
        <v>70</v>
      </c>
      <c r="B5368" s="7">
        <v>40766</v>
      </c>
      <c r="C5368" s="1">
        <v>9</v>
      </c>
      <c r="D5368" s="1">
        <v>139</v>
      </c>
      <c r="E5368" s="1">
        <v>4</v>
      </c>
      <c r="F5368" s="1">
        <v>39</v>
      </c>
      <c r="L5368" s="1">
        <v>1</v>
      </c>
    </row>
    <row r="5369" spans="1:45" x14ac:dyDescent="0.3">
      <c r="A5369" s="1" t="s">
        <v>70</v>
      </c>
      <c r="B5369" s="7">
        <v>40766</v>
      </c>
      <c r="C5369" s="1">
        <v>9</v>
      </c>
      <c r="D5369" s="1">
        <v>139</v>
      </c>
      <c r="E5369" s="1">
        <v>4</v>
      </c>
      <c r="F5369" s="1">
        <v>40</v>
      </c>
      <c r="L5369" s="1">
        <v>1</v>
      </c>
      <c r="R5369" s="1">
        <v>1</v>
      </c>
    </row>
    <row r="5370" spans="1:45" x14ac:dyDescent="0.3">
      <c r="A5370" s="1" t="s">
        <v>70</v>
      </c>
      <c r="B5370" s="7">
        <v>40766</v>
      </c>
      <c r="C5370" s="1">
        <v>9</v>
      </c>
      <c r="D5370" s="1">
        <v>139</v>
      </c>
      <c r="E5370" s="1">
        <v>4</v>
      </c>
      <c r="F5370" s="1">
        <v>41</v>
      </c>
      <c r="L5370" s="1">
        <v>1</v>
      </c>
    </row>
    <row r="5371" spans="1:45" x14ac:dyDescent="0.3">
      <c r="A5371" s="1" t="s">
        <v>70</v>
      </c>
      <c r="B5371" s="7">
        <v>40766</v>
      </c>
      <c r="C5371" s="1">
        <v>9</v>
      </c>
      <c r="D5371" s="1">
        <v>139</v>
      </c>
      <c r="E5371" s="1">
        <v>4</v>
      </c>
      <c r="F5371" s="1">
        <v>42</v>
      </c>
      <c r="L5371" s="1">
        <v>1</v>
      </c>
      <c r="R5371" s="1">
        <v>1</v>
      </c>
    </row>
    <row r="5372" spans="1:45" x14ac:dyDescent="0.3">
      <c r="A5372" s="1" t="s">
        <v>70</v>
      </c>
      <c r="B5372" s="7">
        <v>40766</v>
      </c>
      <c r="C5372" s="1">
        <v>9</v>
      </c>
      <c r="D5372" s="1">
        <v>139</v>
      </c>
      <c r="E5372" s="1">
        <v>4</v>
      </c>
      <c r="F5372" s="1">
        <v>43</v>
      </c>
      <c r="R5372" s="1">
        <v>1</v>
      </c>
    </row>
    <row r="5373" spans="1:45" x14ac:dyDescent="0.3">
      <c r="A5373" s="1" t="s">
        <v>70</v>
      </c>
      <c r="B5373" s="7">
        <v>40766</v>
      </c>
      <c r="C5373" s="1">
        <v>9</v>
      </c>
      <c r="D5373" s="1">
        <v>139</v>
      </c>
      <c r="E5373" s="1">
        <v>4</v>
      </c>
      <c r="F5373" s="1">
        <v>44</v>
      </c>
      <c r="L5373" s="1">
        <v>1</v>
      </c>
    </row>
    <row r="5374" spans="1:45" x14ac:dyDescent="0.3">
      <c r="A5374" s="1" t="s">
        <v>70</v>
      </c>
      <c r="B5374" s="7">
        <v>40766</v>
      </c>
      <c r="C5374" s="1">
        <v>9</v>
      </c>
      <c r="D5374" s="1">
        <v>139</v>
      </c>
      <c r="E5374" s="1">
        <v>4</v>
      </c>
      <c r="F5374" s="1">
        <v>45</v>
      </c>
      <c r="R5374" s="3">
        <v>0</v>
      </c>
      <c r="S5374" s="3">
        <v>1</v>
      </c>
    </row>
    <row r="5375" spans="1:45" x14ac:dyDescent="0.3">
      <c r="A5375" s="1" t="s">
        <v>70</v>
      </c>
      <c r="B5375" s="7">
        <v>40766</v>
      </c>
      <c r="C5375" s="1">
        <v>9</v>
      </c>
      <c r="D5375" s="1">
        <v>139</v>
      </c>
      <c r="E5375" s="1">
        <v>4</v>
      </c>
      <c r="F5375" s="1">
        <v>46</v>
      </c>
      <c r="L5375" s="1">
        <v>1</v>
      </c>
    </row>
    <row r="5376" spans="1:45" x14ac:dyDescent="0.3">
      <c r="A5376" s="1" t="s">
        <v>70</v>
      </c>
      <c r="B5376" s="7">
        <v>40766</v>
      </c>
      <c r="C5376" s="1">
        <v>9</v>
      </c>
      <c r="D5376" s="1">
        <v>139</v>
      </c>
      <c r="E5376" s="1">
        <v>4</v>
      </c>
      <c r="F5376" s="1">
        <v>47</v>
      </c>
      <c r="L5376" s="1">
        <v>1</v>
      </c>
    </row>
    <row r="5377" spans="1:19" x14ac:dyDescent="0.3">
      <c r="A5377" s="1" t="s">
        <v>70</v>
      </c>
      <c r="B5377" s="7">
        <v>40766</v>
      </c>
      <c r="C5377" s="1">
        <v>9</v>
      </c>
      <c r="D5377" s="1">
        <v>139</v>
      </c>
      <c r="E5377" s="1">
        <v>4</v>
      </c>
      <c r="F5377" s="1">
        <v>48</v>
      </c>
      <c r="L5377" s="1">
        <v>1</v>
      </c>
    </row>
    <row r="5378" spans="1:19" x14ac:dyDescent="0.3">
      <c r="A5378" s="1" t="s">
        <v>70</v>
      </c>
      <c r="B5378" s="7">
        <v>40766</v>
      </c>
      <c r="C5378" s="1">
        <v>9</v>
      </c>
      <c r="D5378" s="1">
        <v>139</v>
      </c>
      <c r="E5378" s="1">
        <v>4</v>
      </c>
      <c r="F5378" s="1">
        <v>49</v>
      </c>
      <c r="R5378" s="3">
        <v>0</v>
      </c>
      <c r="S5378" s="3">
        <v>1</v>
      </c>
    </row>
    <row r="5379" spans="1:19" x14ac:dyDescent="0.3">
      <c r="A5379" s="1" t="s">
        <v>70</v>
      </c>
      <c r="B5379" s="7">
        <v>40766</v>
      </c>
      <c r="C5379" s="1">
        <v>9</v>
      </c>
      <c r="D5379" s="1">
        <v>139</v>
      </c>
      <c r="E5379" s="1">
        <v>4</v>
      </c>
      <c r="F5379" s="1">
        <v>50</v>
      </c>
      <c r="I5379" s="1">
        <v>1</v>
      </c>
      <c r="L5379" s="1">
        <v>1</v>
      </c>
    </row>
    <row r="5380" spans="1:19" x14ac:dyDescent="0.3">
      <c r="A5380" s="1" t="s">
        <v>70</v>
      </c>
      <c r="B5380" s="7">
        <v>40766</v>
      </c>
      <c r="C5380" s="1">
        <v>9</v>
      </c>
      <c r="D5380" s="1">
        <v>139</v>
      </c>
      <c r="E5380" s="1">
        <v>4</v>
      </c>
      <c r="F5380" s="1">
        <v>51</v>
      </c>
      <c r="L5380" s="1">
        <v>1</v>
      </c>
      <c r="R5380" s="3">
        <v>0</v>
      </c>
      <c r="S5380" s="3">
        <v>1</v>
      </c>
    </row>
    <row r="5381" spans="1:19" x14ac:dyDescent="0.3">
      <c r="A5381" s="1" t="s">
        <v>70</v>
      </c>
      <c r="B5381" s="7">
        <v>40766</v>
      </c>
      <c r="C5381" s="1">
        <v>9</v>
      </c>
      <c r="D5381" s="1">
        <v>139</v>
      </c>
      <c r="E5381" s="1">
        <v>4</v>
      </c>
      <c r="F5381" s="1">
        <v>52</v>
      </c>
      <c r="R5381" s="1">
        <v>1</v>
      </c>
    </row>
    <row r="5382" spans="1:19" x14ac:dyDescent="0.3">
      <c r="A5382" s="1" t="s">
        <v>70</v>
      </c>
      <c r="B5382" s="7">
        <v>40766</v>
      </c>
      <c r="C5382" s="1">
        <v>9</v>
      </c>
      <c r="D5382" s="1">
        <v>139</v>
      </c>
      <c r="E5382" s="1">
        <v>4</v>
      </c>
      <c r="F5382" s="1">
        <v>53</v>
      </c>
      <c r="R5382" s="1">
        <v>1</v>
      </c>
    </row>
    <row r="5383" spans="1:19" x14ac:dyDescent="0.3">
      <c r="A5383" s="1" t="s">
        <v>70</v>
      </c>
      <c r="B5383" s="7">
        <v>40766</v>
      </c>
      <c r="C5383" s="1">
        <v>9</v>
      </c>
      <c r="D5383" s="1">
        <v>139</v>
      </c>
      <c r="E5383" s="1">
        <v>4</v>
      </c>
      <c r="F5383" s="1">
        <v>54</v>
      </c>
      <c r="R5383" s="1">
        <v>1</v>
      </c>
    </row>
    <row r="5384" spans="1:19" x14ac:dyDescent="0.3">
      <c r="A5384" s="1" t="s">
        <v>70</v>
      </c>
      <c r="B5384" s="7">
        <v>40766</v>
      </c>
      <c r="C5384" s="1">
        <v>9</v>
      </c>
      <c r="D5384" s="1">
        <v>139</v>
      </c>
      <c r="E5384" s="1">
        <v>4</v>
      </c>
      <c r="F5384" s="1">
        <v>55</v>
      </c>
      <c r="I5384" s="1">
        <v>1</v>
      </c>
    </row>
    <row r="5385" spans="1:19" x14ac:dyDescent="0.3">
      <c r="A5385" s="1" t="s">
        <v>70</v>
      </c>
      <c r="B5385" s="7">
        <v>40766</v>
      </c>
      <c r="C5385" s="1">
        <v>9</v>
      </c>
      <c r="D5385" s="1">
        <v>139</v>
      </c>
      <c r="E5385" s="1">
        <v>4</v>
      </c>
      <c r="F5385" s="1">
        <v>56</v>
      </c>
      <c r="L5385" s="1">
        <v>1</v>
      </c>
    </row>
    <row r="5386" spans="1:19" x14ac:dyDescent="0.3">
      <c r="A5386" s="1" t="s">
        <v>70</v>
      </c>
      <c r="B5386" s="7">
        <v>40766</v>
      </c>
      <c r="C5386" s="1">
        <v>9</v>
      </c>
      <c r="D5386" s="1">
        <v>139</v>
      </c>
      <c r="E5386" s="1">
        <v>4</v>
      </c>
      <c r="F5386" s="1">
        <v>57</v>
      </c>
      <c r="R5386" s="1">
        <v>1</v>
      </c>
    </row>
    <row r="5387" spans="1:19" x14ac:dyDescent="0.3">
      <c r="A5387" s="1" t="s">
        <v>70</v>
      </c>
      <c r="B5387" s="7">
        <v>40766</v>
      </c>
      <c r="C5387" s="1">
        <v>9</v>
      </c>
      <c r="D5387" s="1">
        <v>139</v>
      </c>
      <c r="E5387" s="1">
        <v>4</v>
      </c>
      <c r="F5387" s="1">
        <v>58</v>
      </c>
      <c r="R5387" s="1">
        <v>1</v>
      </c>
    </row>
    <row r="5388" spans="1:19" x14ac:dyDescent="0.3">
      <c r="A5388" s="1" t="s">
        <v>70</v>
      </c>
      <c r="B5388" s="7">
        <v>40766</v>
      </c>
      <c r="C5388" s="1">
        <v>9</v>
      </c>
      <c r="D5388" s="1">
        <v>139</v>
      </c>
      <c r="E5388" s="1">
        <v>4</v>
      </c>
      <c r="F5388" s="1">
        <v>59</v>
      </c>
      <c r="L5388" s="1">
        <v>1</v>
      </c>
      <c r="R5388" s="1">
        <v>1</v>
      </c>
    </row>
    <row r="5389" spans="1:19" x14ac:dyDescent="0.3">
      <c r="A5389" s="1" t="s">
        <v>70</v>
      </c>
      <c r="B5389" s="7">
        <v>40766</v>
      </c>
      <c r="C5389" s="1">
        <v>9</v>
      </c>
      <c r="D5389" s="1">
        <v>139</v>
      </c>
      <c r="E5389" s="1">
        <v>4</v>
      </c>
      <c r="F5389" s="1">
        <v>60</v>
      </c>
      <c r="L5389" s="1">
        <v>1</v>
      </c>
      <c r="R5389" s="1">
        <v>1</v>
      </c>
    </row>
    <row r="5390" spans="1:19" x14ac:dyDescent="0.3">
      <c r="A5390" s="1" t="s">
        <v>70</v>
      </c>
      <c r="B5390" s="7">
        <v>40766</v>
      </c>
      <c r="C5390" s="1">
        <v>9</v>
      </c>
      <c r="D5390" s="1">
        <v>139</v>
      </c>
      <c r="E5390" s="1">
        <v>4</v>
      </c>
      <c r="F5390" s="1">
        <v>61</v>
      </c>
      <c r="I5390" s="1">
        <v>1</v>
      </c>
    </row>
    <row r="5391" spans="1:19" x14ac:dyDescent="0.3">
      <c r="A5391" s="1" t="s">
        <v>70</v>
      </c>
      <c r="B5391" s="7">
        <v>40766</v>
      </c>
      <c r="C5391" s="1">
        <v>9</v>
      </c>
      <c r="D5391" s="1">
        <v>139</v>
      </c>
      <c r="E5391" s="1">
        <v>4</v>
      </c>
      <c r="F5391" s="1">
        <v>62</v>
      </c>
      <c r="R5391" s="1">
        <v>1</v>
      </c>
    </row>
    <row r="5392" spans="1:19" x14ac:dyDescent="0.3">
      <c r="A5392" s="1" t="s">
        <v>70</v>
      </c>
      <c r="B5392" s="7">
        <v>40766</v>
      </c>
      <c r="C5392" s="1">
        <v>9</v>
      </c>
      <c r="D5392" s="1">
        <v>139</v>
      </c>
      <c r="E5392" s="1">
        <v>4</v>
      </c>
      <c r="F5392" s="1">
        <v>63</v>
      </c>
      <c r="L5392" s="1">
        <v>1</v>
      </c>
      <c r="R5392" s="1">
        <v>1</v>
      </c>
    </row>
    <row r="5393" spans="1:57" x14ac:dyDescent="0.3">
      <c r="A5393" s="1" t="s">
        <v>70</v>
      </c>
      <c r="B5393" s="7">
        <v>40766</v>
      </c>
      <c r="C5393" s="1">
        <v>9</v>
      </c>
      <c r="D5393" s="1">
        <v>139</v>
      </c>
      <c r="E5393" s="1">
        <v>4</v>
      </c>
      <c r="F5393" s="1">
        <v>64</v>
      </c>
      <c r="R5393" s="1">
        <v>1</v>
      </c>
    </row>
    <row r="5394" spans="1:57" x14ac:dyDescent="0.3">
      <c r="A5394" s="1" t="s">
        <v>70</v>
      </c>
      <c r="B5394" s="7">
        <v>40766</v>
      </c>
      <c r="C5394" s="1">
        <v>9</v>
      </c>
      <c r="D5394" s="1">
        <v>139</v>
      </c>
      <c r="E5394" s="1">
        <v>4</v>
      </c>
      <c r="F5394" s="1">
        <v>65</v>
      </c>
      <c r="R5394" s="1">
        <v>1</v>
      </c>
    </row>
    <row r="5395" spans="1:57" x14ac:dyDescent="0.3">
      <c r="A5395" s="1" t="s">
        <v>70</v>
      </c>
      <c r="B5395" s="7">
        <v>40766</v>
      </c>
      <c r="C5395" s="1">
        <v>9</v>
      </c>
      <c r="D5395" s="1">
        <v>139</v>
      </c>
      <c r="E5395" s="1">
        <v>4</v>
      </c>
      <c r="F5395" s="1">
        <v>66</v>
      </c>
      <c r="L5395" s="1">
        <v>1</v>
      </c>
    </row>
    <row r="5396" spans="1:57" x14ac:dyDescent="0.3">
      <c r="A5396" s="1" t="s">
        <v>70</v>
      </c>
      <c r="B5396" s="7">
        <v>40766</v>
      </c>
      <c r="C5396" s="1">
        <v>9</v>
      </c>
      <c r="D5396" s="1">
        <v>139</v>
      </c>
      <c r="E5396" s="1">
        <v>4</v>
      </c>
      <c r="F5396" s="1">
        <v>67</v>
      </c>
      <c r="L5396" s="1">
        <v>1</v>
      </c>
      <c r="R5396" s="3">
        <v>0</v>
      </c>
      <c r="S5396" s="3">
        <v>1</v>
      </c>
    </row>
    <row r="5397" spans="1:57" x14ac:dyDescent="0.3">
      <c r="A5397" s="1" t="s">
        <v>70</v>
      </c>
      <c r="B5397" s="7">
        <v>40766</v>
      </c>
      <c r="C5397" s="1">
        <v>9</v>
      </c>
      <c r="D5397" s="1">
        <v>139</v>
      </c>
      <c r="E5397" s="1">
        <v>4</v>
      </c>
      <c r="F5397" s="1">
        <v>68</v>
      </c>
      <c r="R5397" s="1">
        <v>1</v>
      </c>
    </row>
    <row r="5398" spans="1:57" x14ac:dyDescent="0.3">
      <c r="A5398" s="1" t="s">
        <v>70</v>
      </c>
      <c r="B5398" s="7">
        <v>40766</v>
      </c>
      <c r="C5398" s="1">
        <v>9</v>
      </c>
      <c r="D5398" s="1">
        <v>139</v>
      </c>
      <c r="E5398" s="1">
        <v>4</v>
      </c>
      <c r="F5398" s="1">
        <v>69</v>
      </c>
      <c r="R5398" s="1">
        <v>1</v>
      </c>
    </row>
    <row r="5399" spans="1:57" x14ac:dyDescent="0.3">
      <c r="A5399" s="1" t="s">
        <v>70</v>
      </c>
      <c r="B5399" s="7">
        <v>40766</v>
      </c>
      <c r="C5399" s="1">
        <v>9</v>
      </c>
      <c r="D5399" s="1">
        <v>139</v>
      </c>
      <c r="E5399" s="1">
        <v>4</v>
      </c>
      <c r="F5399" s="1">
        <v>70</v>
      </c>
      <c r="I5399" s="1">
        <v>1</v>
      </c>
      <c r="L5399" s="1">
        <v>1</v>
      </c>
    </row>
    <row r="5400" spans="1:57" x14ac:dyDescent="0.3">
      <c r="A5400" s="1" t="s">
        <v>70</v>
      </c>
      <c r="B5400" s="7">
        <v>40766</v>
      </c>
      <c r="C5400" s="1">
        <v>9</v>
      </c>
      <c r="D5400" s="1">
        <v>139</v>
      </c>
      <c r="E5400" s="1">
        <v>4</v>
      </c>
      <c r="F5400" s="1">
        <v>71</v>
      </c>
      <c r="R5400" s="1">
        <v>1</v>
      </c>
    </row>
    <row r="5401" spans="1:57" x14ac:dyDescent="0.3">
      <c r="A5401" s="1" t="s">
        <v>70</v>
      </c>
      <c r="B5401" s="7">
        <v>40766</v>
      </c>
      <c r="C5401" s="1">
        <v>9</v>
      </c>
      <c r="D5401" s="1">
        <v>139</v>
      </c>
      <c r="E5401" s="1">
        <v>4</v>
      </c>
      <c r="F5401" s="1">
        <v>72</v>
      </c>
      <c r="R5401" s="1">
        <v>1</v>
      </c>
    </row>
    <row r="5402" spans="1:57" x14ac:dyDescent="0.3">
      <c r="A5402" s="1" t="s">
        <v>70</v>
      </c>
      <c r="B5402" s="7">
        <v>40766</v>
      </c>
      <c r="C5402" s="1">
        <v>9</v>
      </c>
      <c r="D5402" s="1">
        <v>139</v>
      </c>
      <c r="E5402" s="1">
        <v>4</v>
      </c>
      <c r="F5402" s="1">
        <v>73</v>
      </c>
      <c r="H5402" s="1">
        <v>1</v>
      </c>
      <c r="R5402" s="1">
        <v>1</v>
      </c>
      <c r="BE5402" s="1">
        <v>1</v>
      </c>
    </row>
    <row r="5403" spans="1:57" x14ac:dyDescent="0.3">
      <c r="A5403" s="1" t="s">
        <v>70</v>
      </c>
      <c r="B5403" s="7">
        <v>40766</v>
      </c>
      <c r="C5403" s="1">
        <v>9</v>
      </c>
      <c r="D5403" s="1">
        <v>139</v>
      </c>
      <c r="E5403" s="1">
        <v>4</v>
      </c>
      <c r="F5403" s="1">
        <v>74</v>
      </c>
      <c r="R5403" s="1">
        <v>1</v>
      </c>
    </row>
    <row r="5404" spans="1:57" x14ac:dyDescent="0.3">
      <c r="A5404" s="1" t="s">
        <v>70</v>
      </c>
      <c r="B5404" s="7">
        <v>40766</v>
      </c>
      <c r="C5404" s="1">
        <v>9</v>
      </c>
      <c r="D5404" s="1">
        <v>139</v>
      </c>
      <c r="E5404" s="1">
        <v>4</v>
      </c>
      <c r="F5404" s="1">
        <v>75</v>
      </c>
      <c r="L5404" s="1">
        <v>1</v>
      </c>
    </row>
    <row r="5405" spans="1:57" x14ac:dyDescent="0.3">
      <c r="A5405" s="1" t="s">
        <v>70</v>
      </c>
      <c r="B5405" s="7">
        <v>40766</v>
      </c>
      <c r="C5405" s="1">
        <v>9</v>
      </c>
      <c r="D5405" s="1">
        <v>139</v>
      </c>
      <c r="E5405" s="1">
        <v>4</v>
      </c>
      <c r="F5405" s="1">
        <v>76</v>
      </c>
      <c r="R5405" s="1">
        <v>1</v>
      </c>
    </row>
    <row r="5406" spans="1:57" x14ac:dyDescent="0.3">
      <c r="A5406" s="1" t="s">
        <v>70</v>
      </c>
      <c r="B5406" s="7">
        <v>40766</v>
      </c>
      <c r="C5406" s="1">
        <v>9</v>
      </c>
      <c r="D5406" s="1">
        <v>139</v>
      </c>
      <c r="E5406" s="1">
        <v>4</v>
      </c>
      <c r="F5406" s="1">
        <v>77</v>
      </c>
    </row>
    <row r="5407" spans="1:57" x14ac:dyDescent="0.3">
      <c r="A5407" s="1" t="s">
        <v>70</v>
      </c>
      <c r="B5407" s="7">
        <v>40766</v>
      </c>
      <c r="C5407" s="1">
        <v>9</v>
      </c>
      <c r="D5407" s="1">
        <v>139</v>
      </c>
      <c r="E5407" s="1">
        <v>4</v>
      </c>
      <c r="F5407" s="1">
        <v>78</v>
      </c>
      <c r="R5407" s="1">
        <v>1</v>
      </c>
    </row>
    <row r="5408" spans="1:57" x14ac:dyDescent="0.3">
      <c r="A5408" s="1" t="s">
        <v>70</v>
      </c>
      <c r="B5408" s="7">
        <v>40766</v>
      </c>
      <c r="C5408" s="1">
        <v>9</v>
      </c>
      <c r="D5408" s="1">
        <v>139</v>
      </c>
      <c r="E5408" s="1">
        <v>4</v>
      </c>
      <c r="F5408" s="1">
        <v>79</v>
      </c>
      <c r="L5408" s="1">
        <v>1</v>
      </c>
      <c r="R5408" s="1">
        <v>1</v>
      </c>
    </row>
    <row r="5409" spans="1:57" x14ac:dyDescent="0.3">
      <c r="A5409" s="1" t="s">
        <v>70</v>
      </c>
      <c r="B5409" s="7">
        <v>40766</v>
      </c>
      <c r="C5409" s="1">
        <v>9</v>
      </c>
      <c r="D5409" s="1">
        <v>139</v>
      </c>
      <c r="E5409" s="1">
        <v>4</v>
      </c>
      <c r="F5409" s="1">
        <v>80</v>
      </c>
      <c r="H5409" s="1">
        <v>1</v>
      </c>
      <c r="L5409" s="1">
        <v>1</v>
      </c>
    </row>
    <row r="5410" spans="1:57" x14ac:dyDescent="0.3">
      <c r="A5410" s="1" t="s">
        <v>70</v>
      </c>
      <c r="B5410" s="7">
        <v>40766</v>
      </c>
      <c r="C5410" s="1">
        <v>9</v>
      </c>
      <c r="D5410" s="1">
        <v>139</v>
      </c>
      <c r="E5410" s="1">
        <v>4</v>
      </c>
      <c r="F5410" s="1">
        <v>81</v>
      </c>
      <c r="L5410" s="1">
        <v>1</v>
      </c>
      <c r="AS5410" s="1">
        <v>1</v>
      </c>
    </row>
    <row r="5411" spans="1:57" x14ac:dyDescent="0.3">
      <c r="A5411" s="1" t="s">
        <v>70</v>
      </c>
      <c r="B5411" s="7">
        <v>40766</v>
      </c>
      <c r="C5411" s="1">
        <v>9</v>
      </c>
      <c r="D5411" s="1">
        <v>139</v>
      </c>
      <c r="E5411" s="1">
        <v>4</v>
      </c>
      <c r="F5411" s="1">
        <v>82</v>
      </c>
      <c r="L5411" s="1">
        <v>1</v>
      </c>
      <c r="R5411" s="3">
        <v>0</v>
      </c>
      <c r="S5411" s="3">
        <v>1</v>
      </c>
    </row>
    <row r="5412" spans="1:57" x14ac:dyDescent="0.3">
      <c r="A5412" s="1" t="s">
        <v>70</v>
      </c>
      <c r="B5412" s="7">
        <v>40766</v>
      </c>
      <c r="C5412" s="1">
        <v>9</v>
      </c>
      <c r="D5412" s="1">
        <v>139</v>
      </c>
      <c r="E5412" s="1">
        <v>4</v>
      </c>
      <c r="F5412" s="1">
        <v>83</v>
      </c>
      <c r="R5412" s="3">
        <v>0</v>
      </c>
      <c r="S5412" s="3">
        <v>1</v>
      </c>
      <c r="BE5412" s="1">
        <v>1</v>
      </c>
    </row>
    <row r="5413" spans="1:57" x14ac:dyDescent="0.3">
      <c r="A5413" s="1" t="s">
        <v>70</v>
      </c>
      <c r="B5413" s="7">
        <v>40766</v>
      </c>
      <c r="C5413" s="1">
        <v>9</v>
      </c>
      <c r="D5413" s="1">
        <v>139</v>
      </c>
      <c r="E5413" s="1">
        <v>4</v>
      </c>
      <c r="F5413" s="1">
        <v>84</v>
      </c>
      <c r="R5413" s="1">
        <v>1</v>
      </c>
      <c r="BE5413" s="1">
        <v>1</v>
      </c>
    </row>
    <row r="5414" spans="1:57" x14ac:dyDescent="0.3">
      <c r="A5414" s="1" t="s">
        <v>70</v>
      </c>
      <c r="B5414" s="7">
        <v>40766</v>
      </c>
      <c r="C5414" s="1">
        <v>9</v>
      </c>
      <c r="D5414" s="1">
        <v>139</v>
      </c>
      <c r="E5414" s="1">
        <v>4</v>
      </c>
      <c r="F5414" s="1">
        <v>85</v>
      </c>
      <c r="R5414" s="1">
        <v>1</v>
      </c>
    </row>
    <row r="5415" spans="1:57" x14ac:dyDescent="0.3">
      <c r="A5415" s="1" t="s">
        <v>70</v>
      </c>
      <c r="B5415" s="7">
        <v>40766</v>
      </c>
      <c r="C5415" s="1">
        <v>9</v>
      </c>
      <c r="D5415" s="1">
        <v>139</v>
      </c>
      <c r="E5415" s="1">
        <v>4</v>
      </c>
      <c r="F5415" s="1">
        <v>86</v>
      </c>
    </row>
    <row r="5416" spans="1:57" x14ac:dyDescent="0.3">
      <c r="A5416" s="1" t="s">
        <v>70</v>
      </c>
      <c r="B5416" s="7">
        <v>40766</v>
      </c>
      <c r="C5416" s="1">
        <v>9</v>
      </c>
      <c r="D5416" s="1">
        <v>139</v>
      </c>
      <c r="E5416" s="1">
        <v>4</v>
      </c>
      <c r="F5416" s="1">
        <v>87</v>
      </c>
      <c r="I5416" s="1">
        <v>1</v>
      </c>
      <c r="R5416" s="1">
        <v>1</v>
      </c>
    </row>
    <row r="5417" spans="1:57" x14ac:dyDescent="0.3">
      <c r="A5417" s="1" t="s">
        <v>70</v>
      </c>
      <c r="B5417" s="7">
        <v>40766</v>
      </c>
      <c r="C5417" s="1">
        <v>9</v>
      </c>
      <c r="D5417" s="1">
        <v>139</v>
      </c>
      <c r="E5417" s="1">
        <v>4</v>
      </c>
      <c r="F5417" s="1">
        <v>88</v>
      </c>
      <c r="R5417" s="1">
        <v>1</v>
      </c>
    </row>
    <row r="5418" spans="1:57" x14ac:dyDescent="0.3">
      <c r="A5418" s="1" t="s">
        <v>70</v>
      </c>
      <c r="B5418" s="7">
        <v>40766</v>
      </c>
      <c r="C5418" s="1">
        <v>9</v>
      </c>
      <c r="D5418" s="1">
        <v>139</v>
      </c>
      <c r="E5418" s="1">
        <v>4</v>
      </c>
      <c r="F5418" s="1">
        <v>89</v>
      </c>
      <c r="AS5418" s="1">
        <v>1</v>
      </c>
    </row>
    <row r="5419" spans="1:57" x14ac:dyDescent="0.3">
      <c r="A5419" s="1" t="s">
        <v>70</v>
      </c>
      <c r="B5419" s="7">
        <v>40766</v>
      </c>
      <c r="C5419" s="1">
        <v>9</v>
      </c>
      <c r="D5419" s="1">
        <v>139</v>
      </c>
      <c r="E5419" s="1">
        <v>4</v>
      </c>
      <c r="F5419" s="1">
        <v>90</v>
      </c>
      <c r="L5419" s="1">
        <v>1</v>
      </c>
      <c r="R5419" s="1">
        <v>1</v>
      </c>
      <c r="AS5419" s="1">
        <v>1</v>
      </c>
    </row>
    <row r="5420" spans="1:57" x14ac:dyDescent="0.3">
      <c r="A5420" s="1" t="s">
        <v>70</v>
      </c>
      <c r="B5420" s="7">
        <v>40766</v>
      </c>
      <c r="C5420" s="1">
        <v>9</v>
      </c>
      <c r="D5420" s="1">
        <v>139</v>
      </c>
      <c r="E5420" s="1">
        <v>4</v>
      </c>
      <c r="F5420" s="1">
        <v>91</v>
      </c>
      <c r="L5420" s="1">
        <v>1</v>
      </c>
    </row>
    <row r="5421" spans="1:57" x14ac:dyDescent="0.3">
      <c r="A5421" s="1" t="s">
        <v>70</v>
      </c>
      <c r="B5421" s="7">
        <v>40766</v>
      </c>
      <c r="C5421" s="1">
        <v>9</v>
      </c>
      <c r="D5421" s="1">
        <v>139</v>
      </c>
      <c r="E5421" s="1">
        <v>4</v>
      </c>
      <c r="F5421" s="1">
        <v>92</v>
      </c>
      <c r="H5421" s="1">
        <v>1</v>
      </c>
    </row>
    <row r="5422" spans="1:57" x14ac:dyDescent="0.3">
      <c r="A5422" s="1" t="s">
        <v>70</v>
      </c>
      <c r="B5422" s="7">
        <v>40766</v>
      </c>
      <c r="C5422" s="1">
        <v>9</v>
      </c>
      <c r="D5422" s="1">
        <v>139</v>
      </c>
      <c r="E5422" s="1">
        <v>4</v>
      </c>
      <c r="F5422" s="1">
        <v>93</v>
      </c>
      <c r="I5422" s="1">
        <v>1</v>
      </c>
      <c r="R5422" s="1">
        <v>1</v>
      </c>
    </row>
    <row r="5423" spans="1:57" x14ac:dyDescent="0.3">
      <c r="A5423" s="1" t="s">
        <v>70</v>
      </c>
      <c r="B5423" s="7">
        <v>40766</v>
      </c>
      <c r="C5423" s="1">
        <v>9</v>
      </c>
      <c r="D5423" s="1">
        <v>139</v>
      </c>
      <c r="E5423" s="1">
        <v>4</v>
      </c>
      <c r="F5423" s="1">
        <v>94</v>
      </c>
      <c r="L5423" s="1">
        <v>1</v>
      </c>
    </row>
    <row r="5424" spans="1:57" x14ac:dyDescent="0.3">
      <c r="A5424" s="1" t="s">
        <v>70</v>
      </c>
      <c r="B5424" s="7">
        <v>40766</v>
      </c>
      <c r="C5424" s="1">
        <v>9</v>
      </c>
      <c r="D5424" s="1">
        <v>139</v>
      </c>
      <c r="E5424" s="1">
        <v>4</v>
      </c>
      <c r="F5424" s="1">
        <v>95</v>
      </c>
      <c r="I5424" s="1">
        <v>1</v>
      </c>
      <c r="L5424" s="1">
        <v>1</v>
      </c>
    </row>
    <row r="5425" spans="1:41" x14ac:dyDescent="0.3">
      <c r="A5425" s="1" t="s">
        <v>70</v>
      </c>
      <c r="B5425" s="7">
        <v>40766</v>
      </c>
      <c r="C5425" s="1">
        <v>9</v>
      </c>
      <c r="D5425" s="1">
        <v>139</v>
      </c>
      <c r="E5425" s="1">
        <v>4</v>
      </c>
      <c r="F5425" s="1">
        <v>96</v>
      </c>
      <c r="L5425" s="1">
        <v>1</v>
      </c>
      <c r="R5425" s="3">
        <v>0</v>
      </c>
      <c r="S5425" s="3">
        <v>1</v>
      </c>
    </row>
    <row r="5426" spans="1:41" x14ac:dyDescent="0.3">
      <c r="A5426" s="1" t="s">
        <v>70</v>
      </c>
      <c r="B5426" s="7">
        <v>40766</v>
      </c>
      <c r="C5426" s="1">
        <v>9</v>
      </c>
      <c r="D5426" s="1">
        <v>139</v>
      </c>
      <c r="E5426" s="1">
        <v>4</v>
      </c>
      <c r="F5426" s="1">
        <v>97</v>
      </c>
      <c r="L5426" s="1">
        <v>1</v>
      </c>
    </row>
    <row r="5427" spans="1:41" x14ac:dyDescent="0.3">
      <c r="A5427" s="1" t="s">
        <v>70</v>
      </c>
      <c r="B5427" s="7">
        <v>40766</v>
      </c>
      <c r="C5427" s="1">
        <v>9</v>
      </c>
      <c r="D5427" s="1">
        <v>139</v>
      </c>
      <c r="E5427" s="1">
        <v>4</v>
      </c>
      <c r="F5427" s="1">
        <v>98</v>
      </c>
      <c r="L5427" s="1">
        <v>1</v>
      </c>
    </row>
    <row r="5428" spans="1:41" x14ac:dyDescent="0.3">
      <c r="A5428" s="1" t="s">
        <v>70</v>
      </c>
      <c r="B5428" s="7">
        <v>40766</v>
      </c>
      <c r="C5428" s="1">
        <v>9</v>
      </c>
      <c r="D5428" s="1">
        <v>139</v>
      </c>
      <c r="E5428" s="1">
        <v>4</v>
      </c>
      <c r="F5428" s="1">
        <v>99</v>
      </c>
      <c r="R5428" s="3">
        <v>0</v>
      </c>
      <c r="S5428" s="3">
        <v>1</v>
      </c>
    </row>
    <row r="5429" spans="1:41" x14ac:dyDescent="0.3">
      <c r="A5429" s="1" t="s">
        <v>70</v>
      </c>
      <c r="B5429" s="7">
        <v>40766</v>
      </c>
      <c r="C5429" s="1">
        <v>9</v>
      </c>
      <c r="D5429" s="1">
        <v>139</v>
      </c>
      <c r="E5429" s="1">
        <v>4</v>
      </c>
      <c r="F5429" s="1">
        <v>100</v>
      </c>
      <c r="L5429" s="1">
        <v>1</v>
      </c>
      <c r="R5429" s="1">
        <v>1</v>
      </c>
    </row>
    <row r="5430" spans="1:41" x14ac:dyDescent="0.3">
      <c r="A5430" s="1" t="s">
        <v>70</v>
      </c>
      <c r="B5430" s="7">
        <v>40766</v>
      </c>
      <c r="C5430" s="1">
        <v>10</v>
      </c>
      <c r="D5430" s="1">
        <v>252</v>
      </c>
      <c r="E5430" s="1">
        <v>1</v>
      </c>
      <c r="F5430" s="1">
        <v>1</v>
      </c>
      <c r="H5430" s="1">
        <v>1</v>
      </c>
    </row>
    <row r="5431" spans="1:41" x14ac:dyDescent="0.3">
      <c r="A5431" s="1" t="s">
        <v>70</v>
      </c>
      <c r="B5431" s="7">
        <v>40766</v>
      </c>
      <c r="C5431" s="1">
        <v>10</v>
      </c>
      <c r="D5431" s="1">
        <v>252</v>
      </c>
      <c r="E5431" s="1">
        <v>1</v>
      </c>
      <c r="F5431" s="1">
        <v>2</v>
      </c>
      <c r="J5431" s="1">
        <v>1</v>
      </c>
    </row>
    <row r="5432" spans="1:41" x14ac:dyDescent="0.3">
      <c r="A5432" s="1" t="s">
        <v>70</v>
      </c>
      <c r="B5432" s="7">
        <v>40766</v>
      </c>
      <c r="C5432" s="1">
        <v>10</v>
      </c>
      <c r="D5432" s="1">
        <v>252</v>
      </c>
      <c r="E5432" s="1">
        <v>1</v>
      </c>
      <c r="F5432" s="1">
        <v>3</v>
      </c>
      <c r="H5432" s="1">
        <v>1</v>
      </c>
      <c r="AO5432" s="1">
        <v>1</v>
      </c>
    </row>
    <row r="5433" spans="1:41" x14ac:dyDescent="0.3">
      <c r="A5433" s="1" t="s">
        <v>70</v>
      </c>
      <c r="B5433" s="7">
        <v>40766</v>
      </c>
      <c r="C5433" s="1">
        <v>10</v>
      </c>
      <c r="D5433" s="1">
        <v>252</v>
      </c>
      <c r="E5433" s="1">
        <v>1</v>
      </c>
      <c r="F5433" s="1">
        <v>4</v>
      </c>
      <c r="J5433" s="3">
        <v>0</v>
      </c>
      <c r="K5433" s="3">
        <v>1</v>
      </c>
    </row>
    <row r="5434" spans="1:41" x14ac:dyDescent="0.3">
      <c r="A5434" s="1" t="s">
        <v>70</v>
      </c>
      <c r="B5434" s="7">
        <v>40766</v>
      </c>
      <c r="C5434" s="1">
        <v>10</v>
      </c>
      <c r="D5434" s="1">
        <v>252</v>
      </c>
      <c r="E5434" s="1">
        <v>1</v>
      </c>
      <c r="F5434" s="1">
        <v>5</v>
      </c>
      <c r="J5434" s="1">
        <v>1</v>
      </c>
      <c r="AO5434" s="1">
        <v>1</v>
      </c>
    </row>
    <row r="5435" spans="1:41" x14ac:dyDescent="0.3">
      <c r="A5435" s="1" t="s">
        <v>70</v>
      </c>
      <c r="B5435" s="7">
        <v>40766</v>
      </c>
      <c r="C5435" s="1">
        <v>10</v>
      </c>
      <c r="D5435" s="1">
        <v>252</v>
      </c>
      <c r="E5435" s="1">
        <v>1</v>
      </c>
      <c r="F5435" s="1">
        <v>6</v>
      </c>
      <c r="J5435" s="1">
        <v>1</v>
      </c>
      <c r="AO5435" s="1">
        <v>1</v>
      </c>
    </row>
    <row r="5436" spans="1:41" x14ac:dyDescent="0.3">
      <c r="A5436" s="1" t="s">
        <v>70</v>
      </c>
      <c r="B5436" s="7">
        <v>40766</v>
      </c>
      <c r="C5436" s="1">
        <v>10</v>
      </c>
      <c r="D5436" s="1">
        <v>252</v>
      </c>
      <c r="E5436" s="1">
        <v>1</v>
      </c>
      <c r="F5436" s="1">
        <v>7</v>
      </c>
      <c r="J5436" s="1">
        <v>1</v>
      </c>
    </row>
    <row r="5437" spans="1:41" x14ac:dyDescent="0.3">
      <c r="A5437" s="1" t="s">
        <v>70</v>
      </c>
      <c r="B5437" s="7">
        <v>40766</v>
      </c>
      <c r="C5437" s="1">
        <v>10</v>
      </c>
      <c r="D5437" s="1">
        <v>252</v>
      </c>
      <c r="E5437" s="1">
        <v>1</v>
      </c>
      <c r="F5437" s="1">
        <v>8</v>
      </c>
      <c r="J5437" s="1">
        <v>1</v>
      </c>
      <c r="AO5437" s="1">
        <v>1</v>
      </c>
    </row>
    <row r="5438" spans="1:41" x14ac:dyDescent="0.3">
      <c r="A5438" s="1" t="s">
        <v>70</v>
      </c>
      <c r="B5438" s="7">
        <v>40766</v>
      </c>
      <c r="C5438" s="1">
        <v>10</v>
      </c>
      <c r="D5438" s="1">
        <v>252</v>
      </c>
      <c r="E5438" s="1">
        <v>1</v>
      </c>
      <c r="F5438" s="1">
        <v>9</v>
      </c>
      <c r="AO5438" s="1">
        <v>1</v>
      </c>
    </row>
    <row r="5439" spans="1:41" x14ac:dyDescent="0.3">
      <c r="A5439" s="1" t="s">
        <v>70</v>
      </c>
      <c r="B5439" s="7">
        <v>40766</v>
      </c>
      <c r="C5439" s="1">
        <v>10</v>
      </c>
      <c r="D5439" s="1">
        <v>252</v>
      </c>
      <c r="E5439" s="1">
        <v>1</v>
      </c>
      <c r="F5439" s="1">
        <v>10</v>
      </c>
      <c r="J5439" s="1">
        <v>1</v>
      </c>
    </row>
    <row r="5440" spans="1:41" x14ac:dyDescent="0.3">
      <c r="A5440" s="1" t="s">
        <v>70</v>
      </c>
      <c r="B5440" s="7">
        <v>40766</v>
      </c>
      <c r="C5440" s="1">
        <v>10</v>
      </c>
      <c r="D5440" s="1">
        <v>252</v>
      </c>
      <c r="E5440" s="1">
        <v>1</v>
      </c>
      <c r="F5440" s="1">
        <v>11</v>
      </c>
      <c r="N5440" s="1">
        <v>1</v>
      </c>
      <c r="AO5440" s="1">
        <v>1</v>
      </c>
    </row>
    <row r="5441" spans="1:60" x14ac:dyDescent="0.3">
      <c r="A5441" s="1" t="s">
        <v>70</v>
      </c>
      <c r="B5441" s="7">
        <v>40766</v>
      </c>
      <c r="C5441" s="1">
        <v>10</v>
      </c>
      <c r="D5441" s="1">
        <v>252</v>
      </c>
      <c r="E5441" s="1">
        <v>1</v>
      </c>
      <c r="F5441" s="1">
        <v>12</v>
      </c>
      <c r="J5441" s="1">
        <v>1</v>
      </c>
      <c r="T5441" s="1">
        <v>1</v>
      </c>
    </row>
    <row r="5442" spans="1:60" x14ac:dyDescent="0.3">
      <c r="A5442" s="1" t="s">
        <v>70</v>
      </c>
      <c r="B5442" s="7">
        <v>40766</v>
      </c>
      <c r="C5442" s="1">
        <v>10</v>
      </c>
      <c r="D5442" s="1">
        <v>252</v>
      </c>
      <c r="E5442" s="1">
        <v>1</v>
      </c>
      <c r="F5442" s="1">
        <v>13</v>
      </c>
      <c r="J5442" s="1">
        <v>1</v>
      </c>
      <c r="AO5442" s="1">
        <v>1</v>
      </c>
    </row>
    <row r="5443" spans="1:60" x14ac:dyDescent="0.3">
      <c r="A5443" s="1" t="s">
        <v>70</v>
      </c>
      <c r="B5443" s="7">
        <v>40766</v>
      </c>
      <c r="C5443" s="1">
        <v>10</v>
      </c>
      <c r="D5443" s="1">
        <v>252</v>
      </c>
      <c r="E5443" s="1">
        <v>1</v>
      </c>
      <c r="F5443" s="1">
        <v>14</v>
      </c>
      <c r="J5443" s="1">
        <v>1</v>
      </c>
      <c r="N5443" s="1">
        <v>1</v>
      </c>
      <c r="BG5443" s="3">
        <v>0</v>
      </c>
      <c r="BH5443" s="3">
        <v>1</v>
      </c>
    </row>
    <row r="5444" spans="1:60" x14ac:dyDescent="0.3">
      <c r="A5444" s="1" t="s">
        <v>70</v>
      </c>
      <c r="B5444" s="7">
        <v>40766</v>
      </c>
      <c r="C5444" s="1">
        <v>10</v>
      </c>
      <c r="D5444" s="1">
        <v>252</v>
      </c>
      <c r="E5444" s="1">
        <v>1</v>
      </c>
      <c r="F5444" s="1">
        <v>15</v>
      </c>
      <c r="J5444" s="1">
        <v>1</v>
      </c>
    </row>
    <row r="5445" spans="1:60" x14ac:dyDescent="0.3">
      <c r="A5445" s="1" t="s">
        <v>70</v>
      </c>
      <c r="B5445" s="7">
        <v>40766</v>
      </c>
      <c r="C5445" s="1">
        <v>10</v>
      </c>
      <c r="D5445" s="1">
        <v>252</v>
      </c>
      <c r="E5445" s="1">
        <v>1</v>
      </c>
      <c r="F5445" s="1">
        <v>16</v>
      </c>
      <c r="J5445" s="1">
        <v>1</v>
      </c>
      <c r="AO5445" s="1">
        <v>1</v>
      </c>
    </row>
    <row r="5446" spans="1:60" x14ac:dyDescent="0.3">
      <c r="A5446" s="1" t="s">
        <v>70</v>
      </c>
      <c r="B5446" s="7">
        <v>40766</v>
      </c>
      <c r="C5446" s="1">
        <v>10</v>
      </c>
      <c r="D5446" s="1">
        <v>252</v>
      </c>
      <c r="E5446" s="1">
        <v>1</v>
      </c>
      <c r="F5446" s="1">
        <v>17</v>
      </c>
      <c r="J5446" s="1">
        <v>1</v>
      </c>
      <c r="AO5446" s="1">
        <v>1</v>
      </c>
    </row>
    <row r="5447" spans="1:60" x14ac:dyDescent="0.3">
      <c r="A5447" s="1" t="s">
        <v>70</v>
      </c>
      <c r="B5447" s="7">
        <v>40766</v>
      </c>
      <c r="C5447" s="1">
        <v>10</v>
      </c>
      <c r="D5447" s="1">
        <v>252</v>
      </c>
      <c r="E5447" s="1">
        <v>1</v>
      </c>
      <c r="F5447" s="1">
        <v>18</v>
      </c>
      <c r="J5447" s="1">
        <v>1</v>
      </c>
      <c r="AO5447" s="1">
        <v>1</v>
      </c>
    </row>
    <row r="5448" spans="1:60" x14ac:dyDescent="0.3">
      <c r="A5448" s="1" t="s">
        <v>70</v>
      </c>
      <c r="B5448" s="7">
        <v>40766</v>
      </c>
      <c r="C5448" s="1">
        <v>10</v>
      </c>
      <c r="D5448" s="1">
        <v>252</v>
      </c>
      <c r="E5448" s="1">
        <v>1</v>
      </c>
      <c r="F5448" s="1">
        <v>19</v>
      </c>
      <c r="H5448" s="1">
        <v>1</v>
      </c>
    </row>
    <row r="5449" spans="1:60" x14ac:dyDescent="0.3">
      <c r="A5449" s="1" t="s">
        <v>70</v>
      </c>
      <c r="B5449" s="7">
        <v>40766</v>
      </c>
      <c r="C5449" s="1">
        <v>10</v>
      </c>
      <c r="D5449" s="1">
        <v>252</v>
      </c>
      <c r="E5449" s="1">
        <v>1</v>
      </c>
      <c r="F5449" s="1">
        <v>20</v>
      </c>
      <c r="R5449" s="3">
        <v>0</v>
      </c>
      <c r="S5449" s="3">
        <v>1</v>
      </c>
    </row>
    <row r="5450" spans="1:60" x14ac:dyDescent="0.3">
      <c r="A5450" s="1" t="s">
        <v>70</v>
      </c>
      <c r="B5450" s="7">
        <v>40766</v>
      </c>
      <c r="C5450" s="1">
        <v>10</v>
      </c>
      <c r="D5450" s="1">
        <v>252</v>
      </c>
      <c r="E5450" s="1">
        <v>1</v>
      </c>
      <c r="F5450" s="1">
        <v>21</v>
      </c>
      <c r="J5450" s="1">
        <v>1</v>
      </c>
      <c r="L5450" s="1">
        <v>1</v>
      </c>
    </row>
    <row r="5451" spans="1:60" x14ac:dyDescent="0.3">
      <c r="A5451" s="1" t="s">
        <v>70</v>
      </c>
      <c r="B5451" s="7">
        <v>40766</v>
      </c>
      <c r="C5451" s="1">
        <v>10</v>
      </c>
      <c r="D5451" s="1">
        <v>252</v>
      </c>
      <c r="E5451" s="1">
        <v>1</v>
      </c>
      <c r="F5451" s="1">
        <v>22</v>
      </c>
      <c r="J5451" s="1">
        <v>1</v>
      </c>
      <c r="L5451" s="1">
        <v>1</v>
      </c>
    </row>
    <row r="5452" spans="1:60" x14ac:dyDescent="0.3">
      <c r="A5452" s="1" t="s">
        <v>70</v>
      </c>
      <c r="B5452" s="7">
        <v>40766</v>
      </c>
      <c r="C5452" s="1">
        <v>10</v>
      </c>
      <c r="D5452" s="1">
        <v>252</v>
      </c>
      <c r="E5452" s="1">
        <v>1</v>
      </c>
      <c r="F5452" s="1">
        <v>23</v>
      </c>
      <c r="L5452" s="1">
        <v>1</v>
      </c>
      <c r="AO5452" s="1">
        <v>1</v>
      </c>
    </row>
    <row r="5453" spans="1:60" x14ac:dyDescent="0.3">
      <c r="A5453" s="1" t="s">
        <v>70</v>
      </c>
      <c r="B5453" s="7">
        <v>40766</v>
      </c>
      <c r="C5453" s="1">
        <v>10</v>
      </c>
      <c r="D5453" s="1">
        <v>252</v>
      </c>
      <c r="E5453" s="1">
        <v>1</v>
      </c>
      <c r="F5453" s="1">
        <v>24</v>
      </c>
      <c r="L5453" s="1">
        <v>1</v>
      </c>
    </row>
    <row r="5454" spans="1:60" x14ac:dyDescent="0.3">
      <c r="A5454" s="1" t="s">
        <v>70</v>
      </c>
      <c r="B5454" s="7">
        <v>40766</v>
      </c>
      <c r="C5454" s="1">
        <v>10</v>
      </c>
      <c r="D5454" s="1">
        <v>252</v>
      </c>
      <c r="E5454" s="1">
        <v>1</v>
      </c>
      <c r="F5454" s="1">
        <v>25</v>
      </c>
      <c r="L5454" s="1">
        <v>1</v>
      </c>
      <c r="T5454" s="1">
        <v>1</v>
      </c>
    </row>
    <row r="5455" spans="1:60" x14ac:dyDescent="0.3">
      <c r="A5455" s="1" t="s">
        <v>70</v>
      </c>
      <c r="B5455" s="7">
        <v>40766</v>
      </c>
      <c r="C5455" s="1">
        <v>10</v>
      </c>
      <c r="D5455" s="1">
        <v>252</v>
      </c>
      <c r="E5455" s="1">
        <v>1</v>
      </c>
      <c r="F5455" s="1">
        <v>26</v>
      </c>
      <c r="J5455" s="1">
        <v>1</v>
      </c>
    </row>
    <row r="5456" spans="1:60" x14ac:dyDescent="0.3">
      <c r="A5456" s="1" t="s">
        <v>70</v>
      </c>
      <c r="B5456" s="7">
        <v>40766</v>
      </c>
      <c r="C5456" s="1">
        <v>10</v>
      </c>
      <c r="D5456" s="1">
        <v>252</v>
      </c>
      <c r="E5456" s="1">
        <v>1</v>
      </c>
      <c r="F5456" s="1">
        <v>27</v>
      </c>
      <c r="R5456" s="3">
        <v>0</v>
      </c>
      <c r="S5456" s="3">
        <v>1</v>
      </c>
    </row>
    <row r="5457" spans="1:41" x14ac:dyDescent="0.3">
      <c r="A5457" s="1" t="s">
        <v>70</v>
      </c>
      <c r="B5457" s="7">
        <v>40766</v>
      </c>
      <c r="C5457" s="1">
        <v>10</v>
      </c>
      <c r="D5457" s="1">
        <v>252</v>
      </c>
      <c r="E5457" s="1">
        <v>1</v>
      </c>
      <c r="F5457" s="1">
        <v>28</v>
      </c>
      <c r="H5457" s="1">
        <v>1</v>
      </c>
      <c r="N5457" s="1">
        <v>1</v>
      </c>
      <c r="AO5457" s="1">
        <v>1</v>
      </c>
    </row>
    <row r="5458" spans="1:41" x14ac:dyDescent="0.3">
      <c r="A5458" s="1" t="s">
        <v>70</v>
      </c>
      <c r="B5458" s="7">
        <v>40766</v>
      </c>
      <c r="C5458" s="1">
        <v>10</v>
      </c>
      <c r="D5458" s="1">
        <v>252</v>
      </c>
      <c r="E5458" s="1">
        <v>1</v>
      </c>
      <c r="F5458" s="1">
        <v>29</v>
      </c>
      <c r="J5458" s="1">
        <v>1</v>
      </c>
      <c r="N5458" s="1">
        <v>1</v>
      </c>
    </row>
    <row r="5459" spans="1:41" x14ac:dyDescent="0.3">
      <c r="A5459" s="1" t="s">
        <v>70</v>
      </c>
      <c r="B5459" s="7">
        <v>40766</v>
      </c>
      <c r="C5459" s="1">
        <v>10</v>
      </c>
      <c r="D5459" s="1">
        <v>252</v>
      </c>
      <c r="E5459" s="1">
        <v>1</v>
      </c>
      <c r="F5459" s="1">
        <v>30</v>
      </c>
      <c r="H5459" s="1">
        <v>1</v>
      </c>
    </row>
    <row r="5460" spans="1:41" x14ac:dyDescent="0.3">
      <c r="A5460" s="1" t="s">
        <v>70</v>
      </c>
      <c r="B5460" s="7">
        <v>40766</v>
      </c>
      <c r="C5460" s="1">
        <v>10</v>
      </c>
      <c r="D5460" s="1">
        <v>252</v>
      </c>
      <c r="E5460" s="1">
        <v>1</v>
      </c>
      <c r="F5460" s="1">
        <v>31</v>
      </c>
    </row>
    <row r="5461" spans="1:41" x14ac:dyDescent="0.3">
      <c r="A5461" s="1" t="s">
        <v>70</v>
      </c>
      <c r="B5461" s="7">
        <v>40766</v>
      </c>
      <c r="C5461" s="1">
        <v>10</v>
      </c>
      <c r="D5461" s="1">
        <v>252</v>
      </c>
      <c r="E5461" s="1">
        <v>1</v>
      </c>
      <c r="F5461" s="1">
        <v>32</v>
      </c>
      <c r="J5461" s="1">
        <v>1</v>
      </c>
      <c r="N5461" s="1">
        <v>1</v>
      </c>
      <c r="AO5461" s="1">
        <v>1</v>
      </c>
    </row>
    <row r="5462" spans="1:41" x14ac:dyDescent="0.3">
      <c r="A5462" s="1" t="s">
        <v>70</v>
      </c>
      <c r="B5462" s="7">
        <v>40766</v>
      </c>
      <c r="C5462" s="1">
        <v>10</v>
      </c>
      <c r="D5462" s="1">
        <v>252</v>
      </c>
      <c r="E5462" s="1">
        <v>1</v>
      </c>
      <c r="F5462" s="1">
        <v>33</v>
      </c>
      <c r="J5462" s="1">
        <v>1</v>
      </c>
      <c r="AO5462" s="1">
        <v>1</v>
      </c>
    </row>
    <row r="5463" spans="1:41" x14ac:dyDescent="0.3">
      <c r="A5463" s="1" t="s">
        <v>70</v>
      </c>
      <c r="B5463" s="7">
        <v>40766</v>
      </c>
      <c r="C5463" s="1">
        <v>10</v>
      </c>
      <c r="D5463" s="1">
        <v>252</v>
      </c>
      <c r="E5463" s="1">
        <v>1</v>
      </c>
      <c r="F5463" s="1">
        <v>34</v>
      </c>
      <c r="H5463" s="1">
        <v>1</v>
      </c>
      <c r="J5463" s="1">
        <v>1</v>
      </c>
    </row>
    <row r="5464" spans="1:41" x14ac:dyDescent="0.3">
      <c r="A5464" s="1" t="s">
        <v>70</v>
      </c>
      <c r="B5464" s="7">
        <v>40766</v>
      </c>
      <c r="C5464" s="1">
        <v>10</v>
      </c>
      <c r="D5464" s="1">
        <v>252</v>
      </c>
      <c r="E5464" s="1">
        <v>1</v>
      </c>
      <c r="F5464" s="1">
        <v>35</v>
      </c>
      <c r="J5464" s="1">
        <v>1</v>
      </c>
      <c r="AO5464" s="1">
        <v>1</v>
      </c>
    </row>
    <row r="5465" spans="1:41" x14ac:dyDescent="0.3">
      <c r="A5465" s="1" t="s">
        <v>70</v>
      </c>
      <c r="B5465" s="7">
        <v>40766</v>
      </c>
      <c r="C5465" s="1">
        <v>10</v>
      </c>
      <c r="D5465" s="1">
        <v>252</v>
      </c>
      <c r="E5465" s="1">
        <v>1</v>
      </c>
      <c r="F5465" s="1">
        <v>36</v>
      </c>
      <c r="J5465" s="1">
        <v>1</v>
      </c>
      <c r="N5465" s="1">
        <v>1</v>
      </c>
      <c r="AO5465" s="1">
        <v>1</v>
      </c>
    </row>
    <row r="5466" spans="1:41" x14ac:dyDescent="0.3">
      <c r="A5466" s="1" t="s">
        <v>70</v>
      </c>
      <c r="B5466" s="7">
        <v>40766</v>
      </c>
      <c r="C5466" s="1">
        <v>10</v>
      </c>
      <c r="D5466" s="1">
        <v>252</v>
      </c>
      <c r="E5466" s="1">
        <v>1</v>
      </c>
      <c r="F5466" s="1">
        <v>37</v>
      </c>
      <c r="J5466" s="1">
        <v>1</v>
      </c>
    </row>
    <row r="5467" spans="1:41" x14ac:dyDescent="0.3">
      <c r="A5467" s="1" t="s">
        <v>70</v>
      </c>
      <c r="B5467" s="7">
        <v>40766</v>
      </c>
      <c r="C5467" s="1">
        <v>10</v>
      </c>
      <c r="D5467" s="1">
        <v>252</v>
      </c>
      <c r="E5467" s="1">
        <v>1</v>
      </c>
      <c r="F5467" s="1">
        <v>38</v>
      </c>
      <c r="J5467" s="1">
        <v>1</v>
      </c>
      <c r="T5467" s="1">
        <v>1</v>
      </c>
    </row>
    <row r="5468" spans="1:41" x14ac:dyDescent="0.3">
      <c r="A5468" s="1" t="s">
        <v>70</v>
      </c>
      <c r="B5468" s="7">
        <v>40766</v>
      </c>
      <c r="C5468" s="1">
        <v>10</v>
      </c>
      <c r="D5468" s="1">
        <v>252</v>
      </c>
      <c r="E5468" s="1">
        <v>1</v>
      </c>
      <c r="F5468" s="1">
        <v>39</v>
      </c>
      <c r="H5468" s="1">
        <v>1</v>
      </c>
    </row>
    <row r="5469" spans="1:41" x14ac:dyDescent="0.3">
      <c r="A5469" s="1" t="s">
        <v>70</v>
      </c>
      <c r="B5469" s="7">
        <v>40766</v>
      </c>
      <c r="C5469" s="1">
        <v>10</v>
      </c>
      <c r="D5469" s="1">
        <v>252</v>
      </c>
      <c r="E5469" s="1">
        <v>1</v>
      </c>
      <c r="F5469" s="1">
        <v>40</v>
      </c>
      <c r="J5469" s="1">
        <v>1</v>
      </c>
    </row>
    <row r="5470" spans="1:41" x14ac:dyDescent="0.3">
      <c r="A5470" s="1" t="s">
        <v>70</v>
      </c>
      <c r="B5470" s="7">
        <v>40766</v>
      </c>
      <c r="C5470" s="1">
        <v>10</v>
      </c>
      <c r="D5470" s="1">
        <v>252</v>
      </c>
      <c r="E5470" s="1">
        <v>1</v>
      </c>
      <c r="F5470" s="1">
        <v>41</v>
      </c>
      <c r="AO5470" s="1">
        <v>1</v>
      </c>
    </row>
    <row r="5471" spans="1:41" x14ac:dyDescent="0.3">
      <c r="A5471" s="1" t="s">
        <v>70</v>
      </c>
      <c r="B5471" s="7">
        <v>40766</v>
      </c>
      <c r="C5471" s="1">
        <v>10</v>
      </c>
      <c r="D5471" s="1">
        <v>252</v>
      </c>
      <c r="E5471" s="1">
        <v>1</v>
      </c>
      <c r="F5471" s="1">
        <v>42</v>
      </c>
      <c r="J5471" s="1">
        <v>1</v>
      </c>
    </row>
    <row r="5472" spans="1:41" x14ac:dyDescent="0.3">
      <c r="A5472" s="1" t="s">
        <v>70</v>
      </c>
      <c r="B5472" s="7">
        <v>40766</v>
      </c>
      <c r="C5472" s="1">
        <v>10</v>
      </c>
      <c r="D5472" s="1">
        <v>252</v>
      </c>
      <c r="E5472" s="1">
        <v>1</v>
      </c>
      <c r="F5472" s="1">
        <v>43</v>
      </c>
      <c r="J5472" s="3">
        <v>0</v>
      </c>
      <c r="K5472" s="3">
        <v>1</v>
      </c>
      <c r="N5472" s="1">
        <v>1</v>
      </c>
    </row>
    <row r="5473" spans="1:41" x14ac:dyDescent="0.3">
      <c r="A5473" s="1" t="s">
        <v>70</v>
      </c>
      <c r="B5473" s="7">
        <v>40766</v>
      </c>
      <c r="C5473" s="1">
        <v>10</v>
      </c>
      <c r="D5473" s="1">
        <v>252</v>
      </c>
      <c r="E5473" s="1">
        <v>1</v>
      </c>
      <c r="F5473" s="1">
        <v>44</v>
      </c>
      <c r="H5473" s="1">
        <v>1</v>
      </c>
      <c r="J5473" s="3">
        <v>0</v>
      </c>
      <c r="K5473" s="3">
        <v>1</v>
      </c>
      <c r="T5473" s="1">
        <v>1</v>
      </c>
    </row>
    <row r="5474" spans="1:41" x14ac:dyDescent="0.3">
      <c r="A5474" s="1" t="s">
        <v>70</v>
      </c>
      <c r="B5474" s="7">
        <v>40766</v>
      </c>
      <c r="C5474" s="1">
        <v>10</v>
      </c>
      <c r="D5474" s="1">
        <v>252</v>
      </c>
      <c r="E5474" s="1">
        <v>1</v>
      </c>
      <c r="F5474" s="1">
        <v>45</v>
      </c>
      <c r="J5474" s="1">
        <v>1</v>
      </c>
      <c r="L5474" s="1">
        <v>1</v>
      </c>
    </row>
    <row r="5475" spans="1:41" x14ac:dyDescent="0.3">
      <c r="A5475" s="1" t="s">
        <v>70</v>
      </c>
      <c r="B5475" s="7">
        <v>40766</v>
      </c>
      <c r="C5475" s="1">
        <v>10</v>
      </c>
      <c r="D5475" s="1">
        <v>252</v>
      </c>
      <c r="E5475" s="1">
        <v>1</v>
      </c>
      <c r="F5475" s="1">
        <v>46</v>
      </c>
      <c r="J5475" s="1">
        <v>1</v>
      </c>
    </row>
    <row r="5476" spans="1:41" x14ac:dyDescent="0.3">
      <c r="A5476" s="1" t="s">
        <v>70</v>
      </c>
      <c r="B5476" s="7">
        <v>40766</v>
      </c>
      <c r="C5476" s="1">
        <v>10</v>
      </c>
      <c r="D5476" s="1">
        <v>252</v>
      </c>
      <c r="E5476" s="1">
        <v>1</v>
      </c>
      <c r="F5476" s="1">
        <v>47</v>
      </c>
      <c r="J5476" s="1">
        <v>1</v>
      </c>
      <c r="AO5476" s="1">
        <v>1</v>
      </c>
    </row>
    <row r="5477" spans="1:41" x14ac:dyDescent="0.3">
      <c r="A5477" s="1" t="s">
        <v>70</v>
      </c>
      <c r="B5477" s="7">
        <v>40766</v>
      </c>
      <c r="C5477" s="1">
        <v>10</v>
      </c>
      <c r="D5477" s="1">
        <v>252</v>
      </c>
      <c r="E5477" s="1">
        <v>1</v>
      </c>
      <c r="F5477" s="1">
        <v>48</v>
      </c>
      <c r="H5477" s="1">
        <v>1</v>
      </c>
      <c r="AO5477" s="1">
        <v>1</v>
      </c>
    </row>
    <row r="5478" spans="1:41" x14ac:dyDescent="0.3">
      <c r="A5478" s="1" t="s">
        <v>70</v>
      </c>
      <c r="B5478" s="7">
        <v>40766</v>
      </c>
      <c r="C5478" s="1">
        <v>10</v>
      </c>
      <c r="D5478" s="1">
        <v>252</v>
      </c>
      <c r="E5478" s="1">
        <v>1</v>
      </c>
      <c r="F5478" s="1">
        <v>49</v>
      </c>
      <c r="T5478" s="1">
        <v>1</v>
      </c>
      <c r="AO5478" s="1">
        <v>1</v>
      </c>
    </row>
    <row r="5479" spans="1:41" x14ac:dyDescent="0.3">
      <c r="A5479" s="1" t="s">
        <v>70</v>
      </c>
      <c r="B5479" s="7">
        <v>40766</v>
      </c>
      <c r="C5479" s="1">
        <v>10</v>
      </c>
      <c r="D5479" s="1">
        <v>252</v>
      </c>
      <c r="E5479" s="1">
        <v>1</v>
      </c>
      <c r="F5479" s="1">
        <v>50</v>
      </c>
      <c r="J5479" s="1">
        <v>1</v>
      </c>
      <c r="L5479" s="1">
        <v>1</v>
      </c>
    </row>
    <row r="5480" spans="1:41" x14ac:dyDescent="0.3">
      <c r="A5480" s="1" t="s">
        <v>70</v>
      </c>
      <c r="B5480" s="7">
        <v>40766</v>
      </c>
      <c r="C5480" s="1">
        <v>10</v>
      </c>
      <c r="D5480" s="1">
        <v>252</v>
      </c>
      <c r="E5480" s="1">
        <v>1</v>
      </c>
      <c r="F5480" s="1">
        <v>51</v>
      </c>
      <c r="J5480" s="3">
        <v>0</v>
      </c>
      <c r="K5480" s="3">
        <v>1</v>
      </c>
      <c r="L5480" s="1">
        <v>1</v>
      </c>
    </row>
    <row r="5481" spans="1:41" x14ac:dyDescent="0.3">
      <c r="A5481" s="1" t="s">
        <v>70</v>
      </c>
      <c r="B5481" s="7">
        <v>40766</v>
      </c>
      <c r="C5481" s="1">
        <v>10</v>
      </c>
      <c r="D5481" s="1">
        <v>252</v>
      </c>
      <c r="E5481" s="1">
        <v>1</v>
      </c>
      <c r="F5481" s="1">
        <v>52</v>
      </c>
      <c r="J5481" s="1">
        <v>1</v>
      </c>
      <c r="T5481" s="1">
        <v>1</v>
      </c>
    </row>
    <row r="5482" spans="1:41" x14ac:dyDescent="0.3">
      <c r="A5482" s="1" t="s">
        <v>70</v>
      </c>
      <c r="B5482" s="7">
        <v>40766</v>
      </c>
      <c r="C5482" s="1">
        <v>10</v>
      </c>
      <c r="D5482" s="1">
        <v>252</v>
      </c>
      <c r="E5482" s="1">
        <v>1</v>
      </c>
      <c r="F5482" s="1">
        <v>53</v>
      </c>
      <c r="H5482" s="1">
        <v>1</v>
      </c>
      <c r="J5482" s="3">
        <v>0</v>
      </c>
      <c r="K5482" s="3">
        <v>1</v>
      </c>
    </row>
    <row r="5483" spans="1:41" x14ac:dyDescent="0.3">
      <c r="A5483" s="1" t="s">
        <v>70</v>
      </c>
      <c r="B5483" s="7">
        <v>40766</v>
      </c>
      <c r="C5483" s="1">
        <v>10</v>
      </c>
      <c r="D5483" s="1">
        <v>252</v>
      </c>
      <c r="E5483" s="1">
        <v>1</v>
      </c>
      <c r="F5483" s="1">
        <v>54</v>
      </c>
      <c r="J5483" s="1">
        <v>1</v>
      </c>
    </row>
    <row r="5484" spans="1:41" x14ac:dyDescent="0.3">
      <c r="A5484" s="1" t="s">
        <v>70</v>
      </c>
      <c r="B5484" s="7">
        <v>40766</v>
      </c>
      <c r="C5484" s="1">
        <v>10</v>
      </c>
      <c r="D5484" s="1">
        <v>252</v>
      </c>
      <c r="E5484" s="1">
        <v>1</v>
      </c>
      <c r="F5484" s="1">
        <v>55</v>
      </c>
      <c r="L5484" s="1">
        <v>1</v>
      </c>
      <c r="T5484" s="1">
        <v>1</v>
      </c>
    </row>
    <row r="5485" spans="1:41" x14ac:dyDescent="0.3">
      <c r="A5485" s="1" t="s">
        <v>70</v>
      </c>
      <c r="B5485" s="7">
        <v>40766</v>
      </c>
      <c r="C5485" s="1">
        <v>10</v>
      </c>
      <c r="D5485" s="1">
        <v>252</v>
      </c>
      <c r="E5485" s="1">
        <v>1</v>
      </c>
      <c r="F5485" s="1">
        <v>56</v>
      </c>
      <c r="J5485" s="3">
        <v>0</v>
      </c>
      <c r="K5485" s="3">
        <v>1</v>
      </c>
    </row>
    <row r="5486" spans="1:41" x14ac:dyDescent="0.3">
      <c r="A5486" s="1" t="s">
        <v>70</v>
      </c>
      <c r="B5486" s="7">
        <v>40766</v>
      </c>
      <c r="C5486" s="1">
        <v>10</v>
      </c>
      <c r="D5486" s="1">
        <v>252</v>
      </c>
      <c r="E5486" s="1">
        <v>1</v>
      </c>
      <c r="F5486" s="1">
        <v>57</v>
      </c>
      <c r="J5486" s="1">
        <v>1</v>
      </c>
      <c r="L5486" s="1">
        <v>1</v>
      </c>
    </row>
    <row r="5487" spans="1:41" x14ac:dyDescent="0.3">
      <c r="A5487" s="1" t="s">
        <v>70</v>
      </c>
      <c r="B5487" s="7">
        <v>40766</v>
      </c>
      <c r="C5487" s="1">
        <v>10</v>
      </c>
      <c r="D5487" s="1">
        <v>252</v>
      </c>
      <c r="E5487" s="1">
        <v>1</v>
      </c>
      <c r="F5487" s="1">
        <v>58</v>
      </c>
      <c r="H5487" s="1">
        <v>1</v>
      </c>
      <c r="L5487" s="1">
        <v>1</v>
      </c>
    </row>
    <row r="5488" spans="1:41" x14ac:dyDescent="0.3">
      <c r="A5488" s="1" t="s">
        <v>70</v>
      </c>
      <c r="B5488" s="7">
        <v>40766</v>
      </c>
      <c r="C5488" s="1">
        <v>10</v>
      </c>
      <c r="D5488" s="1">
        <v>252</v>
      </c>
      <c r="E5488" s="1">
        <v>1</v>
      </c>
      <c r="F5488" s="1">
        <v>59</v>
      </c>
      <c r="J5488" s="1">
        <v>1</v>
      </c>
    </row>
    <row r="5489" spans="1:59" x14ac:dyDescent="0.3">
      <c r="A5489" s="1" t="s">
        <v>70</v>
      </c>
      <c r="B5489" s="7">
        <v>40766</v>
      </c>
      <c r="C5489" s="1">
        <v>10</v>
      </c>
      <c r="D5489" s="1">
        <v>252</v>
      </c>
      <c r="E5489" s="1">
        <v>1</v>
      </c>
      <c r="F5489" s="1">
        <v>60</v>
      </c>
      <c r="J5489" s="1">
        <v>1</v>
      </c>
      <c r="T5489" s="1">
        <v>1</v>
      </c>
    </row>
    <row r="5490" spans="1:59" x14ac:dyDescent="0.3">
      <c r="A5490" s="1" t="s">
        <v>70</v>
      </c>
      <c r="B5490" s="7">
        <v>40766</v>
      </c>
      <c r="C5490" s="1">
        <v>10</v>
      </c>
      <c r="D5490" s="1">
        <v>252</v>
      </c>
      <c r="E5490" s="1">
        <v>1</v>
      </c>
      <c r="F5490" s="1">
        <v>61</v>
      </c>
      <c r="J5490" s="1">
        <v>1</v>
      </c>
      <c r="T5490" s="1">
        <v>1</v>
      </c>
    </row>
    <row r="5491" spans="1:59" x14ac:dyDescent="0.3">
      <c r="A5491" s="1" t="s">
        <v>70</v>
      </c>
      <c r="B5491" s="7">
        <v>40766</v>
      </c>
      <c r="C5491" s="1">
        <v>10</v>
      </c>
      <c r="D5491" s="1">
        <v>252</v>
      </c>
      <c r="E5491" s="1">
        <v>1</v>
      </c>
      <c r="F5491" s="1">
        <v>62</v>
      </c>
      <c r="H5491" s="1">
        <v>1</v>
      </c>
      <c r="J5491" s="1">
        <v>1</v>
      </c>
      <c r="AO5491" s="1">
        <v>1</v>
      </c>
    </row>
    <row r="5492" spans="1:59" x14ac:dyDescent="0.3">
      <c r="A5492" s="1" t="s">
        <v>70</v>
      </c>
      <c r="B5492" s="7">
        <v>40766</v>
      </c>
      <c r="C5492" s="1">
        <v>10</v>
      </c>
      <c r="D5492" s="1">
        <v>252</v>
      </c>
      <c r="E5492" s="1">
        <v>1</v>
      </c>
      <c r="F5492" s="1">
        <v>63</v>
      </c>
      <c r="J5492" s="3">
        <v>0</v>
      </c>
      <c r="K5492" s="3">
        <v>1</v>
      </c>
      <c r="N5492" s="1">
        <v>1</v>
      </c>
    </row>
    <row r="5493" spans="1:59" x14ac:dyDescent="0.3">
      <c r="A5493" s="1" t="s">
        <v>70</v>
      </c>
      <c r="B5493" s="7">
        <v>40766</v>
      </c>
      <c r="C5493" s="1">
        <v>10</v>
      </c>
      <c r="D5493" s="1">
        <v>252</v>
      </c>
      <c r="E5493" s="1">
        <v>1</v>
      </c>
      <c r="F5493" s="1">
        <v>64</v>
      </c>
      <c r="L5493" s="1">
        <v>1</v>
      </c>
    </row>
    <row r="5494" spans="1:59" x14ac:dyDescent="0.3">
      <c r="A5494" s="1" t="s">
        <v>70</v>
      </c>
      <c r="B5494" s="7">
        <v>40766</v>
      </c>
      <c r="C5494" s="1">
        <v>10</v>
      </c>
      <c r="D5494" s="1">
        <v>252</v>
      </c>
      <c r="E5494" s="1">
        <v>1</v>
      </c>
      <c r="F5494" s="1">
        <v>65</v>
      </c>
      <c r="J5494" s="3">
        <v>0</v>
      </c>
      <c r="K5494" s="3">
        <v>1</v>
      </c>
      <c r="N5494" s="1">
        <v>1</v>
      </c>
      <c r="AO5494" s="1">
        <v>1</v>
      </c>
    </row>
    <row r="5495" spans="1:59" x14ac:dyDescent="0.3">
      <c r="A5495" s="1" t="s">
        <v>70</v>
      </c>
      <c r="B5495" s="7">
        <v>40766</v>
      </c>
      <c r="C5495" s="1">
        <v>10</v>
      </c>
      <c r="D5495" s="1">
        <v>252</v>
      </c>
      <c r="E5495" s="1">
        <v>1</v>
      </c>
      <c r="F5495" s="1">
        <v>66</v>
      </c>
      <c r="J5495" s="3">
        <v>0</v>
      </c>
      <c r="K5495" s="3">
        <v>1</v>
      </c>
    </row>
    <row r="5496" spans="1:59" x14ac:dyDescent="0.3">
      <c r="A5496" s="1" t="s">
        <v>70</v>
      </c>
      <c r="B5496" s="7">
        <v>40766</v>
      </c>
      <c r="C5496" s="1">
        <v>10</v>
      </c>
      <c r="D5496" s="1">
        <v>252</v>
      </c>
      <c r="E5496" s="1">
        <v>1</v>
      </c>
      <c r="F5496" s="1">
        <v>67</v>
      </c>
      <c r="H5496" s="1">
        <v>1</v>
      </c>
      <c r="BG5496" s="1">
        <v>1</v>
      </c>
    </row>
    <row r="5497" spans="1:59" x14ac:dyDescent="0.3">
      <c r="A5497" s="1" t="s">
        <v>70</v>
      </c>
      <c r="B5497" s="7">
        <v>40766</v>
      </c>
      <c r="C5497" s="1">
        <v>10</v>
      </c>
      <c r="D5497" s="1">
        <v>252</v>
      </c>
      <c r="E5497" s="1">
        <v>1</v>
      </c>
      <c r="F5497" s="1">
        <v>68</v>
      </c>
      <c r="H5497" s="1">
        <v>1</v>
      </c>
      <c r="AO5497" s="1">
        <v>1</v>
      </c>
    </row>
    <row r="5498" spans="1:59" x14ac:dyDescent="0.3">
      <c r="A5498" s="1" t="s">
        <v>70</v>
      </c>
      <c r="B5498" s="7">
        <v>40766</v>
      </c>
      <c r="C5498" s="1">
        <v>10</v>
      </c>
      <c r="D5498" s="1">
        <v>252</v>
      </c>
      <c r="E5498" s="1">
        <v>1</v>
      </c>
      <c r="F5498" s="1">
        <v>69</v>
      </c>
      <c r="H5498" s="1">
        <v>1</v>
      </c>
    </row>
    <row r="5499" spans="1:59" x14ac:dyDescent="0.3">
      <c r="A5499" s="1" t="s">
        <v>70</v>
      </c>
      <c r="B5499" s="7">
        <v>40766</v>
      </c>
      <c r="C5499" s="1">
        <v>10</v>
      </c>
      <c r="D5499" s="1">
        <v>252</v>
      </c>
      <c r="E5499" s="1">
        <v>1</v>
      </c>
      <c r="F5499" s="1">
        <v>70</v>
      </c>
      <c r="H5499" s="1">
        <v>1</v>
      </c>
      <c r="T5499" s="1">
        <v>1</v>
      </c>
    </row>
    <row r="5500" spans="1:59" x14ac:dyDescent="0.3">
      <c r="A5500" s="1" t="s">
        <v>70</v>
      </c>
      <c r="B5500" s="7">
        <v>40766</v>
      </c>
      <c r="C5500" s="1">
        <v>10</v>
      </c>
      <c r="D5500" s="1">
        <v>252</v>
      </c>
      <c r="E5500" s="1">
        <v>1</v>
      </c>
      <c r="F5500" s="1">
        <v>71</v>
      </c>
      <c r="J5500" s="1">
        <v>1</v>
      </c>
    </row>
    <row r="5501" spans="1:59" x14ac:dyDescent="0.3">
      <c r="A5501" s="1" t="s">
        <v>70</v>
      </c>
      <c r="B5501" s="7">
        <v>40766</v>
      </c>
      <c r="C5501" s="1">
        <v>10</v>
      </c>
      <c r="D5501" s="1">
        <v>252</v>
      </c>
      <c r="E5501" s="1">
        <v>1</v>
      </c>
      <c r="F5501" s="1">
        <v>72</v>
      </c>
      <c r="J5501" s="1">
        <v>1</v>
      </c>
      <c r="AO5501" s="1">
        <v>1</v>
      </c>
    </row>
    <row r="5502" spans="1:59" x14ac:dyDescent="0.3">
      <c r="A5502" s="1" t="s">
        <v>70</v>
      </c>
      <c r="B5502" s="7">
        <v>40766</v>
      </c>
      <c r="C5502" s="1">
        <v>10</v>
      </c>
      <c r="D5502" s="1">
        <v>252</v>
      </c>
      <c r="E5502" s="1">
        <v>1</v>
      </c>
      <c r="F5502" s="1">
        <v>73</v>
      </c>
      <c r="J5502" s="1">
        <v>1</v>
      </c>
    </row>
    <row r="5503" spans="1:59" x14ac:dyDescent="0.3">
      <c r="A5503" s="1" t="s">
        <v>70</v>
      </c>
      <c r="B5503" s="7">
        <v>40766</v>
      </c>
      <c r="C5503" s="1">
        <v>10</v>
      </c>
      <c r="D5503" s="1">
        <v>252</v>
      </c>
      <c r="E5503" s="1">
        <v>1</v>
      </c>
      <c r="F5503" s="1">
        <v>74</v>
      </c>
      <c r="J5503" s="1">
        <v>1</v>
      </c>
    </row>
    <row r="5504" spans="1:59" x14ac:dyDescent="0.3">
      <c r="A5504" s="1" t="s">
        <v>70</v>
      </c>
      <c r="B5504" s="7">
        <v>40766</v>
      </c>
      <c r="C5504" s="1">
        <v>10</v>
      </c>
      <c r="D5504" s="1">
        <v>252</v>
      </c>
      <c r="E5504" s="1">
        <v>1</v>
      </c>
      <c r="F5504" s="1">
        <v>75</v>
      </c>
      <c r="T5504" s="1">
        <v>1</v>
      </c>
    </row>
    <row r="5505" spans="1:41" x14ac:dyDescent="0.3">
      <c r="A5505" s="1" t="s">
        <v>70</v>
      </c>
      <c r="B5505" s="7">
        <v>40766</v>
      </c>
      <c r="C5505" s="1">
        <v>10</v>
      </c>
      <c r="D5505" s="1">
        <v>252</v>
      </c>
      <c r="E5505" s="1">
        <v>1</v>
      </c>
      <c r="F5505" s="1">
        <v>76</v>
      </c>
      <c r="H5505" s="1">
        <v>1</v>
      </c>
      <c r="J5505" s="3">
        <v>0</v>
      </c>
      <c r="K5505" s="3">
        <v>1</v>
      </c>
    </row>
    <row r="5506" spans="1:41" x14ac:dyDescent="0.3">
      <c r="A5506" s="1" t="s">
        <v>70</v>
      </c>
      <c r="B5506" s="7">
        <v>40766</v>
      </c>
      <c r="C5506" s="1">
        <v>10</v>
      </c>
      <c r="D5506" s="1">
        <v>252</v>
      </c>
      <c r="E5506" s="1">
        <v>1</v>
      </c>
      <c r="F5506" s="1">
        <v>77</v>
      </c>
      <c r="H5506" s="1">
        <v>1</v>
      </c>
      <c r="J5506" s="3">
        <v>0</v>
      </c>
      <c r="K5506" s="3">
        <v>1</v>
      </c>
    </row>
    <row r="5507" spans="1:41" x14ac:dyDescent="0.3">
      <c r="A5507" s="1" t="s">
        <v>70</v>
      </c>
      <c r="B5507" s="7">
        <v>40766</v>
      </c>
      <c r="C5507" s="1">
        <v>10</v>
      </c>
      <c r="D5507" s="1">
        <v>252</v>
      </c>
      <c r="E5507" s="1">
        <v>1</v>
      </c>
      <c r="F5507" s="1">
        <v>78</v>
      </c>
      <c r="H5507" s="1">
        <v>1</v>
      </c>
      <c r="J5507" s="1">
        <v>1</v>
      </c>
      <c r="T5507" s="1">
        <v>1</v>
      </c>
    </row>
    <row r="5508" spans="1:41" x14ac:dyDescent="0.3">
      <c r="A5508" s="1" t="s">
        <v>70</v>
      </c>
      <c r="B5508" s="7">
        <v>40766</v>
      </c>
      <c r="C5508" s="1">
        <v>10</v>
      </c>
      <c r="D5508" s="1">
        <v>252</v>
      </c>
      <c r="E5508" s="1">
        <v>1</v>
      </c>
      <c r="F5508" s="1">
        <v>79</v>
      </c>
      <c r="H5508" s="1">
        <v>1</v>
      </c>
      <c r="J5508" s="1">
        <v>1</v>
      </c>
      <c r="T5508" s="1">
        <v>1</v>
      </c>
    </row>
    <row r="5509" spans="1:41" x14ac:dyDescent="0.3">
      <c r="A5509" s="1" t="s">
        <v>70</v>
      </c>
      <c r="B5509" s="7">
        <v>40766</v>
      </c>
      <c r="C5509" s="1">
        <v>10</v>
      </c>
      <c r="D5509" s="1">
        <v>252</v>
      </c>
      <c r="E5509" s="1">
        <v>1</v>
      </c>
      <c r="F5509" s="1">
        <v>80</v>
      </c>
      <c r="H5509" s="1">
        <v>1</v>
      </c>
    </row>
    <row r="5510" spans="1:41" x14ac:dyDescent="0.3">
      <c r="A5510" s="1" t="s">
        <v>70</v>
      </c>
      <c r="B5510" s="7">
        <v>40766</v>
      </c>
      <c r="C5510" s="1">
        <v>10</v>
      </c>
      <c r="D5510" s="1">
        <v>252</v>
      </c>
      <c r="E5510" s="1">
        <v>1</v>
      </c>
      <c r="F5510" s="1">
        <v>81</v>
      </c>
      <c r="J5510" s="1">
        <v>1</v>
      </c>
      <c r="AO5510" s="1">
        <v>1</v>
      </c>
    </row>
    <row r="5511" spans="1:41" x14ac:dyDescent="0.3">
      <c r="A5511" s="1" t="s">
        <v>70</v>
      </c>
      <c r="B5511" s="7">
        <v>40766</v>
      </c>
      <c r="C5511" s="1">
        <v>10</v>
      </c>
      <c r="D5511" s="1">
        <v>252</v>
      </c>
      <c r="E5511" s="1">
        <v>1</v>
      </c>
      <c r="F5511" s="1">
        <v>82</v>
      </c>
      <c r="J5511" s="1">
        <v>1</v>
      </c>
    </row>
    <row r="5512" spans="1:41" x14ac:dyDescent="0.3">
      <c r="A5512" s="1" t="s">
        <v>70</v>
      </c>
      <c r="B5512" s="7">
        <v>40766</v>
      </c>
      <c r="C5512" s="1">
        <v>10</v>
      </c>
      <c r="D5512" s="1">
        <v>252</v>
      </c>
      <c r="E5512" s="1">
        <v>1</v>
      </c>
      <c r="F5512" s="1">
        <v>83</v>
      </c>
      <c r="J5512" s="1">
        <v>1</v>
      </c>
      <c r="AO5512" s="1">
        <v>1</v>
      </c>
    </row>
    <row r="5513" spans="1:41" x14ac:dyDescent="0.3">
      <c r="A5513" s="1" t="s">
        <v>70</v>
      </c>
      <c r="B5513" s="7">
        <v>40766</v>
      </c>
      <c r="C5513" s="1">
        <v>10</v>
      </c>
      <c r="D5513" s="1">
        <v>252</v>
      </c>
      <c r="E5513" s="1">
        <v>1</v>
      </c>
      <c r="F5513" s="1">
        <v>84</v>
      </c>
      <c r="J5513" s="1">
        <v>1</v>
      </c>
      <c r="AO5513" s="1">
        <v>1</v>
      </c>
    </row>
    <row r="5514" spans="1:41" x14ac:dyDescent="0.3">
      <c r="A5514" s="1" t="s">
        <v>70</v>
      </c>
      <c r="B5514" s="7">
        <v>40766</v>
      </c>
      <c r="C5514" s="1">
        <v>10</v>
      </c>
      <c r="D5514" s="1">
        <v>252</v>
      </c>
      <c r="E5514" s="1">
        <v>1</v>
      </c>
      <c r="F5514" s="1">
        <v>85</v>
      </c>
      <c r="I5514" s="1">
        <v>1</v>
      </c>
      <c r="J5514" s="1">
        <v>1</v>
      </c>
    </row>
    <row r="5515" spans="1:41" x14ac:dyDescent="0.3">
      <c r="A5515" s="1" t="s">
        <v>70</v>
      </c>
      <c r="B5515" s="7">
        <v>40766</v>
      </c>
      <c r="C5515" s="1">
        <v>10</v>
      </c>
      <c r="D5515" s="1">
        <v>252</v>
      </c>
      <c r="E5515" s="1">
        <v>1</v>
      </c>
      <c r="F5515" s="1">
        <v>86</v>
      </c>
      <c r="J5515" s="1">
        <v>1</v>
      </c>
    </row>
    <row r="5516" spans="1:41" x14ac:dyDescent="0.3">
      <c r="A5516" s="1" t="s">
        <v>70</v>
      </c>
      <c r="B5516" s="7">
        <v>40766</v>
      </c>
      <c r="C5516" s="1">
        <v>10</v>
      </c>
      <c r="D5516" s="1">
        <v>252</v>
      </c>
      <c r="E5516" s="1">
        <v>1</v>
      </c>
      <c r="F5516" s="1">
        <v>87</v>
      </c>
      <c r="J5516" s="1">
        <v>1</v>
      </c>
    </row>
    <row r="5517" spans="1:41" x14ac:dyDescent="0.3">
      <c r="A5517" s="1" t="s">
        <v>70</v>
      </c>
      <c r="B5517" s="7">
        <v>40766</v>
      </c>
      <c r="C5517" s="1">
        <v>10</v>
      </c>
      <c r="D5517" s="1">
        <v>252</v>
      </c>
      <c r="E5517" s="1">
        <v>1</v>
      </c>
      <c r="F5517" s="1">
        <v>88</v>
      </c>
      <c r="J5517" s="1">
        <v>1</v>
      </c>
      <c r="R5517" s="3">
        <v>0</v>
      </c>
      <c r="S5517" s="3">
        <v>1</v>
      </c>
      <c r="AO5517" s="1">
        <v>1</v>
      </c>
    </row>
    <row r="5518" spans="1:41" x14ac:dyDescent="0.3">
      <c r="A5518" s="1" t="s">
        <v>70</v>
      </c>
      <c r="B5518" s="7">
        <v>40766</v>
      </c>
      <c r="C5518" s="1">
        <v>10</v>
      </c>
      <c r="D5518" s="1">
        <v>252</v>
      </c>
      <c r="E5518" s="1">
        <v>1</v>
      </c>
      <c r="F5518" s="1">
        <v>89</v>
      </c>
      <c r="J5518" s="1">
        <v>1</v>
      </c>
    </row>
    <row r="5519" spans="1:41" x14ac:dyDescent="0.3">
      <c r="A5519" s="1" t="s">
        <v>70</v>
      </c>
      <c r="B5519" s="7">
        <v>40766</v>
      </c>
      <c r="C5519" s="1">
        <v>10</v>
      </c>
      <c r="D5519" s="1">
        <v>252</v>
      </c>
      <c r="E5519" s="1">
        <v>1</v>
      </c>
      <c r="F5519" s="1">
        <v>90</v>
      </c>
      <c r="H5519" s="1">
        <v>1</v>
      </c>
    </row>
    <row r="5520" spans="1:41" x14ac:dyDescent="0.3">
      <c r="A5520" s="1" t="s">
        <v>70</v>
      </c>
      <c r="B5520" s="7">
        <v>40766</v>
      </c>
      <c r="C5520" s="1">
        <v>10</v>
      </c>
      <c r="D5520" s="1">
        <v>252</v>
      </c>
      <c r="E5520" s="1">
        <v>1</v>
      </c>
      <c r="F5520" s="1">
        <v>91</v>
      </c>
      <c r="J5520" s="1">
        <v>1</v>
      </c>
      <c r="AO5520" s="1">
        <v>1</v>
      </c>
    </row>
    <row r="5521" spans="1:90" x14ac:dyDescent="0.3">
      <c r="A5521" s="1" t="s">
        <v>70</v>
      </c>
      <c r="B5521" s="7">
        <v>40766</v>
      </c>
      <c r="C5521" s="1">
        <v>10</v>
      </c>
      <c r="D5521" s="1">
        <v>252</v>
      </c>
      <c r="E5521" s="1">
        <v>1</v>
      </c>
      <c r="F5521" s="1">
        <v>92</v>
      </c>
      <c r="J5521" s="1">
        <v>1</v>
      </c>
    </row>
    <row r="5522" spans="1:90" x14ac:dyDescent="0.3">
      <c r="A5522" s="1" t="s">
        <v>70</v>
      </c>
      <c r="B5522" s="7">
        <v>40766</v>
      </c>
      <c r="C5522" s="1">
        <v>10</v>
      </c>
      <c r="D5522" s="1">
        <v>252</v>
      </c>
      <c r="E5522" s="1">
        <v>1</v>
      </c>
      <c r="F5522" s="1">
        <v>93</v>
      </c>
      <c r="J5522" s="1">
        <v>1</v>
      </c>
    </row>
    <row r="5523" spans="1:90" x14ac:dyDescent="0.3">
      <c r="A5523" s="1" t="s">
        <v>70</v>
      </c>
      <c r="B5523" s="7">
        <v>40766</v>
      </c>
      <c r="C5523" s="1">
        <v>10</v>
      </c>
      <c r="D5523" s="1">
        <v>252</v>
      </c>
      <c r="E5523" s="1">
        <v>1</v>
      </c>
      <c r="F5523" s="1">
        <v>94</v>
      </c>
      <c r="J5523" s="1">
        <v>1</v>
      </c>
    </row>
    <row r="5524" spans="1:90" x14ac:dyDescent="0.3">
      <c r="A5524" s="1" t="s">
        <v>70</v>
      </c>
      <c r="B5524" s="7">
        <v>40766</v>
      </c>
      <c r="C5524" s="1">
        <v>10</v>
      </c>
      <c r="D5524" s="1">
        <v>252</v>
      </c>
      <c r="E5524" s="1">
        <v>1</v>
      </c>
      <c r="F5524" s="1">
        <v>95</v>
      </c>
      <c r="J5524" s="1">
        <v>1</v>
      </c>
      <c r="T5524" s="1">
        <v>1</v>
      </c>
    </row>
    <row r="5525" spans="1:90" x14ac:dyDescent="0.3">
      <c r="A5525" s="1" t="s">
        <v>70</v>
      </c>
      <c r="B5525" s="7">
        <v>40766</v>
      </c>
      <c r="C5525" s="1">
        <v>10</v>
      </c>
      <c r="D5525" s="1">
        <v>252</v>
      </c>
      <c r="E5525" s="1">
        <v>1</v>
      </c>
      <c r="F5525" s="1">
        <v>96</v>
      </c>
      <c r="J5525" s="1">
        <v>1</v>
      </c>
      <c r="T5525" s="1">
        <v>1</v>
      </c>
    </row>
    <row r="5526" spans="1:90" x14ac:dyDescent="0.3">
      <c r="A5526" s="1" t="s">
        <v>70</v>
      </c>
      <c r="B5526" s="7">
        <v>40766</v>
      </c>
      <c r="C5526" s="1">
        <v>10</v>
      </c>
      <c r="D5526" s="1">
        <v>252</v>
      </c>
      <c r="E5526" s="1">
        <v>1</v>
      </c>
      <c r="F5526" s="1">
        <v>97</v>
      </c>
      <c r="J5526" s="1">
        <v>1</v>
      </c>
      <c r="T5526" s="1">
        <v>1</v>
      </c>
    </row>
    <row r="5527" spans="1:90" x14ac:dyDescent="0.3">
      <c r="A5527" s="1" t="s">
        <v>70</v>
      </c>
      <c r="B5527" s="7">
        <v>40766</v>
      </c>
      <c r="C5527" s="1">
        <v>10</v>
      </c>
      <c r="D5527" s="1">
        <v>252</v>
      </c>
      <c r="E5527" s="1">
        <v>1</v>
      </c>
      <c r="F5527" s="1">
        <v>98</v>
      </c>
      <c r="T5527" s="1">
        <v>1</v>
      </c>
      <c r="AO5527" s="1">
        <v>1</v>
      </c>
    </row>
    <row r="5528" spans="1:90" x14ac:dyDescent="0.3">
      <c r="A5528" s="1" t="s">
        <v>70</v>
      </c>
      <c r="B5528" s="7">
        <v>40766</v>
      </c>
      <c r="C5528" s="1">
        <v>10</v>
      </c>
      <c r="D5528" s="1">
        <v>252</v>
      </c>
      <c r="E5528" s="1">
        <v>1</v>
      </c>
      <c r="F5528" s="1">
        <v>99</v>
      </c>
      <c r="J5528" s="1">
        <v>1</v>
      </c>
    </row>
    <row r="5529" spans="1:90" x14ac:dyDescent="0.3">
      <c r="A5529" s="1" t="s">
        <v>70</v>
      </c>
      <c r="B5529" s="7">
        <v>40766</v>
      </c>
      <c r="C5529" s="1">
        <v>10</v>
      </c>
      <c r="D5529" s="1">
        <v>252</v>
      </c>
      <c r="E5529" s="1">
        <v>1</v>
      </c>
      <c r="F5529" s="1">
        <v>100</v>
      </c>
      <c r="H5529" s="1">
        <v>1</v>
      </c>
    </row>
    <row r="5530" spans="1:90" s="12" customFormat="1" x14ac:dyDescent="0.3">
      <c r="A5530" s="14" t="s">
        <v>70</v>
      </c>
      <c r="B5530" s="13"/>
      <c r="G5530" s="12">
        <f>SUM(G5330:G5529)</f>
        <v>0</v>
      </c>
      <c r="H5530" s="12">
        <f t="shared" ref="H5530" si="2106">SUM(H5330:H5529)</f>
        <v>30</v>
      </c>
      <c r="I5530" s="12">
        <f t="shared" ref="I5530" si="2107">SUM(I5330:I5529)</f>
        <v>11</v>
      </c>
      <c r="J5530" s="12">
        <f t="shared" ref="J5530" si="2108">SUM(J5330:J5529)</f>
        <v>60</v>
      </c>
      <c r="K5530" s="12">
        <f t="shared" ref="K5530" si="2109">SUM(K5330:K5529)</f>
        <v>11</v>
      </c>
      <c r="L5530" s="12">
        <f t="shared" ref="L5530" si="2110">SUM(L5330:L5529)</f>
        <v>58</v>
      </c>
      <c r="M5530" s="12">
        <f t="shared" ref="M5530" si="2111">SUM(M5330:M5529)</f>
        <v>1</v>
      </c>
      <c r="N5530" s="12">
        <f t="shared" ref="N5530" si="2112">SUM(N5330:N5529)</f>
        <v>9</v>
      </c>
      <c r="O5530" s="12">
        <f t="shared" ref="O5530" si="2113">SUM(O5330:O5529)</f>
        <v>0</v>
      </c>
      <c r="P5530" s="12">
        <f t="shared" ref="P5530" si="2114">SUM(P5330:P5529)</f>
        <v>2</v>
      </c>
      <c r="Q5530" s="12">
        <f t="shared" ref="Q5530" si="2115">SUM(Q5330:Q5529)</f>
        <v>5</v>
      </c>
      <c r="R5530" s="12">
        <f t="shared" ref="R5530" si="2116">SUM(R5330:R5529)</f>
        <v>45</v>
      </c>
      <c r="S5530" s="12">
        <f t="shared" ref="S5530" si="2117">SUM(S5330:S5529)</f>
        <v>12</v>
      </c>
      <c r="T5530" s="12">
        <f t="shared" ref="T5530" si="2118">SUM(T5330:T5529)</f>
        <v>17</v>
      </c>
      <c r="U5530" s="12">
        <f t="shared" ref="U5530" si="2119">SUM(U5330:U5529)</f>
        <v>0</v>
      </c>
      <c r="V5530" s="12">
        <f t="shared" ref="V5530" si="2120">SUM(V5330:V5529)</f>
        <v>0</v>
      </c>
      <c r="W5530" s="12">
        <f t="shared" ref="W5530" si="2121">SUM(W5330:W5529)</f>
        <v>0</v>
      </c>
      <c r="X5530" s="12">
        <f t="shared" ref="X5530" si="2122">SUM(X5330:X5529)</f>
        <v>0</v>
      </c>
      <c r="Y5530" s="12">
        <f t="shared" ref="Y5530" si="2123">SUM(Y5330:Y5529)</f>
        <v>0</v>
      </c>
      <c r="Z5530" s="12">
        <f t="shared" ref="Z5530" si="2124">SUM(Z5330:Z5529)</f>
        <v>0</v>
      </c>
      <c r="AA5530" s="12">
        <f t="shared" ref="AA5530" si="2125">SUM(AA5330:AA5529)</f>
        <v>0</v>
      </c>
      <c r="AB5530" s="12">
        <f t="shared" ref="AB5530" si="2126">SUM(AB5330:AB5529)</f>
        <v>0</v>
      </c>
      <c r="AC5530" s="12">
        <f t="shared" ref="AC5530" si="2127">SUM(AC5330:AC5529)</f>
        <v>0</v>
      </c>
      <c r="AD5530" s="12">
        <f t="shared" ref="AD5530" si="2128">SUM(AD5330:AD5529)</f>
        <v>0</v>
      </c>
      <c r="AE5530" s="12">
        <f t="shared" ref="AE5530" si="2129">SUM(AE5330:AE5529)</f>
        <v>0</v>
      </c>
      <c r="AF5530" s="12">
        <f t="shared" ref="AF5530" si="2130">SUM(AF5330:AF5529)</f>
        <v>0</v>
      </c>
      <c r="AG5530" s="12">
        <f t="shared" ref="AG5530" si="2131">SUM(AG5330:AG5529)</f>
        <v>0</v>
      </c>
      <c r="AH5530" s="12">
        <f t="shared" ref="AH5530" si="2132">SUM(AH5330:AH5529)</f>
        <v>0</v>
      </c>
      <c r="AI5530" s="12">
        <f t="shared" ref="AI5530" si="2133">SUM(AI5330:AI5529)</f>
        <v>0</v>
      </c>
      <c r="AJ5530" s="12">
        <f t="shared" ref="AJ5530" si="2134">SUM(AJ5330:AJ5529)</f>
        <v>0</v>
      </c>
      <c r="AK5530" s="12">
        <f t="shared" ref="AK5530" si="2135">SUM(AK5330:AK5529)</f>
        <v>0</v>
      </c>
      <c r="AL5530" s="12">
        <f t="shared" ref="AL5530" si="2136">SUM(AL5330:AL5529)</f>
        <v>0</v>
      </c>
      <c r="AM5530" s="12">
        <f t="shared" ref="AM5530" si="2137">SUM(AM5330:AM5529)</f>
        <v>0</v>
      </c>
      <c r="AN5530" s="12">
        <f t="shared" ref="AN5530" si="2138">SUM(AN5330:AN5529)</f>
        <v>0</v>
      </c>
      <c r="AO5530" s="12">
        <f t="shared" ref="AO5530" si="2139">SUM(AO5330:AO5529)</f>
        <v>30</v>
      </c>
      <c r="AP5530" s="12">
        <f t="shared" ref="AP5530" si="2140">SUM(AP5330:AP5529)</f>
        <v>0</v>
      </c>
      <c r="AQ5530" s="12">
        <f t="shared" ref="AQ5530" si="2141">SUM(AQ5330:AQ5529)</f>
        <v>0</v>
      </c>
      <c r="AR5530" s="12">
        <f t="shared" ref="AR5530" si="2142">SUM(AR5330:AR5529)</f>
        <v>0</v>
      </c>
      <c r="AS5530" s="12">
        <f t="shared" ref="AS5530" si="2143">SUM(AS5330:AS5529)</f>
        <v>4</v>
      </c>
      <c r="AT5530" s="12">
        <f t="shared" ref="AT5530" si="2144">SUM(AT5330:AT5529)</f>
        <v>0</v>
      </c>
      <c r="AU5530" s="12">
        <f t="shared" ref="AU5530" si="2145">SUM(AU5330:AU5529)</f>
        <v>0</v>
      </c>
      <c r="AV5530" s="12">
        <f t="shared" ref="AV5530" si="2146">SUM(AV5330:AV5529)</f>
        <v>0</v>
      </c>
      <c r="AW5530" s="12">
        <f t="shared" ref="AW5530" si="2147">SUM(AW5330:AW5529)</f>
        <v>0</v>
      </c>
      <c r="AX5530" s="12">
        <f t="shared" ref="AX5530" si="2148">SUM(AX5330:AX5529)</f>
        <v>0</v>
      </c>
      <c r="AY5530" s="12">
        <f t="shared" ref="AY5530" si="2149">SUM(AY5330:AY5529)</f>
        <v>0</v>
      </c>
      <c r="AZ5530" s="12">
        <f t="shared" ref="AZ5530" si="2150">SUM(AZ5330:AZ5529)</f>
        <v>0</v>
      </c>
      <c r="BA5530" s="12">
        <f t="shared" ref="BA5530" si="2151">SUM(BA5330:BA5529)</f>
        <v>0</v>
      </c>
      <c r="BB5530" s="12">
        <f t="shared" ref="BB5530" si="2152">SUM(BB5330:BB5529)</f>
        <v>0</v>
      </c>
      <c r="BC5530" s="12">
        <f t="shared" ref="BC5530" si="2153">SUM(BC5330:BC5529)</f>
        <v>0</v>
      </c>
      <c r="BD5530" s="12">
        <f t="shared" ref="BD5530" si="2154">SUM(BD5330:BD5529)</f>
        <v>0</v>
      </c>
      <c r="BE5530" s="12">
        <f t="shared" ref="BE5530" si="2155">SUM(BE5330:BE5529)</f>
        <v>3</v>
      </c>
      <c r="BF5530" s="12">
        <f t="shared" ref="BF5530" si="2156">SUM(BF5330:BF5529)</f>
        <v>0</v>
      </c>
      <c r="BG5530" s="12">
        <f t="shared" ref="BG5530" si="2157">SUM(BG5330:BG5529)</f>
        <v>1</v>
      </c>
      <c r="BH5530" s="12">
        <f t="shared" ref="BH5530" si="2158">SUM(BH5330:BH5529)</f>
        <v>1</v>
      </c>
      <c r="BI5530" s="12">
        <f t="shared" ref="BI5530" si="2159">SUM(BI5330:BI5529)</f>
        <v>0</v>
      </c>
      <c r="BJ5530" s="12">
        <f t="shared" ref="BJ5530" si="2160">SUM(BJ5330:BJ5529)</f>
        <v>0</v>
      </c>
      <c r="BK5530" s="12">
        <f t="shared" ref="BK5530" si="2161">SUM(BK5330:BK5529)</f>
        <v>0</v>
      </c>
      <c r="BL5530" s="12">
        <f t="shared" ref="BL5530" si="2162">SUM(BL5330:BL5529)</f>
        <v>0</v>
      </c>
      <c r="BM5530" s="12">
        <f t="shared" ref="BM5530" si="2163">SUM(BM5330:BM5529)</f>
        <v>0</v>
      </c>
      <c r="BN5530" s="12">
        <f t="shared" ref="BN5530" si="2164">SUM(BN5330:BN5529)</f>
        <v>0</v>
      </c>
      <c r="BO5530" s="12">
        <f t="shared" ref="BO5530" si="2165">SUM(BO5330:BO5529)</f>
        <v>0</v>
      </c>
      <c r="BP5530" s="12">
        <f t="shared" ref="BP5530" si="2166">SUM(BP5330:BP5529)</f>
        <v>0</v>
      </c>
      <c r="BQ5530" s="12">
        <f t="shared" ref="BQ5530" si="2167">SUM(BQ5330:BQ5529)</f>
        <v>0</v>
      </c>
      <c r="BR5530" s="12">
        <f t="shared" ref="BR5530" si="2168">SUM(BR5330:BR5529)</f>
        <v>0</v>
      </c>
      <c r="BS5530" s="12">
        <f t="shared" ref="BS5530" si="2169">SUM(BS5330:BS5529)</f>
        <v>0</v>
      </c>
      <c r="BT5530" s="12">
        <f t="shared" ref="BT5530" si="2170">SUM(BT5330:BT5529)</f>
        <v>0</v>
      </c>
      <c r="BU5530" s="12">
        <f t="shared" ref="BU5530" si="2171">SUM(BU5330:BU5529)</f>
        <v>0</v>
      </c>
      <c r="BV5530" s="12">
        <f t="shared" ref="BV5530" si="2172">SUM(BV5330:BV5529)</f>
        <v>0</v>
      </c>
      <c r="BW5530" s="12">
        <f t="shared" ref="BW5530" si="2173">SUM(BW5330:BW5529)</f>
        <v>0</v>
      </c>
      <c r="BX5530" s="12">
        <f t="shared" ref="BX5530" si="2174">SUM(BX5330:BX5529)</f>
        <v>0</v>
      </c>
      <c r="BY5530" s="12">
        <f t="shared" ref="BY5530" si="2175">SUM(BY5330:BY5529)</f>
        <v>0</v>
      </c>
      <c r="BZ5530" s="12">
        <f t="shared" ref="BZ5530" si="2176">SUM(BZ5330:BZ5529)</f>
        <v>0</v>
      </c>
      <c r="CA5530" s="12">
        <f t="shared" ref="CA5530" si="2177">SUM(CA5330:CA5529)</f>
        <v>0</v>
      </c>
      <c r="CB5530" s="12">
        <f t="shared" ref="CB5530" si="2178">SUM(CB5330:CB5529)</f>
        <v>0</v>
      </c>
      <c r="CC5530" s="12">
        <f t="shared" ref="CC5530" si="2179">SUM(CC5330:CC5529)</f>
        <v>0</v>
      </c>
      <c r="CD5530" s="12">
        <f t="shared" ref="CD5530" si="2180">SUM(CD5330:CD5529)</f>
        <v>0</v>
      </c>
      <c r="CE5530" s="12">
        <f t="shared" ref="CE5530" si="2181">SUM(CE5330:CE5529)</f>
        <v>0</v>
      </c>
      <c r="CF5530" s="12">
        <f t="shared" ref="CF5530" si="2182">SUM(CF5330:CF5529)</f>
        <v>0</v>
      </c>
      <c r="CG5530" s="12">
        <f t="shared" ref="CG5530" si="2183">SUM(CG5330:CG5529)</f>
        <v>0</v>
      </c>
      <c r="CH5530" s="12">
        <f t="shared" ref="CH5530" si="2184">SUM(CH5330:CH5529)</f>
        <v>0</v>
      </c>
      <c r="CI5530" s="12">
        <f t="shared" ref="CI5530" si="2185">SUM(CI5330:CI5529)</f>
        <v>0</v>
      </c>
      <c r="CJ5530" s="12">
        <f t="shared" ref="CJ5530" si="2186">SUM(CJ5330:CJ5529)</f>
        <v>0</v>
      </c>
      <c r="CK5530" s="12">
        <f t="shared" ref="CK5530" si="2187">SUM(CK5330:CK5529)</f>
        <v>0</v>
      </c>
      <c r="CL5530" s="12">
        <f t="shared" ref="CL5530" si="2188">SUM(CL5330:CL5529)</f>
        <v>0</v>
      </c>
    </row>
    <row r="5531" spans="1:90" x14ac:dyDescent="0.3">
      <c r="A5531" s="1" t="s">
        <v>71</v>
      </c>
      <c r="B5531" s="7">
        <v>40766</v>
      </c>
      <c r="C5531" s="1">
        <v>5</v>
      </c>
      <c r="D5531" s="1">
        <v>139</v>
      </c>
      <c r="E5531" s="1">
        <v>1</v>
      </c>
      <c r="F5531" s="1">
        <v>1</v>
      </c>
      <c r="T5531" s="1">
        <v>1</v>
      </c>
    </row>
    <row r="5532" spans="1:90" x14ac:dyDescent="0.3">
      <c r="A5532" s="1" t="s">
        <v>71</v>
      </c>
      <c r="B5532" s="7">
        <v>40766</v>
      </c>
      <c r="C5532" s="1">
        <v>5</v>
      </c>
      <c r="D5532" s="1">
        <v>139</v>
      </c>
      <c r="E5532" s="1">
        <v>1</v>
      </c>
      <c r="F5532" s="1">
        <v>2</v>
      </c>
      <c r="T5532" s="1">
        <v>1</v>
      </c>
    </row>
    <row r="5533" spans="1:90" x14ac:dyDescent="0.3">
      <c r="A5533" s="1" t="s">
        <v>71</v>
      </c>
      <c r="B5533" s="7">
        <v>40766</v>
      </c>
      <c r="C5533" s="1">
        <v>5</v>
      </c>
      <c r="D5533" s="1">
        <v>139</v>
      </c>
      <c r="E5533" s="1">
        <v>1</v>
      </c>
      <c r="F5533" s="1">
        <v>3</v>
      </c>
      <c r="R5533" s="3">
        <v>0</v>
      </c>
      <c r="S5533" s="3">
        <v>1</v>
      </c>
      <c r="T5533" s="1">
        <v>1</v>
      </c>
    </row>
    <row r="5534" spans="1:90" x14ac:dyDescent="0.3">
      <c r="A5534" s="1" t="s">
        <v>71</v>
      </c>
      <c r="B5534" s="7">
        <v>40766</v>
      </c>
      <c r="C5534" s="1">
        <v>5</v>
      </c>
      <c r="D5534" s="1">
        <v>139</v>
      </c>
      <c r="E5534" s="1">
        <v>1</v>
      </c>
      <c r="F5534" s="1">
        <v>4</v>
      </c>
      <c r="T5534" s="1">
        <v>1</v>
      </c>
    </row>
    <row r="5535" spans="1:90" x14ac:dyDescent="0.3">
      <c r="A5535" s="1" t="s">
        <v>71</v>
      </c>
      <c r="B5535" s="7">
        <v>40766</v>
      </c>
      <c r="C5535" s="1">
        <v>5</v>
      </c>
      <c r="D5535" s="1">
        <v>139</v>
      </c>
      <c r="E5535" s="1">
        <v>1</v>
      </c>
      <c r="F5535" s="1">
        <v>5</v>
      </c>
      <c r="R5535" s="1">
        <v>1</v>
      </c>
      <c r="T5535" s="1">
        <v>1</v>
      </c>
    </row>
    <row r="5536" spans="1:90" x14ac:dyDescent="0.3">
      <c r="A5536" s="1" t="s">
        <v>71</v>
      </c>
      <c r="B5536" s="7">
        <v>40766</v>
      </c>
      <c r="C5536" s="1">
        <v>5</v>
      </c>
      <c r="D5536" s="1">
        <v>139</v>
      </c>
      <c r="E5536" s="1">
        <v>1</v>
      </c>
      <c r="F5536" s="1">
        <v>6</v>
      </c>
      <c r="L5536" s="1">
        <v>1</v>
      </c>
      <c r="R5536" s="1">
        <v>1</v>
      </c>
    </row>
    <row r="5537" spans="1:65" x14ac:dyDescent="0.3">
      <c r="A5537" s="1" t="s">
        <v>71</v>
      </c>
      <c r="B5537" s="7">
        <v>40766</v>
      </c>
      <c r="C5537" s="1">
        <v>5</v>
      </c>
      <c r="D5537" s="1">
        <v>139</v>
      </c>
      <c r="E5537" s="1">
        <v>1</v>
      </c>
      <c r="F5537" s="1">
        <v>7</v>
      </c>
      <c r="T5537" s="1">
        <v>1</v>
      </c>
    </row>
    <row r="5538" spans="1:65" x14ac:dyDescent="0.3">
      <c r="A5538" s="1" t="s">
        <v>71</v>
      </c>
      <c r="B5538" s="7">
        <v>40766</v>
      </c>
      <c r="C5538" s="1">
        <v>5</v>
      </c>
      <c r="D5538" s="1">
        <v>139</v>
      </c>
      <c r="E5538" s="1">
        <v>1</v>
      </c>
      <c r="F5538" s="1">
        <v>8</v>
      </c>
      <c r="L5538" s="1">
        <v>1</v>
      </c>
    </row>
    <row r="5539" spans="1:65" x14ac:dyDescent="0.3">
      <c r="A5539" s="1" t="s">
        <v>71</v>
      </c>
      <c r="B5539" s="7">
        <v>40766</v>
      </c>
      <c r="C5539" s="1">
        <v>5</v>
      </c>
      <c r="D5539" s="1">
        <v>139</v>
      </c>
      <c r="E5539" s="1">
        <v>1</v>
      </c>
      <c r="F5539" s="1">
        <v>9</v>
      </c>
    </row>
    <row r="5540" spans="1:65" x14ac:dyDescent="0.3">
      <c r="A5540" s="1" t="s">
        <v>71</v>
      </c>
      <c r="B5540" s="7">
        <v>40766</v>
      </c>
      <c r="C5540" s="1">
        <v>5</v>
      </c>
      <c r="D5540" s="1">
        <v>139</v>
      </c>
      <c r="E5540" s="1">
        <v>1</v>
      </c>
      <c r="F5540" s="1">
        <v>10</v>
      </c>
      <c r="I5540" s="1">
        <v>1</v>
      </c>
    </row>
    <row r="5541" spans="1:65" x14ac:dyDescent="0.3">
      <c r="A5541" s="1" t="s">
        <v>71</v>
      </c>
      <c r="B5541" s="7">
        <v>40766</v>
      </c>
      <c r="C5541" s="1">
        <v>5</v>
      </c>
      <c r="D5541" s="1">
        <v>139</v>
      </c>
      <c r="E5541" s="1">
        <v>1</v>
      </c>
      <c r="F5541" s="1">
        <v>11</v>
      </c>
      <c r="T5541" s="1">
        <v>1</v>
      </c>
      <c r="BM5541" s="1">
        <v>1</v>
      </c>
    </row>
    <row r="5542" spans="1:65" x14ac:dyDescent="0.3">
      <c r="A5542" s="1" t="s">
        <v>71</v>
      </c>
      <c r="B5542" s="7">
        <v>40766</v>
      </c>
      <c r="C5542" s="1">
        <v>5</v>
      </c>
      <c r="D5542" s="1">
        <v>139</v>
      </c>
      <c r="E5542" s="1">
        <v>1</v>
      </c>
      <c r="F5542" s="1">
        <v>12</v>
      </c>
      <c r="T5542" s="1">
        <v>1</v>
      </c>
    </row>
    <row r="5543" spans="1:65" x14ac:dyDescent="0.3">
      <c r="A5543" s="1" t="s">
        <v>71</v>
      </c>
      <c r="B5543" s="7">
        <v>40766</v>
      </c>
      <c r="C5543" s="1">
        <v>5</v>
      </c>
      <c r="D5543" s="1">
        <v>139</v>
      </c>
      <c r="E5543" s="1">
        <v>1</v>
      </c>
      <c r="F5543" s="1">
        <v>13</v>
      </c>
      <c r="T5543" s="1">
        <v>1</v>
      </c>
    </row>
    <row r="5544" spans="1:65" x14ac:dyDescent="0.3">
      <c r="A5544" s="1" t="s">
        <v>71</v>
      </c>
      <c r="B5544" s="7">
        <v>40766</v>
      </c>
      <c r="C5544" s="1">
        <v>5</v>
      </c>
      <c r="D5544" s="1">
        <v>139</v>
      </c>
      <c r="E5544" s="1">
        <v>1</v>
      </c>
      <c r="F5544" s="1">
        <v>14</v>
      </c>
      <c r="L5544" s="1">
        <v>1</v>
      </c>
      <c r="T5544" s="1">
        <v>1</v>
      </c>
    </row>
    <row r="5545" spans="1:65" x14ac:dyDescent="0.3">
      <c r="A5545" s="1" t="s">
        <v>71</v>
      </c>
      <c r="B5545" s="7">
        <v>40766</v>
      </c>
      <c r="C5545" s="1">
        <v>5</v>
      </c>
      <c r="D5545" s="1">
        <v>139</v>
      </c>
      <c r="E5545" s="1">
        <v>1</v>
      </c>
      <c r="F5545" s="1">
        <v>15</v>
      </c>
      <c r="R5545" s="3">
        <v>0</v>
      </c>
      <c r="S5545" s="3">
        <v>1</v>
      </c>
      <c r="T5545" s="1">
        <v>1</v>
      </c>
    </row>
    <row r="5546" spans="1:65" x14ac:dyDescent="0.3">
      <c r="A5546" s="1" t="s">
        <v>71</v>
      </c>
      <c r="B5546" s="7">
        <v>40766</v>
      </c>
      <c r="C5546" s="1">
        <v>5</v>
      </c>
      <c r="D5546" s="1">
        <v>139</v>
      </c>
      <c r="E5546" s="1">
        <v>1</v>
      </c>
      <c r="F5546" s="1">
        <v>16</v>
      </c>
      <c r="I5546" s="1">
        <v>1</v>
      </c>
    </row>
    <row r="5547" spans="1:65" x14ac:dyDescent="0.3">
      <c r="A5547" s="1" t="s">
        <v>71</v>
      </c>
      <c r="B5547" s="7">
        <v>40766</v>
      </c>
      <c r="C5547" s="1">
        <v>5</v>
      </c>
      <c r="D5547" s="1">
        <v>139</v>
      </c>
      <c r="E5547" s="1">
        <v>1</v>
      </c>
      <c r="F5547" s="1">
        <v>17</v>
      </c>
      <c r="T5547" s="1">
        <v>1</v>
      </c>
    </row>
    <row r="5548" spans="1:65" x14ac:dyDescent="0.3">
      <c r="A5548" s="1" t="s">
        <v>71</v>
      </c>
      <c r="B5548" s="7">
        <v>40766</v>
      </c>
      <c r="C5548" s="1">
        <v>5</v>
      </c>
      <c r="D5548" s="1">
        <v>139</v>
      </c>
      <c r="E5548" s="1">
        <v>1</v>
      </c>
      <c r="F5548" s="1">
        <v>18</v>
      </c>
      <c r="L5548" s="1">
        <v>1</v>
      </c>
    </row>
    <row r="5549" spans="1:65" x14ac:dyDescent="0.3">
      <c r="A5549" s="1" t="s">
        <v>71</v>
      </c>
      <c r="B5549" s="7">
        <v>40766</v>
      </c>
      <c r="C5549" s="1">
        <v>5</v>
      </c>
      <c r="D5549" s="1">
        <v>139</v>
      </c>
      <c r="E5549" s="1">
        <v>1</v>
      </c>
      <c r="F5549" s="1">
        <v>19</v>
      </c>
      <c r="L5549" s="1">
        <v>1</v>
      </c>
    </row>
    <row r="5550" spans="1:65" x14ac:dyDescent="0.3">
      <c r="A5550" s="1" t="s">
        <v>71</v>
      </c>
      <c r="B5550" s="7">
        <v>40766</v>
      </c>
      <c r="C5550" s="1">
        <v>5</v>
      </c>
      <c r="D5550" s="1">
        <v>139</v>
      </c>
      <c r="E5550" s="1">
        <v>1</v>
      </c>
      <c r="F5550" s="1">
        <v>20</v>
      </c>
      <c r="T5550" s="1">
        <v>1</v>
      </c>
    </row>
    <row r="5551" spans="1:65" x14ac:dyDescent="0.3">
      <c r="A5551" s="1" t="s">
        <v>71</v>
      </c>
      <c r="B5551" s="7">
        <v>40766</v>
      </c>
      <c r="C5551" s="1">
        <v>5</v>
      </c>
      <c r="D5551" s="1">
        <v>139</v>
      </c>
      <c r="E5551" s="1">
        <v>1</v>
      </c>
      <c r="F5551" s="1">
        <v>21</v>
      </c>
      <c r="T5551" s="1">
        <v>1</v>
      </c>
    </row>
    <row r="5552" spans="1:65" x14ac:dyDescent="0.3">
      <c r="A5552" s="1" t="s">
        <v>71</v>
      </c>
      <c r="B5552" s="7">
        <v>40766</v>
      </c>
      <c r="C5552" s="1">
        <v>5</v>
      </c>
      <c r="D5552" s="1">
        <v>139</v>
      </c>
      <c r="E5552" s="1">
        <v>1</v>
      </c>
      <c r="F5552" s="1">
        <v>22</v>
      </c>
      <c r="T5552" s="1">
        <v>1</v>
      </c>
    </row>
    <row r="5553" spans="1:20" x14ac:dyDescent="0.3">
      <c r="A5553" s="1" t="s">
        <v>71</v>
      </c>
      <c r="B5553" s="7">
        <v>40766</v>
      </c>
      <c r="C5553" s="1">
        <v>5</v>
      </c>
      <c r="D5553" s="1">
        <v>139</v>
      </c>
      <c r="E5553" s="1">
        <v>1</v>
      </c>
      <c r="F5553" s="1">
        <v>23</v>
      </c>
      <c r="R5553" s="1">
        <v>1</v>
      </c>
    </row>
    <row r="5554" spans="1:20" x14ac:dyDescent="0.3">
      <c r="A5554" s="1" t="s">
        <v>71</v>
      </c>
      <c r="B5554" s="7">
        <v>40766</v>
      </c>
      <c r="C5554" s="1">
        <v>5</v>
      </c>
      <c r="D5554" s="1">
        <v>139</v>
      </c>
      <c r="E5554" s="1">
        <v>1</v>
      </c>
      <c r="F5554" s="1">
        <v>24</v>
      </c>
      <c r="T5554" s="1">
        <v>1</v>
      </c>
    </row>
    <row r="5555" spans="1:20" x14ac:dyDescent="0.3">
      <c r="A5555" s="1" t="s">
        <v>71</v>
      </c>
      <c r="B5555" s="7">
        <v>40766</v>
      </c>
      <c r="C5555" s="1">
        <v>5</v>
      </c>
      <c r="D5555" s="1">
        <v>139</v>
      </c>
      <c r="E5555" s="1">
        <v>1</v>
      </c>
      <c r="F5555" s="1">
        <v>25</v>
      </c>
    </row>
    <row r="5556" spans="1:20" x14ac:dyDescent="0.3">
      <c r="A5556" s="1" t="s">
        <v>71</v>
      </c>
      <c r="B5556" s="7">
        <v>40766</v>
      </c>
      <c r="C5556" s="1">
        <v>5</v>
      </c>
      <c r="D5556" s="1">
        <v>139</v>
      </c>
      <c r="E5556" s="1">
        <v>1</v>
      </c>
      <c r="F5556" s="1">
        <v>26</v>
      </c>
      <c r="R5556" s="1">
        <v>1</v>
      </c>
    </row>
    <row r="5557" spans="1:20" x14ac:dyDescent="0.3">
      <c r="A5557" s="1" t="s">
        <v>71</v>
      </c>
      <c r="B5557" s="7">
        <v>40766</v>
      </c>
      <c r="C5557" s="1">
        <v>5</v>
      </c>
      <c r="D5557" s="1">
        <v>139</v>
      </c>
      <c r="E5557" s="1">
        <v>1</v>
      </c>
      <c r="F5557" s="1">
        <v>27</v>
      </c>
      <c r="J5557" s="1">
        <v>1</v>
      </c>
    </row>
    <row r="5558" spans="1:20" x14ac:dyDescent="0.3">
      <c r="A5558" s="1" t="s">
        <v>71</v>
      </c>
      <c r="B5558" s="7">
        <v>40766</v>
      </c>
      <c r="C5558" s="1">
        <v>5</v>
      </c>
      <c r="D5558" s="1">
        <v>139</v>
      </c>
      <c r="E5558" s="1">
        <v>1</v>
      </c>
      <c r="F5558" s="1">
        <v>28</v>
      </c>
      <c r="T5558" s="1">
        <v>1</v>
      </c>
    </row>
    <row r="5559" spans="1:20" x14ac:dyDescent="0.3">
      <c r="A5559" s="1" t="s">
        <v>71</v>
      </c>
      <c r="B5559" s="7">
        <v>40766</v>
      </c>
      <c r="C5559" s="1">
        <v>5</v>
      </c>
      <c r="D5559" s="1">
        <v>139</v>
      </c>
      <c r="E5559" s="1">
        <v>1</v>
      </c>
      <c r="F5559" s="1">
        <v>29</v>
      </c>
      <c r="L5559" s="1">
        <v>1</v>
      </c>
      <c r="R5559" s="3">
        <v>0</v>
      </c>
      <c r="S5559" s="3">
        <v>1</v>
      </c>
    </row>
    <row r="5560" spans="1:20" x14ac:dyDescent="0.3">
      <c r="A5560" s="1" t="s">
        <v>71</v>
      </c>
      <c r="B5560" s="7">
        <v>40766</v>
      </c>
      <c r="C5560" s="1">
        <v>5</v>
      </c>
      <c r="D5560" s="1">
        <v>139</v>
      </c>
      <c r="E5560" s="1">
        <v>1</v>
      </c>
      <c r="F5560" s="1">
        <v>30</v>
      </c>
      <c r="T5560" s="1">
        <v>1</v>
      </c>
    </row>
    <row r="5561" spans="1:20" x14ac:dyDescent="0.3">
      <c r="A5561" s="1" t="s">
        <v>71</v>
      </c>
      <c r="B5561" s="7">
        <v>40766</v>
      </c>
      <c r="C5561" s="1">
        <v>5</v>
      </c>
      <c r="D5561" s="1">
        <v>139</v>
      </c>
      <c r="E5561" s="1">
        <v>1</v>
      </c>
      <c r="F5561" s="1">
        <v>31</v>
      </c>
    </row>
    <row r="5562" spans="1:20" x14ac:dyDescent="0.3">
      <c r="A5562" s="1" t="s">
        <v>71</v>
      </c>
      <c r="B5562" s="7">
        <v>40766</v>
      </c>
      <c r="C5562" s="1">
        <v>5</v>
      </c>
      <c r="D5562" s="1">
        <v>139</v>
      </c>
      <c r="E5562" s="1">
        <v>1</v>
      </c>
      <c r="F5562" s="1">
        <v>32</v>
      </c>
      <c r="R5562" s="3">
        <v>0</v>
      </c>
      <c r="S5562" s="3">
        <v>1</v>
      </c>
      <c r="T5562" s="1">
        <v>1</v>
      </c>
    </row>
    <row r="5563" spans="1:20" x14ac:dyDescent="0.3">
      <c r="A5563" s="1" t="s">
        <v>71</v>
      </c>
      <c r="B5563" s="7">
        <v>40766</v>
      </c>
      <c r="C5563" s="1">
        <v>5</v>
      </c>
      <c r="D5563" s="1">
        <v>139</v>
      </c>
      <c r="E5563" s="1">
        <v>1</v>
      </c>
      <c r="F5563" s="1">
        <v>33</v>
      </c>
      <c r="R5563" s="3">
        <v>0</v>
      </c>
      <c r="S5563" s="3">
        <v>1</v>
      </c>
      <c r="T5563" s="1">
        <v>1</v>
      </c>
    </row>
    <row r="5564" spans="1:20" x14ac:dyDescent="0.3">
      <c r="A5564" s="1" t="s">
        <v>71</v>
      </c>
      <c r="B5564" s="7">
        <v>40766</v>
      </c>
      <c r="C5564" s="1">
        <v>5</v>
      </c>
      <c r="D5564" s="1">
        <v>139</v>
      </c>
      <c r="E5564" s="1">
        <v>1</v>
      </c>
      <c r="F5564" s="1">
        <v>34</v>
      </c>
      <c r="T5564" s="1">
        <v>1</v>
      </c>
    </row>
    <row r="5565" spans="1:20" x14ac:dyDescent="0.3">
      <c r="A5565" s="1" t="s">
        <v>71</v>
      </c>
      <c r="B5565" s="7">
        <v>40766</v>
      </c>
      <c r="C5565" s="1">
        <v>5</v>
      </c>
      <c r="D5565" s="1">
        <v>139</v>
      </c>
      <c r="E5565" s="1">
        <v>1</v>
      </c>
      <c r="F5565" s="1">
        <v>35</v>
      </c>
      <c r="R5565" s="1">
        <v>1</v>
      </c>
    </row>
    <row r="5566" spans="1:20" x14ac:dyDescent="0.3">
      <c r="A5566" s="1" t="s">
        <v>71</v>
      </c>
      <c r="B5566" s="7">
        <v>40766</v>
      </c>
      <c r="C5566" s="1">
        <v>5</v>
      </c>
      <c r="D5566" s="1">
        <v>139</v>
      </c>
      <c r="E5566" s="1">
        <v>1</v>
      </c>
      <c r="F5566" s="1">
        <v>36</v>
      </c>
      <c r="R5566" s="3">
        <v>0</v>
      </c>
      <c r="S5566" s="3">
        <v>1</v>
      </c>
    </row>
    <row r="5567" spans="1:20" x14ac:dyDescent="0.3">
      <c r="A5567" s="1" t="s">
        <v>71</v>
      </c>
      <c r="B5567" s="7">
        <v>40766</v>
      </c>
      <c r="C5567" s="1">
        <v>5</v>
      </c>
      <c r="D5567" s="1">
        <v>139</v>
      </c>
      <c r="E5567" s="1">
        <v>1</v>
      </c>
      <c r="F5567" s="1">
        <v>37</v>
      </c>
      <c r="I5567" s="1">
        <v>1</v>
      </c>
      <c r="T5567" s="1">
        <v>1</v>
      </c>
    </row>
    <row r="5568" spans="1:20" x14ac:dyDescent="0.3">
      <c r="A5568" s="1" t="s">
        <v>71</v>
      </c>
      <c r="B5568" s="7">
        <v>40766</v>
      </c>
      <c r="C5568" s="1">
        <v>5</v>
      </c>
      <c r="D5568" s="1">
        <v>139</v>
      </c>
      <c r="E5568" s="1">
        <v>1</v>
      </c>
      <c r="F5568" s="1">
        <v>38</v>
      </c>
      <c r="R5568" s="1">
        <v>1</v>
      </c>
      <c r="T5568" s="1">
        <v>1</v>
      </c>
    </row>
    <row r="5569" spans="1:35" x14ac:dyDescent="0.3">
      <c r="A5569" s="1" t="s">
        <v>71</v>
      </c>
      <c r="B5569" s="7">
        <v>40766</v>
      </c>
      <c r="C5569" s="1">
        <v>5</v>
      </c>
      <c r="D5569" s="1">
        <v>139</v>
      </c>
      <c r="E5569" s="1">
        <v>1</v>
      </c>
      <c r="F5569" s="1">
        <v>39</v>
      </c>
      <c r="L5569" s="1">
        <v>1</v>
      </c>
      <c r="T5569" s="1">
        <v>1</v>
      </c>
    </row>
    <row r="5570" spans="1:35" x14ac:dyDescent="0.3">
      <c r="A5570" s="1" t="s">
        <v>71</v>
      </c>
      <c r="B5570" s="7">
        <v>40766</v>
      </c>
      <c r="C5570" s="1">
        <v>5</v>
      </c>
      <c r="D5570" s="1">
        <v>139</v>
      </c>
      <c r="E5570" s="1">
        <v>1</v>
      </c>
      <c r="F5570" s="1">
        <v>40</v>
      </c>
      <c r="T5570" s="1">
        <v>1</v>
      </c>
    </row>
    <row r="5571" spans="1:35" x14ac:dyDescent="0.3">
      <c r="A5571" s="1" t="s">
        <v>71</v>
      </c>
      <c r="B5571" s="7">
        <v>40766</v>
      </c>
      <c r="C5571" s="1">
        <v>5</v>
      </c>
      <c r="D5571" s="1">
        <v>139</v>
      </c>
      <c r="E5571" s="1">
        <v>1</v>
      </c>
      <c r="F5571" s="1">
        <v>41</v>
      </c>
      <c r="L5571" s="1">
        <v>1</v>
      </c>
      <c r="V5571" s="1">
        <v>1</v>
      </c>
    </row>
    <row r="5572" spans="1:35" x14ac:dyDescent="0.3">
      <c r="A5572" s="1" t="s">
        <v>71</v>
      </c>
      <c r="B5572" s="7">
        <v>40766</v>
      </c>
      <c r="C5572" s="1">
        <v>5</v>
      </c>
      <c r="D5572" s="1">
        <v>139</v>
      </c>
      <c r="E5572" s="1">
        <v>1</v>
      </c>
      <c r="F5572" s="1">
        <v>42</v>
      </c>
      <c r="T5572" s="1">
        <v>1</v>
      </c>
      <c r="AI5572" s="1">
        <v>1</v>
      </c>
    </row>
    <row r="5573" spans="1:35" x14ac:dyDescent="0.3">
      <c r="A5573" s="1" t="s">
        <v>71</v>
      </c>
      <c r="B5573" s="7">
        <v>40766</v>
      </c>
      <c r="C5573" s="1">
        <v>5</v>
      </c>
      <c r="D5573" s="1">
        <v>139</v>
      </c>
      <c r="E5573" s="1">
        <v>1</v>
      </c>
      <c r="F5573" s="1">
        <v>43</v>
      </c>
      <c r="R5573" s="1">
        <v>1</v>
      </c>
      <c r="T5573" s="1">
        <v>1</v>
      </c>
    </row>
    <row r="5574" spans="1:35" x14ac:dyDescent="0.3">
      <c r="A5574" s="1" t="s">
        <v>71</v>
      </c>
      <c r="B5574" s="7">
        <v>40766</v>
      </c>
      <c r="C5574" s="1">
        <v>5</v>
      </c>
      <c r="D5574" s="1">
        <v>139</v>
      </c>
      <c r="E5574" s="1">
        <v>1</v>
      </c>
      <c r="F5574" s="1">
        <v>44</v>
      </c>
      <c r="J5574" s="1">
        <v>1</v>
      </c>
      <c r="T5574" s="1">
        <v>1</v>
      </c>
    </row>
    <row r="5575" spans="1:35" x14ac:dyDescent="0.3">
      <c r="A5575" s="1" t="s">
        <v>71</v>
      </c>
      <c r="B5575" s="7">
        <v>40766</v>
      </c>
      <c r="C5575" s="1">
        <v>5</v>
      </c>
      <c r="D5575" s="1">
        <v>139</v>
      </c>
      <c r="E5575" s="1">
        <v>1</v>
      </c>
      <c r="F5575" s="1">
        <v>45</v>
      </c>
    </row>
    <row r="5576" spans="1:35" x14ac:dyDescent="0.3">
      <c r="A5576" s="1" t="s">
        <v>71</v>
      </c>
      <c r="B5576" s="7">
        <v>40766</v>
      </c>
      <c r="C5576" s="1">
        <v>5</v>
      </c>
      <c r="D5576" s="1">
        <v>139</v>
      </c>
      <c r="E5576" s="1">
        <v>1</v>
      </c>
      <c r="F5576" s="1">
        <v>46</v>
      </c>
      <c r="R5576" s="1">
        <v>1</v>
      </c>
      <c r="T5576" s="1">
        <v>1</v>
      </c>
    </row>
    <row r="5577" spans="1:35" x14ac:dyDescent="0.3">
      <c r="A5577" s="1" t="s">
        <v>71</v>
      </c>
      <c r="B5577" s="7">
        <v>40766</v>
      </c>
      <c r="C5577" s="1">
        <v>5</v>
      </c>
      <c r="D5577" s="1">
        <v>139</v>
      </c>
      <c r="E5577" s="1">
        <v>1</v>
      </c>
      <c r="F5577" s="1">
        <v>47</v>
      </c>
      <c r="I5577" s="1">
        <v>1</v>
      </c>
    </row>
    <row r="5578" spans="1:35" x14ac:dyDescent="0.3">
      <c r="A5578" s="1" t="s">
        <v>71</v>
      </c>
      <c r="B5578" s="7">
        <v>40766</v>
      </c>
      <c r="C5578" s="1">
        <v>5</v>
      </c>
      <c r="D5578" s="1">
        <v>139</v>
      </c>
      <c r="E5578" s="1">
        <v>1</v>
      </c>
      <c r="F5578" s="1">
        <v>48</v>
      </c>
      <c r="T5578" s="1">
        <v>1</v>
      </c>
    </row>
    <row r="5579" spans="1:35" x14ac:dyDescent="0.3">
      <c r="A5579" s="1" t="s">
        <v>71</v>
      </c>
      <c r="B5579" s="7">
        <v>40766</v>
      </c>
      <c r="C5579" s="1">
        <v>5</v>
      </c>
      <c r="D5579" s="1">
        <v>139</v>
      </c>
      <c r="E5579" s="1">
        <v>1</v>
      </c>
      <c r="F5579" s="1">
        <v>49</v>
      </c>
      <c r="L5579" s="1">
        <v>1</v>
      </c>
    </row>
    <row r="5580" spans="1:35" x14ac:dyDescent="0.3">
      <c r="A5580" s="1" t="s">
        <v>71</v>
      </c>
      <c r="B5580" s="7">
        <v>40766</v>
      </c>
      <c r="C5580" s="1">
        <v>5</v>
      </c>
      <c r="D5580" s="1">
        <v>139</v>
      </c>
      <c r="E5580" s="1">
        <v>1</v>
      </c>
      <c r="F5580" s="1">
        <v>50</v>
      </c>
      <c r="G5580" s="1">
        <v>1</v>
      </c>
      <c r="L5580" s="1">
        <v>1</v>
      </c>
    </row>
    <row r="5581" spans="1:35" x14ac:dyDescent="0.3">
      <c r="A5581" s="1" t="s">
        <v>71</v>
      </c>
      <c r="B5581" s="7">
        <v>40766</v>
      </c>
      <c r="C5581" s="1">
        <v>5</v>
      </c>
      <c r="D5581" s="1">
        <v>139</v>
      </c>
      <c r="E5581" s="1">
        <v>1</v>
      </c>
      <c r="F5581" s="1">
        <v>51</v>
      </c>
      <c r="I5581" s="1">
        <v>1</v>
      </c>
    </row>
    <row r="5582" spans="1:35" x14ac:dyDescent="0.3">
      <c r="A5582" s="1" t="s">
        <v>71</v>
      </c>
      <c r="B5582" s="7">
        <v>40766</v>
      </c>
      <c r="C5582" s="1">
        <v>5</v>
      </c>
      <c r="D5582" s="1">
        <v>139</v>
      </c>
      <c r="E5582" s="1">
        <v>1</v>
      </c>
      <c r="F5582" s="1">
        <v>52</v>
      </c>
      <c r="I5582" s="1">
        <v>1</v>
      </c>
    </row>
    <row r="5583" spans="1:35" x14ac:dyDescent="0.3">
      <c r="A5583" s="1" t="s">
        <v>71</v>
      </c>
      <c r="B5583" s="7">
        <v>40766</v>
      </c>
      <c r="C5583" s="1">
        <v>5</v>
      </c>
      <c r="D5583" s="1">
        <v>139</v>
      </c>
      <c r="E5583" s="1">
        <v>1</v>
      </c>
      <c r="F5583" s="1">
        <v>53</v>
      </c>
      <c r="R5583" s="3">
        <v>0</v>
      </c>
      <c r="S5583" s="3">
        <v>1</v>
      </c>
    </row>
    <row r="5584" spans="1:35" x14ac:dyDescent="0.3">
      <c r="A5584" s="1" t="s">
        <v>71</v>
      </c>
      <c r="B5584" s="7">
        <v>40766</v>
      </c>
      <c r="C5584" s="1">
        <v>5</v>
      </c>
      <c r="D5584" s="1">
        <v>139</v>
      </c>
      <c r="E5584" s="1">
        <v>1</v>
      </c>
      <c r="F5584" s="1">
        <v>54</v>
      </c>
    </row>
    <row r="5585" spans="1:35" x14ac:dyDescent="0.3">
      <c r="A5585" s="1" t="s">
        <v>71</v>
      </c>
      <c r="B5585" s="7">
        <v>40766</v>
      </c>
      <c r="C5585" s="1">
        <v>5</v>
      </c>
      <c r="D5585" s="1">
        <v>139</v>
      </c>
      <c r="E5585" s="1">
        <v>1</v>
      </c>
      <c r="F5585" s="1">
        <v>55</v>
      </c>
    </row>
    <row r="5586" spans="1:35" x14ac:dyDescent="0.3">
      <c r="A5586" s="1" t="s">
        <v>71</v>
      </c>
      <c r="B5586" s="7">
        <v>40766</v>
      </c>
      <c r="C5586" s="1">
        <v>5</v>
      </c>
      <c r="D5586" s="1">
        <v>139</v>
      </c>
      <c r="E5586" s="1">
        <v>1</v>
      </c>
      <c r="F5586" s="1">
        <v>56</v>
      </c>
      <c r="I5586" s="1">
        <v>1</v>
      </c>
    </row>
    <row r="5587" spans="1:35" x14ac:dyDescent="0.3">
      <c r="A5587" s="1" t="s">
        <v>71</v>
      </c>
      <c r="B5587" s="7">
        <v>40766</v>
      </c>
      <c r="C5587" s="1">
        <v>5</v>
      </c>
      <c r="D5587" s="1">
        <v>139</v>
      </c>
      <c r="E5587" s="1">
        <v>1</v>
      </c>
      <c r="F5587" s="1">
        <v>57</v>
      </c>
      <c r="I5587" s="1">
        <v>1</v>
      </c>
      <c r="AI5587" s="1">
        <v>1</v>
      </c>
    </row>
    <row r="5588" spans="1:35" x14ac:dyDescent="0.3">
      <c r="A5588" s="1" t="s">
        <v>71</v>
      </c>
      <c r="B5588" s="7">
        <v>40766</v>
      </c>
      <c r="C5588" s="1">
        <v>5</v>
      </c>
      <c r="D5588" s="1">
        <v>139</v>
      </c>
      <c r="E5588" s="1">
        <v>1</v>
      </c>
      <c r="F5588" s="1">
        <v>58</v>
      </c>
      <c r="I5588" s="1">
        <v>1</v>
      </c>
    </row>
    <row r="5589" spans="1:35" x14ac:dyDescent="0.3">
      <c r="A5589" s="1" t="s">
        <v>71</v>
      </c>
      <c r="B5589" s="7">
        <v>40766</v>
      </c>
      <c r="C5589" s="1">
        <v>5</v>
      </c>
      <c r="D5589" s="1">
        <v>139</v>
      </c>
      <c r="E5589" s="1">
        <v>1</v>
      </c>
      <c r="F5589" s="1">
        <v>59</v>
      </c>
      <c r="I5589" s="1">
        <v>1</v>
      </c>
      <c r="T5589" s="1">
        <v>1</v>
      </c>
    </row>
    <row r="5590" spans="1:35" x14ac:dyDescent="0.3">
      <c r="A5590" s="1" t="s">
        <v>71</v>
      </c>
      <c r="B5590" s="7">
        <v>40766</v>
      </c>
      <c r="C5590" s="1">
        <v>5</v>
      </c>
      <c r="D5590" s="1">
        <v>139</v>
      </c>
      <c r="E5590" s="1">
        <v>1</v>
      </c>
      <c r="F5590" s="1">
        <v>60</v>
      </c>
      <c r="G5590" s="1">
        <v>1</v>
      </c>
    </row>
    <row r="5591" spans="1:35" x14ac:dyDescent="0.3">
      <c r="A5591" s="1" t="s">
        <v>71</v>
      </c>
      <c r="B5591" s="7">
        <v>40766</v>
      </c>
      <c r="C5591" s="1">
        <v>5</v>
      </c>
      <c r="D5591" s="1">
        <v>139</v>
      </c>
      <c r="E5591" s="1">
        <v>1</v>
      </c>
      <c r="F5591" s="1">
        <v>61</v>
      </c>
      <c r="G5591" s="1">
        <v>1</v>
      </c>
    </row>
    <row r="5592" spans="1:35" x14ac:dyDescent="0.3">
      <c r="A5592" s="1" t="s">
        <v>71</v>
      </c>
      <c r="B5592" s="7">
        <v>40766</v>
      </c>
      <c r="C5592" s="1">
        <v>5</v>
      </c>
      <c r="D5592" s="1">
        <v>139</v>
      </c>
      <c r="E5592" s="1">
        <v>1</v>
      </c>
      <c r="F5592" s="1">
        <v>62</v>
      </c>
      <c r="R5592" s="1">
        <v>1</v>
      </c>
      <c r="T5592" s="1">
        <v>1</v>
      </c>
    </row>
    <row r="5593" spans="1:35" x14ac:dyDescent="0.3">
      <c r="A5593" s="1" t="s">
        <v>71</v>
      </c>
      <c r="B5593" s="7">
        <v>40766</v>
      </c>
      <c r="C5593" s="1">
        <v>5</v>
      </c>
      <c r="D5593" s="1">
        <v>139</v>
      </c>
      <c r="E5593" s="1">
        <v>1</v>
      </c>
      <c r="F5593" s="1">
        <v>63</v>
      </c>
      <c r="R5593" s="1">
        <v>1</v>
      </c>
    </row>
    <row r="5594" spans="1:35" x14ac:dyDescent="0.3">
      <c r="A5594" s="1" t="s">
        <v>71</v>
      </c>
      <c r="B5594" s="7">
        <v>40766</v>
      </c>
      <c r="C5594" s="1">
        <v>5</v>
      </c>
      <c r="D5594" s="1">
        <v>139</v>
      </c>
      <c r="E5594" s="1">
        <v>1</v>
      </c>
      <c r="F5594" s="1">
        <v>64</v>
      </c>
      <c r="R5594" s="1">
        <v>1</v>
      </c>
      <c r="T5594" s="1">
        <v>1</v>
      </c>
    </row>
    <row r="5595" spans="1:35" x14ac:dyDescent="0.3">
      <c r="A5595" s="1" t="s">
        <v>71</v>
      </c>
      <c r="B5595" s="7">
        <v>40766</v>
      </c>
      <c r="C5595" s="1">
        <v>5</v>
      </c>
      <c r="D5595" s="1">
        <v>139</v>
      </c>
      <c r="E5595" s="1">
        <v>1</v>
      </c>
      <c r="F5595" s="1">
        <v>65</v>
      </c>
      <c r="R5595" s="8">
        <v>1</v>
      </c>
      <c r="S5595" s="8"/>
    </row>
    <row r="5596" spans="1:35" x14ac:dyDescent="0.3">
      <c r="A5596" s="1" t="s">
        <v>71</v>
      </c>
      <c r="B5596" s="7">
        <v>40766</v>
      </c>
      <c r="C5596" s="1">
        <v>5</v>
      </c>
      <c r="D5596" s="1">
        <v>139</v>
      </c>
      <c r="E5596" s="1">
        <v>1</v>
      </c>
      <c r="F5596" s="1">
        <v>66</v>
      </c>
      <c r="R5596" s="3">
        <v>0</v>
      </c>
      <c r="S5596" s="3">
        <v>1</v>
      </c>
      <c r="T5596" s="1">
        <v>1</v>
      </c>
    </row>
    <row r="5597" spans="1:35" x14ac:dyDescent="0.3">
      <c r="A5597" s="1" t="s">
        <v>71</v>
      </c>
      <c r="B5597" s="7">
        <v>40766</v>
      </c>
      <c r="C5597" s="1">
        <v>5</v>
      </c>
      <c r="D5597" s="1">
        <v>139</v>
      </c>
      <c r="E5597" s="1">
        <v>1</v>
      </c>
      <c r="F5597" s="1">
        <v>67</v>
      </c>
      <c r="I5597" s="1">
        <v>1</v>
      </c>
    </row>
    <row r="5598" spans="1:35" x14ac:dyDescent="0.3">
      <c r="A5598" s="1" t="s">
        <v>71</v>
      </c>
      <c r="B5598" s="7">
        <v>40766</v>
      </c>
      <c r="C5598" s="1">
        <v>5</v>
      </c>
      <c r="D5598" s="1">
        <v>139</v>
      </c>
      <c r="E5598" s="1">
        <v>1</v>
      </c>
      <c r="F5598" s="1">
        <v>68</v>
      </c>
      <c r="R5598" s="1">
        <v>1</v>
      </c>
      <c r="T5598" s="1">
        <v>1</v>
      </c>
    </row>
    <row r="5599" spans="1:35" x14ac:dyDescent="0.3">
      <c r="A5599" s="1" t="s">
        <v>71</v>
      </c>
      <c r="B5599" s="7">
        <v>40766</v>
      </c>
      <c r="C5599" s="1">
        <v>5</v>
      </c>
      <c r="D5599" s="1">
        <v>139</v>
      </c>
      <c r="E5599" s="1">
        <v>1</v>
      </c>
      <c r="F5599" s="1">
        <v>69</v>
      </c>
      <c r="T5599" s="1">
        <v>1</v>
      </c>
    </row>
    <row r="5600" spans="1:35" x14ac:dyDescent="0.3">
      <c r="A5600" s="1" t="s">
        <v>71</v>
      </c>
      <c r="B5600" s="7">
        <v>40766</v>
      </c>
      <c r="C5600" s="1">
        <v>5</v>
      </c>
      <c r="D5600" s="1">
        <v>139</v>
      </c>
      <c r="E5600" s="1">
        <v>1</v>
      </c>
      <c r="F5600" s="1">
        <v>70</v>
      </c>
      <c r="R5600" s="1">
        <v>1</v>
      </c>
    </row>
    <row r="5601" spans="1:53" x14ac:dyDescent="0.3">
      <c r="A5601" s="1" t="s">
        <v>71</v>
      </c>
      <c r="B5601" s="7">
        <v>40766</v>
      </c>
      <c r="C5601" s="1">
        <v>5</v>
      </c>
      <c r="D5601" s="1">
        <v>139</v>
      </c>
      <c r="E5601" s="1">
        <v>1</v>
      </c>
      <c r="F5601" s="1">
        <v>71</v>
      </c>
      <c r="H5601" s="1">
        <v>1</v>
      </c>
      <c r="R5601" s="1">
        <v>1</v>
      </c>
    </row>
    <row r="5602" spans="1:53" x14ac:dyDescent="0.3">
      <c r="A5602" s="1" t="s">
        <v>71</v>
      </c>
      <c r="B5602" s="7">
        <v>40766</v>
      </c>
      <c r="C5602" s="1">
        <v>5</v>
      </c>
      <c r="D5602" s="1">
        <v>139</v>
      </c>
      <c r="E5602" s="1">
        <v>1</v>
      </c>
      <c r="F5602" s="1">
        <v>72</v>
      </c>
      <c r="H5602" s="1">
        <v>1</v>
      </c>
      <c r="L5602" s="1">
        <v>1</v>
      </c>
    </row>
    <row r="5603" spans="1:53" x14ac:dyDescent="0.3">
      <c r="A5603" s="1" t="s">
        <v>71</v>
      </c>
      <c r="B5603" s="7">
        <v>40766</v>
      </c>
      <c r="C5603" s="1">
        <v>5</v>
      </c>
      <c r="D5603" s="1">
        <v>139</v>
      </c>
      <c r="E5603" s="1">
        <v>1</v>
      </c>
      <c r="F5603" s="1">
        <v>73</v>
      </c>
      <c r="R5603" s="3">
        <v>0</v>
      </c>
      <c r="S5603" s="3">
        <v>1</v>
      </c>
    </row>
    <row r="5604" spans="1:53" x14ac:dyDescent="0.3">
      <c r="A5604" s="1" t="s">
        <v>71</v>
      </c>
      <c r="B5604" s="7">
        <v>40766</v>
      </c>
      <c r="C5604" s="1">
        <v>5</v>
      </c>
      <c r="D5604" s="1">
        <v>139</v>
      </c>
      <c r="E5604" s="1">
        <v>1</v>
      </c>
      <c r="F5604" s="1">
        <v>74</v>
      </c>
      <c r="I5604" s="1">
        <v>1</v>
      </c>
    </row>
    <row r="5605" spans="1:53" x14ac:dyDescent="0.3">
      <c r="A5605" s="1" t="s">
        <v>71</v>
      </c>
      <c r="B5605" s="7">
        <v>40766</v>
      </c>
      <c r="C5605" s="1">
        <v>5</v>
      </c>
      <c r="D5605" s="1">
        <v>139</v>
      </c>
      <c r="E5605" s="1">
        <v>1</v>
      </c>
      <c r="F5605" s="1">
        <v>75</v>
      </c>
      <c r="R5605" s="1">
        <v>1</v>
      </c>
      <c r="T5605" s="1">
        <v>1</v>
      </c>
    </row>
    <row r="5606" spans="1:53" x14ac:dyDescent="0.3">
      <c r="A5606" s="1" t="s">
        <v>71</v>
      </c>
      <c r="B5606" s="7">
        <v>40766</v>
      </c>
      <c r="C5606" s="1">
        <v>5</v>
      </c>
      <c r="D5606" s="1">
        <v>139</v>
      </c>
      <c r="E5606" s="1">
        <v>1</v>
      </c>
      <c r="F5606" s="1">
        <v>76</v>
      </c>
      <c r="R5606" s="1">
        <v>1</v>
      </c>
    </row>
    <row r="5607" spans="1:53" x14ac:dyDescent="0.3">
      <c r="A5607" s="1" t="s">
        <v>71</v>
      </c>
      <c r="B5607" s="7">
        <v>40766</v>
      </c>
      <c r="C5607" s="1">
        <v>5</v>
      </c>
      <c r="D5607" s="1">
        <v>139</v>
      </c>
      <c r="E5607" s="1">
        <v>1</v>
      </c>
      <c r="F5607" s="1">
        <v>77</v>
      </c>
      <c r="T5607" s="1">
        <v>1</v>
      </c>
      <c r="BA5607" s="1">
        <v>1</v>
      </c>
    </row>
    <row r="5608" spans="1:53" x14ac:dyDescent="0.3">
      <c r="A5608" s="1" t="s">
        <v>71</v>
      </c>
      <c r="B5608" s="7">
        <v>40766</v>
      </c>
      <c r="C5608" s="1">
        <v>5</v>
      </c>
      <c r="D5608" s="1">
        <v>139</v>
      </c>
      <c r="E5608" s="1">
        <v>1</v>
      </c>
      <c r="F5608" s="1">
        <v>78</v>
      </c>
      <c r="T5608" s="1">
        <v>1</v>
      </c>
      <c r="BA5608" s="1">
        <v>1</v>
      </c>
    </row>
    <row r="5609" spans="1:53" x14ac:dyDescent="0.3">
      <c r="A5609" s="1" t="s">
        <v>71</v>
      </c>
      <c r="B5609" s="7">
        <v>40766</v>
      </c>
      <c r="C5609" s="1">
        <v>5</v>
      </c>
      <c r="D5609" s="1">
        <v>139</v>
      </c>
      <c r="E5609" s="1">
        <v>1</v>
      </c>
      <c r="F5609" s="1">
        <v>79</v>
      </c>
      <c r="R5609" s="3">
        <v>0</v>
      </c>
      <c r="S5609" s="3">
        <v>1</v>
      </c>
      <c r="T5609" s="1">
        <v>1</v>
      </c>
    </row>
    <row r="5610" spans="1:53" x14ac:dyDescent="0.3">
      <c r="A5610" s="1" t="s">
        <v>71</v>
      </c>
      <c r="B5610" s="7">
        <v>40766</v>
      </c>
      <c r="C5610" s="1">
        <v>5</v>
      </c>
      <c r="D5610" s="1">
        <v>139</v>
      </c>
      <c r="E5610" s="1">
        <v>1</v>
      </c>
      <c r="F5610" s="1">
        <v>80</v>
      </c>
      <c r="I5610" s="1">
        <v>1</v>
      </c>
    </row>
    <row r="5611" spans="1:53" x14ac:dyDescent="0.3">
      <c r="A5611" s="1" t="s">
        <v>71</v>
      </c>
      <c r="B5611" s="7">
        <v>40766</v>
      </c>
      <c r="C5611" s="1">
        <v>5</v>
      </c>
      <c r="D5611" s="1">
        <v>139</v>
      </c>
      <c r="E5611" s="1">
        <v>1</v>
      </c>
      <c r="F5611" s="1">
        <v>81</v>
      </c>
      <c r="R5611" s="3">
        <v>0</v>
      </c>
      <c r="S5611" s="3">
        <v>1</v>
      </c>
    </row>
    <row r="5612" spans="1:53" x14ac:dyDescent="0.3">
      <c r="A5612" s="1" t="s">
        <v>71</v>
      </c>
      <c r="B5612" s="7">
        <v>40766</v>
      </c>
      <c r="C5612" s="1">
        <v>5</v>
      </c>
      <c r="D5612" s="1">
        <v>139</v>
      </c>
      <c r="E5612" s="1">
        <v>1</v>
      </c>
      <c r="F5612" s="1">
        <v>82</v>
      </c>
      <c r="H5612" s="1">
        <v>1</v>
      </c>
    </row>
    <row r="5613" spans="1:53" x14ac:dyDescent="0.3">
      <c r="A5613" s="1" t="s">
        <v>71</v>
      </c>
      <c r="B5613" s="7">
        <v>40766</v>
      </c>
      <c r="C5613" s="1">
        <v>5</v>
      </c>
      <c r="D5613" s="1">
        <v>139</v>
      </c>
      <c r="E5613" s="1">
        <v>1</v>
      </c>
      <c r="F5613" s="1">
        <v>83</v>
      </c>
      <c r="L5613" s="1">
        <v>1</v>
      </c>
      <c r="R5613" s="3">
        <v>0</v>
      </c>
      <c r="S5613" s="3">
        <v>1</v>
      </c>
    </row>
    <row r="5614" spans="1:53" x14ac:dyDescent="0.3">
      <c r="A5614" s="1" t="s">
        <v>71</v>
      </c>
      <c r="B5614" s="7">
        <v>40766</v>
      </c>
      <c r="C5614" s="1">
        <v>5</v>
      </c>
      <c r="D5614" s="1">
        <v>139</v>
      </c>
      <c r="E5614" s="1">
        <v>1</v>
      </c>
      <c r="F5614" s="1">
        <v>84</v>
      </c>
      <c r="I5614" s="1">
        <v>1</v>
      </c>
    </row>
    <row r="5615" spans="1:53" x14ac:dyDescent="0.3">
      <c r="A5615" s="1" t="s">
        <v>71</v>
      </c>
      <c r="B5615" s="7">
        <v>40766</v>
      </c>
      <c r="C5615" s="1">
        <v>5</v>
      </c>
      <c r="D5615" s="1">
        <v>139</v>
      </c>
      <c r="E5615" s="1">
        <v>1</v>
      </c>
      <c r="F5615" s="1">
        <v>85</v>
      </c>
    </row>
    <row r="5616" spans="1:53" x14ac:dyDescent="0.3">
      <c r="A5616" s="1" t="s">
        <v>71</v>
      </c>
      <c r="B5616" s="7">
        <v>40766</v>
      </c>
      <c r="C5616" s="1">
        <v>5</v>
      </c>
      <c r="D5616" s="1">
        <v>139</v>
      </c>
      <c r="E5616" s="1">
        <v>1</v>
      </c>
      <c r="F5616" s="1">
        <v>86</v>
      </c>
      <c r="I5616" s="1">
        <v>1</v>
      </c>
    </row>
    <row r="5617" spans="1:61" x14ac:dyDescent="0.3">
      <c r="A5617" s="1" t="s">
        <v>71</v>
      </c>
      <c r="B5617" s="7">
        <v>40766</v>
      </c>
      <c r="C5617" s="1">
        <v>5</v>
      </c>
      <c r="D5617" s="1">
        <v>139</v>
      </c>
      <c r="E5617" s="1">
        <v>1</v>
      </c>
      <c r="F5617" s="1">
        <v>87</v>
      </c>
      <c r="I5617" s="1">
        <v>1</v>
      </c>
      <c r="R5617" s="1">
        <v>1</v>
      </c>
    </row>
    <row r="5618" spans="1:61" x14ac:dyDescent="0.3">
      <c r="A5618" s="1" t="s">
        <v>71</v>
      </c>
      <c r="B5618" s="7">
        <v>40766</v>
      </c>
      <c r="C5618" s="1">
        <v>5</v>
      </c>
      <c r="D5618" s="1">
        <v>139</v>
      </c>
      <c r="E5618" s="1">
        <v>1</v>
      </c>
      <c r="F5618" s="1">
        <v>88</v>
      </c>
      <c r="R5618" s="1">
        <v>1</v>
      </c>
      <c r="T5618" s="1">
        <v>1</v>
      </c>
    </row>
    <row r="5619" spans="1:61" x14ac:dyDescent="0.3">
      <c r="A5619" s="1" t="s">
        <v>71</v>
      </c>
      <c r="B5619" s="7">
        <v>40766</v>
      </c>
      <c r="C5619" s="1">
        <v>5</v>
      </c>
      <c r="D5619" s="1">
        <v>139</v>
      </c>
      <c r="E5619" s="1">
        <v>1</v>
      </c>
      <c r="F5619" s="1">
        <v>89</v>
      </c>
      <c r="T5619" s="1">
        <v>1</v>
      </c>
    </row>
    <row r="5620" spans="1:61" x14ac:dyDescent="0.3">
      <c r="A5620" s="1" t="s">
        <v>71</v>
      </c>
      <c r="B5620" s="7">
        <v>40766</v>
      </c>
      <c r="C5620" s="1">
        <v>5</v>
      </c>
      <c r="D5620" s="1">
        <v>139</v>
      </c>
      <c r="E5620" s="1">
        <v>1</v>
      </c>
      <c r="F5620" s="1">
        <v>90</v>
      </c>
      <c r="L5620" s="1">
        <v>1</v>
      </c>
      <c r="BA5620" s="1">
        <v>1</v>
      </c>
    </row>
    <row r="5621" spans="1:61" x14ac:dyDescent="0.3">
      <c r="A5621" s="1" t="s">
        <v>71</v>
      </c>
      <c r="B5621" s="7">
        <v>40766</v>
      </c>
      <c r="C5621" s="1">
        <v>5</v>
      </c>
      <c r="D5621" s="1">
        <v>139</v>
      </c>
      <c r="E5621" s="1">
        <v>1</v>
      </c>
      <c r="F5621" s="1">
        <v>91</v>
      </c>
      <c r="R5621" s="3">
        <v>0</v>
      </c>
      <c r="S5621" s="3">
        <v>1</v>
      </c>
      <c r="T5621" s="1">
        <v>1</v>
      </c>
    </row>
    <row r="5622" spans="1:61" x14ac:dyDescent="0.3">
      <c r="A5622" s="1" t="s">
        <v>71</v>
      </c>
      <c r="B5622" s="7">
        <v>40766</v>
      </c>
      <c r="C5622" s="1">
        <v>5</v>
      </c>
      <c r="D5622" s="1">
        <v>139</v>
      </c>
      <c r="E5622" s="1">
        <v>1</v>
      </c>
      <c r="F5622" s="1">
        <v>92</v>
      </c>
      <c r="R5622" s="3">
        <v>0</v>
      </c>
      <c r="S5622" s="3">
        <v>1</v>
      </c>
    </row>
    <row r="5623" spans="1:61" x14ac:dyDescent="0.3">
      <c r="A5623" s="1" t="s">
        <v>71</v>
      </c>
      <c r="B5623" s="7">
        <v>40766</v>
      </c>
      <c r="C5623" s="1">
        <v>5</v>
      </c>
      <c r="D5623" s="1">
        <v>139</v>
      </c>
      <c r="E5623" s="1">
        <v>1</v>
      </c>
      <c r="F5623" s="1">
        <v>93</v>
      </c>
      <c r="T5623" s="1">
        <v>1</v>
      </c>
    </row>
    <row r="5624" spans="1:61" x14ac:dyDescent="0.3">
      <c r="A5624" s="1" t="s">
        <v>71</v>
      </c>
      <c r="B5624" s="7">
        <v>40766</v>
      </c>
      <c r="C5624" s="1">
        <v>5</v>
      </c>
      <c r="D5624" s="1">
        <v>139</v>
      </c>
      <c r="E5624" s="1">
        <v>1</v>
      </c>
      <c r="F5624" s="1">
        <v>94</v>
      </c>
      <c r="R5624" s="3">
        <v>0</v>
      </c>
      <c r="S5624" s="3">
        <v>1</v>
      </c>
      <c r="T5624" s="1">
        <v>1</v>
      </c>
    </row>
    <row r="5625" spans="1:61" x14ac:dyDescent="0.3">
      <c r="A5625" s="1" t="s">
        <v>71</v>
      </c>
      <c r="B5625" s="7">
        <v>40766</v>
      </c>
      <c r="C5625" s="1">
        <v>5</v>
      </c>
      <c r="D5625" s="1">
        <v>139</v>
      </c>
      <c r="E5625" s="1">
        <v>1</v>
      </c>
      <c r="F5625" s="1">
        <v>95</v>
      </c>
      <c r="R5625" s="1">
        <v>1</v>
      </c>
      <c r="AI5625" s="1">
        <v>1</v>
      </c>
    </row>
    <row r="5626" spans="1:61" x14ac:dyDescent="0.3">
      <c r="A5626" s="1" t="s">
        <v>71</v>
      </c>
      <c r="B5626" s="7">
        <v>40766</v>
      </c>
      <c r="C5626" s="1">
        <v>5</v>
      </c>
      <c r="D5626" s="1">
        <v>139</v>
      </c>
      <c r="E5626" s="1">
        <v>1</v>
      </c>
      <c r="F5626" s="1">
        <v>96</v>
      </c>
      <c r="R5626" s="1">
        <v>1</v>
      </c>
    </row>
    <row r="5627" spans="1:61" x14ac:dyDescent="0.3">
      <c r="A5627" s="1" t="s">
        <v>71</v>
      </c>
      <c r="B5627" s="7">
        <v>40766</v>
      </c>
      <c r="C5627" s="1">
        <v>5</v>
      </c>
      <c r="D5627" s="1">
        <v>139</v>
      </c>
      <c r="E5627" s="1">
        <v>1</v>
      </c>
      <c r="F5627" s="1">
        <v>97</v>
      </c>
      <c r="R5627" s="1">
        <v>1</v>
      </c>
    </row>
    <row r="5628" spans="1:61" x14ac:dyDescent="0.3">
      <c r="A5628" s="1" t="s">
        <v>71</v>
      </c>
      <c r="B5628" s="7">
        <v>40766</v>
      </c>
      <c r="C5628" s="1">
        <v>5</v>
      </c>
      <c r="D5628" s="1">
        <v>139</v>
      </c>
      <c r="E5628" s="1">
        <v>1</v>
      </c>
      <c r="F5628" s="1">
        <v>98</v>
      </c>
      <c r="R5628" s="1">
        <v>1</v>
      </c>
    </row>
    <row r="5629" spans="1:61" x14ac:dyDescent="0.3">
      <c r="A5629" s="1" t="s">
        <v>71</v>
      </c>
      <c r="B5629" s="7">
        <v>40766</v>
      </c>
      <c r="C5629" s="1">
        <v>5</v>
      </c>
      <c r="D5629" s="1">
        <v>139</v>
      </c>
      <c r="E5629" s="1">
        <v>1</v>
      </c>
      <c r="F5629" s="1">
        <v>99</v>
      </c>
    </row>
    <row r="5630" spans="1:61" x14ac:dyDescent="0.3">
      <c r="A5630" s="1" t="s">
        <v>71</v>
      </c>
      <c r="B5630" s="7">
        <v>40766</v>
      </c>
      <c r="C5630" s="1">
        <v>5</v>
      </c>
      <c r="D5630" s="1">
        <v>139</v>
      </c>
      <c r="E5630" s="1">
        <v>1</v>
      </c>
      <c r="F5630" s="1">
        <v>100</v>
      </c>
      <c r="I5630" s="1">
        <v>1</v>
      </c>
      <c r="V5630" s="1">
        <v>1</v>
      </c>
    </row>
    <row r="5631" spans="1:61" x14ac:dyDescent="0.3">
      <c r="A5631" s="1" t="s">
        <v>71</v>
      </c>
      <c r="B5631" s="7">
        <v>40766</v>
      </c>
      <c r="C5631" s="1">
        <v>8.5</v>
      </c>
      <c r="D5631" s="1">
        <v>253</v>
      </c>
      <c r="E5631" s="1">
        <v>1</v>
      </c>
      <c r="F5631" s="1">
        <v>1</v>
      </c>
      <c r="I5631" s="1">
        <v>1</v>
      </c>
    </row>
    <row r="5632" spans="1:61" x14ac:dyDescent="0.3">
      <c r="A5632" s="1" t="s">
        <v>71</v>
      </c>
      <c r="B5632" s="7">
        <v>40766</v>
      </c>
      <c r="C5632" s="1">
        <v>8.5</v>
      </c>
      <c r="D5632" s="1">
        <v>253</v>
      </c>
      <c r="E5632" s="1">
        <v>1</v>
      </c>
      <c r="F5632" s="1">
        <v>2</v>
      </c>
      <c r="H5632" s="1">
        <v>1</v>
      </c>
      <c r="BI5632" s="1">
        <v>1</v>
      </c>
    </row>
    <row r="5633" spans="1:14" x14ac:dyDescent="0.3">
      <c r="A5633" s="1" t="s">
        <v>71</v>
      </c>
      <c r="B5633" s="7">
        <v>40766</v>
      </c>
      <c r="C5633" s="1">
        <v>8.5</v>
      </c>
      <c r="D5633" s="1">
        <v>253</v>
      </c>
      <c r="E5633" s="1">
        <v>1</v>
      </c>
      <c r="F5633" s="1">
        <v>3</v>
      </c>
      <c r="H5633" s="1">
        <v>1</v>
      </c>
      <c r="I5633" s="1">
        <v>1</v>
      </c>
    </row>
    <row r="5634" spans="1:14" x14ac:dyDescent="0.3">
      <c r="A5634" s="1" t="s">
        <v>71</v>
      </c>
      <c r="B5634" s="7">
        <v>40766</v>
      </c>
      <c r="C5634" s="1">
        <v>8.5</v>
      </c>
      <c r="D5634" s="1">
        <v>253</v>
      </c>
      <c r="E5634" s="1">
        <v>1</v>
      </c>
      <c r="F5634" s="1">
        <v>4</v>
      </c>
      <c r="H5634" s="1">
        <v>1</v>
      </c>
      <c r="J5634" s="1">
        <v>1</v>
      </c>
    </row>
    <row r="5635" spans="1:14" x14ac:dyDescent="0.3">
      <c r="A5635" s="1" t="s">
        <v>71</v>
      </c>
      <c r="B5635" s="7">
        <v>40766</v>
      </c>
      <c r="C5635" s="1">
        <v>8.5</v>
      </c>
      <c r="D5635" s="1">
        <v>253</v>
      </c>
      <c r="E5635" s="1">
        <v>1</v>
      </c>
      <c r="F5635" s="1">
        <v>5</v>
      </c>
      <c r="H5635" s="1">
        <v>1</v>
      </c>
      <c r="J5635" s="1">
        <v>1</v>
      </c>
    </row>
    <row r="5636" spans="1:14" x14ac:dyDescent="0.3">
      <c r="A5636" s="1" t="s">
        <v>71</v>
      </c>
      <c r="B5636" s="7">
        <v>40766</v>
      </c>
      <c r="C5636" s="1">
        <v>8.5</v>
      </c>
      <c r="D5636" s="1">
        <v>253</v>
      </c>
      <c r="E5636" s="1">
        <v>1</v>
      </c>
      <c r="F5636" s="1">
        <v>6</v>
      </c>
      <c r="H5636" s="1">
        <v>1</v>
      </c>
    </row>
    <row r="5637" spans="1:14" x14ac:dyDescent="0.3">
      <c r="A5637" s="1" t="s">
        <v>71</v>
      </c>
      <c r="B5637" s="7">
        <v>40766</v>
      </c>
      <c r="C5637" s="1">
        <v>8.5</v>
      </c>
      <c r="D5637" s="1">
        <v>253</v>
      </c>
      <c r="E5637" s="1">
        <v>1</v>
      </c>
      <c r="F5637" s="1">
        <v>7</v>
      </c>
      <c r="H5637" s="1">
        <v>1</v>
      </c>
      <c r="I5637" s="1">
        <v>1</v>
      </c>
    </row>
    <row r="5638" spans="1:14" x14ac:dyDescent="0.3">
      <c r="A5638" s="1" t="s">
        <v>71</v>
      </c>
      <c r="B5638" s="7">
        <v>40766</v>
      </c>
      <c r="C5638" s="1">
        <v>8.5</v>
      </c>
      <c r="D5638" s="1">
        <v>253</v>
      </c>
      <c r="E5638" s="1">
        <v>1</v>
      </c>
      <c r="F5638" s="1">
        <v>8</v>
      </c>
      <c r="I5638" s="1">
        <v>1</v>
      </c>
      <c r="L5638" s="1">
        <v>1</v>
      </c>
    </row>
    <row r="5639" spans="1:14" x14ac:dyDescent="0.3">
      <c r="A5639" s="1" t="s">
        <v>71</v>
      </c>
      <c r="B5639" s="7">
        <v>40766</v>
      </c>
      <c r="C5639" s="1">
        <v>8.5</v>
      </c>
      <c r="D5639" s="1">
        <v>253</v>
      </c>
      <c r="E5639" s="1">
        <v>1</v>
      </c>
      <c r="F5639" s="1">
        <v>9</v>
      </c>
      <c r="J5639" s="1">
        <v>1</v>
      </c>
      <c r="L5639" s="1">
        <v>1</v>
      </c>
    </row>
    <row r="5640" spans="1:14" x14ac:dyDescent="0.3">
      <c r="A5640" s="1" t="s">
        <v>71</v>
      </c>
      <c r="B5640" s="7">
        <v>40766</v>
      </c>
      <c r="C5640" s="1">
        <v>8.5</v>
      </c>
      <c r="D5640" s="1">
        <v>253</v>
      </c>
      <c r="E5640" s="1">
        <v>1</v>
      </c>
      <c r="F5640" s="1">
        <v>10</v>
      </c>
      <c r="I5640" s="1">
        <v>1</v>
      </c>
    </row>
    <row r="5641" spans="1:14" x14ac:dyDescent="0.3">
      <c r="A5641" s="1" t="s">
        <v>71</v>
      </c>
      <c r="B5641" s="7">
        <v>40766</v>
      </c>
      <c r="C5641" s="1">
        <v>8.5</v>
      </c>
      <c r="D5641" s="1">
        <v>253</v>
      </c>
      <c r="E5641" s="1">
        <v>1</v>
      </c>
      <c r="F5641" s="1">
        <v>11</v>
      </c>
      <c r="I5641" s="1">
        <v>1</v>
      </c>
    </row>
    <row r="5642" spans="1:14" x14ac:dyDescent="0.3">
      <c r="A5642" s="1" t="s">
        <v>71</v>
      </c>
      <c r="B5642" s="7">
        <v>40766</v>
      </c>
      <c r="C5642" s="1">
        <v>8.5</v>
      </c>
      <c r="D5642" s="1">
        <v>253</v>
      </c>
      <c r="E5642" s="1">
        <v>1</v>
      </c>
      <c r="F5642" s="1">
        <v>12</v>
      </c>
      <c r="I5642" s="1">
        <v>1</v>
      </c>
    </row>
    <row r="5643" spans="1:14" x14ac:dyDescent="0.3">
      <c r="A5643" s="1" t="s">
        <v>71</v>
      </c>
      <c r="B5643" s="7">
        <v>40766</v>
      </c>
      <c r="C5643" s="1">
        <v>8.5</v>
      </c>
      <c r="D5643" s="1">
        <v>253</v>
      </c>
      <c r="E5643" s="1">
        <v>1</v>
      </c>
      <c r="F5643" s="1">
        <v>13</v>
      </c>
      <c r="I5643" s="1">
        <v>1</v>
      </c>
      <c r="J5643" s="3">
        <v>0</v>
      </c>
      <c r="K5643" s="3">
        <v>1</v>
      </c>
    </row>
    <row r="5644" spans="1:14" x14ac:dyDescent="0.3">
      <c r="A5644" s="1" t="s">
        <v>71</v>
      </c>
      <c r="B5644" s="7">
        <v>40766</v>
      </c>
      <c r="C5644" s="1">
        <v>8.5</v>
      </c>
      <c r="D5644" s="1">
        <v>253</v>
      </c>
      <c r="E5644" s="1">
        <v>1</v>
      </c>
      <c r="F5644" s="1">
        <v>14</v>
      </c>
      <c r="H5644" s="1">
        <v>1</v>
      </c>
    </row>
    <row r="5645" spans="1:14" x14ac:dyDescent="0.3">
      <c r="A5645" s="1" t="s">
        <v>71</v>
      </c>
      <c r="B5645" s="7">
        <v>40766</v>
      </c>
      <c r="C5645" s="1">
        <v>8.5</v>
      </c>
      <c r="D5645" s="1">
        <v>253</v>
      </c>
      <c r="E5645" s="1">
        <v>1</v>
      </c>
      <c r="F5645" s="1">
        <v>15</v>
      </c>
      <c r="J5645" s="1">
        <v>1</v>
      </c>
      <c r="N5645" s="1">
        <v>1</v>
      </c>
    </row>
    <row r="5646" spans="1:14" x14ac:dyDescent="0.3">
      <c r="A5646" s="1" t="s">
        <v>71</v>
      </c>
      <c r="B5646" s="7">
        <v>40766</v>
      </c>
      <c r="C5646" s="1">
        <v>8.5</v>
      </c>
      <c r="D5646" s="1">
        <v>253</v>
      </c>
      <c r="E5646" s="1">
        <v>1</v>
      </c>
      <c r="F5646" s="1">
        <v>16</v>
      </c>
      <c r="H5646" s="1">
        <v>1</v>
      </c>
    </row>
    <row r="5647" spans="1:14" x14ac:dyDescent="0.3">
      <c r="A5647" s="1" t="s">
        <v>71</v>
      </c>
      <c r="B5647" s="7">
        <v>40766</v>
      </c>
      <c r="C5647" s="1">
        <v>8.5</v>
      </c>
      <c r="D5647" s="1">
        <v>253</v>
      </c>
      <c r="E5647" s="1">
        <v>1</v>
      </c>
      <c r="F5647" s="1">
        <v>17</v>
      </c>
      <c r="J5647" s="1">
        <v>1</v>
      </c>
    </row>
    <row r="5648" spans="1:14" x14ac:dyDescent="0.3">
      <c r="A5648" s="1" t="s">
        <v>71</v>
      </c>
      <c r="B5648" s="7">
        <v>40766</v>
      </c>
      <c r="C5648" s="1">
        <v>8.5</v>
      </c>
      <c r="D5648" s="1">
        <v>253</v>
      </c>
      <c r="E5648" s="1">
        <v>1</v>
      </c>
      <c r="F5648" s="1">
        <v>18</v>
      </c>
      <c r="H5648" s="1">
        <v>1</v>
      </c>
      <c r="J5648" s="1">
        <v>1</v>
      </c>
    </row>
    <row r="5649" spans="1:22" x14ac:dyDescent="0.3">
      <c r="A5649" s="1" t="s">
        <v>71</v>
      </c>
      <c r="B5649" s="7">
        <v>40766</v>
      </c>
      <c r="C5649" s="1">
        <v>8.5</v>
      </c>
      <c r="D5649" s="1">
        <v>253</v>
      </c>
      <c r="E5649" s="1">
        <v>1</v>
      </c>
      <c r="F5649" s="1">
        <v>19</v>
      </c>
      <c r="I5649" s="1">
        <v>1</v>
      </c>
      <c r="L5649" s="1">
        <v>1</v>
      </c>
    </row>
    <row r="5650" spans="1:22" x14ac:dyDescent="0.3">
      <c r="A5650" s="1" t="s">
        <v>71</v>
      </c>
      <c r="B5650" s="7">
        <v>40766</v>
      </c>
      <c r="C5650" s="1">
        <v>8.5</v>
      </c>
      <c r="D5650" s="1">
        <v>253</v>
      </c>
      <c r="E5650" s="1">
        <v>1</v>
      </c>
      <c r="F5650" s="1">
        <v>20</v>
      </c>
      <c r="J5650" s="3">
        <v>0</v>
      </c>
      <c r="K5650" s="3">
        <v>1</v>
      </c>
    </row>
    <row r="5651" spans="1:22" x14ac:dyDescent="0.3">
      <c r="A5651" s="1" t="s">
        <v>71</v>
      </c>
      <c r="B5651" s="7">
        <v>40766</v>
      </c>
      <c r="C5651" s="1">
        <v>8.5</v>
      </c>
      <c r="D5651" s="1">
        <v>253</v>
      </c>
      <c r="E5651" s="1">
        <v>1</v>
      </c>
      <c r="F5651" s="1">
        <v>21</v>
      </c>
      <c r="J5651" s="3">
        <v>0</v>
      </c>
      <c r="K5651" s="3">
        <v>1</v>
      </c>
    </row>
    <row r="5652" spans="1:22" x14ac:dyDescent="0.3">
      <c r="A5652" s="1" t="s">
        <v>71</v>
      </c>
      <c r="B5652" s="7">
        <v>40766</v>
      </c>
      <c r="C5652" s="1">
        <v>8.5</v>
      </c>
      <c r="D5652" s="1">
        <v>253</v>
      </c>
      <c r="E5652" s="1">
        <v>1</v>
      </c>
      <c r="F5652" s="1">
        <v>22</v>
      </c>
      <c r="J5652" s="3">
        <v>0</v>
      </c>
      <c r="K5652" s="3">
        <v>1</v>
      </c>
    </row>
    <row r="5653" spans="1:22" x14ac:dyDescent="0.3">
      <c r="A5653" s="1" t="s">
        <v>71</v>
      </c>
      <c r="B5653" s="7">
        <v>40766</v>
      </c>
      <c r="C5653" s="1">
        <v>8.5</v>
      </c>
      <c r="D5653" s="1">
        <v>253</v>
      </c>
      <c r="E5653" s="1">
        <v>1</v>
      </c>
      <c r="F5653" s="1">
        <v>23</v>
      </c>
      <c r="L5653" s="1">
        <v>1</v>
      </c>
    </row>
    <row r="5654" spans="1:22" x14ac:dyDescent="0.3">
      <c r="A5654" s="1" t="s">
        <v>71</v>
      </c>
      <c r="B5654" s="7">
        <v>40766</v>
      </c>
      <c r="C5654" s="1">
        <v>8.5</v>
      </c>
      <c r="D5654" s="1">
        <v>253</v>
      </c>
      <c r="E5654" s="1">
        <v>1</v>
      </c>
      <c r="F5654" s="1">
        <v>24</v>
      </c>
      <c r="J5654" s="3">
        <v>0</v>
      </c>
      <c r="K5654" s="3">
        <v>1</v>
      </c>
      <c r="L5654" s="1">
        <v>1</v>
      </c>
    </row>
    <row r="5655" spans="1:22" x14ac:dyDescent="0.3">
      <c r="A5655" s="1" t="s">
        <v>71</v>
      </c>
      <c r="B5655" s="7">
        <v>40766</v>
      </c>
      <c r="C5655" s="1">
        <v>8.5</v>
      </c>
      <c r="D5655" s="1">
        <v>253</v>
      </c>
      <c r="E5655" s="1">
        <v>1</v>
      </c>
      <c r="F5655" s="1">
        <v>25</v>
      </c>
      <c r="H5655" s="1">
        <v>1</v>
      </c>
    </row>
    <row r="5656" spans="1:22" x14ac:dyDescent="0.3">
      <c r="A5656" s="1" t="s">
        <v>71</v>
      </c>
      <c r="B5656" s="7">
        <v>40766</v>
      </c>
      <c r="C5656" s="1">
        <v>8.5</v>
      </c>
      <c r="D5656" s="1">
        <v>253</v>
      </c>
      <c r="E5656" s="1">
        <v>1</v>
      </c>
      <c r="F5656" s="1">
        <v>26</v>
      </c>
      <c r="H5656" s="1">
        <v>1</v>
      </c>
      <c r="J5656" s="1">
        <v>1</v>
      </c>
    </row>
    <row r="5657" spans="1:22" x14ac:dyDescent="0.3">
      <c r="A5657" s="1" t="s">
        <v>71</v>
      </c>
      <c r="B5657" s="7">
        <v>40766</v>
      </c>
      <c r="C5657" s="1">
        <v>8.5</v>
      </c>
      <c r="D5657" s="1">
        <v>253</v>
      </c>
      <c r="E5657" s="1">
        <v>1</v>
      </c>
      <c r="F5657" s="1">
        <v>27</v>
      </c>
      <c r="H5657" s="1">
        <v>1</v>
      </c>
    </row>
    <row r="5658" spans="1:22" x14ac:dyDescent="0.3">
      <c r="A5658" s="1" t="s">
        <v>71</v>
      </c>
      <c r="B5658" s="7">
        <v>40766</v>
      </c>
      <c r="C5658" s="1">
        <v>8.5</v>
      </c>
      <c r="D5658" s="1">
        <v>253</v>
      </c>
      <c r="E5658" s="1">
        <v>1</v>
      </c>
      <c r="F5658" s="1">
        <v>28</v>
      </c>
      <c r="J5658" s="1">
        <v>1</v>
      </c>
    </row>
    <row r="5659" spans="1:22" x14ac:dyDescent="0.3">
      <c r="A5659" s="1" t="s">
        <v>71</v>
      </c>
      <c r="B5659" s="7">
        <v>40766</v>
      </c>
      <c r="C5659" s="1">
        <v>8.5</v>
      </c>
      <c r="D5659" s="1">
        <v>253</v>
      </c>
      <c r="E5659" s="1">
        <v>1</v>
      </c>
      <c r="F5659" s="1">
        <v>29</v>
      </c>
      <c r="J5659" s="1">
        <v>1</v>
      </c>
      <c r="N5659" s="1">
        <v>1</v>
      </c>
    </row>
    <row r="5660" spans="1:22" x14ac:dyDescent="0.3">
      <c r="A5660" s="1" t="s">
        <v>71</v>
      </c>
      <c r="B5660" s="7">
        <v>40766</v>
      </c>
      <c r="C5660" s="1">
        <v>8.5</v>
      </c>
      <c r="D5660" s="1">
        <v>253</v>
      </c>
      <c r="E5660" s="1">
        <v>1</v>
      </c>
      <c r="F5660" s="1">
        <v>30</v>
      </c>
      <c r="I5660" s="1">
        <v>1</v>
      </c>
      <c r="J5660" s="1">
        <v>1</v>
      </c>
    </row>
    <row r="5661" spans="1:22" x14ac:dyDescent="0.3">
      <c r="A5661" s="1" t="s">
        <v>71</v>
      </c>
      <c r="B5661" s="7">
        <v>40766</v>
      </c>
      <c r="C5661" s="1">
        <v>8.5</v>
      </c>
      <c r="D5661" s="1">
        <v>253</v>
      </c>
      <c r="E5661" s="1">
        <v>1</v>
      </c>
      <c r="F5661" s="1">
        <v>31</v>
      </c>
      <c r="V5661" s="1">
        <v>1</v>
      </c>
    </row>
    <row r="5662" spans="1:22" x14ac:dyDescent="0.3">
      <c r="A5662" s="1" t="s">
        <v>71</v>
      </c>
      <c r="B5662" s="7">
        <v>40766</v>
      </c>
      <c r="C5662" s="1">
        <v>8.5</v>
      </c>
      <c r="D5662" s="1">
        <v>253</v>
      </c>
      <c r="E5662" s="1">
        <v>1</v>
      </c>
      <c r="F5662" s="1">
        <v>32</v>
      </c>
      <c r="J5662" s="3">
        <v>0</v>
      </c>
      <c r="K5662" s="3">
        <v>1</v>
      </c>
    </row>
    <row r="5663" spans="1:22" x14ac:dyDescent="0.3">
      <c r="A5663" s="1" t="s">
        <v>71</v>
      </c>
      <c r="B5663" s="7">
        <v>40766</v>
      </c>
      <c r="C5663" s="1">
        <v>8.5</v>
      </c>
      <c r="D5663" s="1">
        <v>253</v>
      </c>
      <c r="E5663" s="1">
        <v>1</v>
      </c>
      <c r="F5663" s="1">
        <v>33</v>
      </c>
      <c r="H5663" s="1">
        <v>1</v>
      </c>
      <c r="I5663" s="1">
        <v>1</v>
      </c>
    </row>
    <row r="5664" spans="1:22" x14ac:dyDescent="0.3">
      <c r="A5664" s="1" t="s">
        <v>71</v>
      </c>
      <c r="B5664" s="7">
        <v>40766</v>
      </c>
      <c r="C5664" s="1">
        <v>8.5</v>
      </c>
      <c r="D5664" s="1">
        <v>253</v>
      </c>
      <c r="E5664" s="1">
        <v>1</v>
      </c>
      <c r="F5664" s="1">
        <v>34</v>
      </c>
      <c r="J5664" s="3">
        <v>0</v>
      </c>
      <c r="K5664" s="3">
        <v>1</v>
      </c>
    </row>
    <row r="5665" spans="1:61" x14ac:dyDescent="0.3">
      <c r="A5665" s="1" t="s">
        <v>71</v>
      </c>
      <c r="B5665" s="7">
        <v>40766</v>
      </c>
      <c r="C5665" s="1">
        <v>8.5</v>
      </c>
      <c r="D5665" s="1">
        <v>253</v>
      </c>
      <c r="E5665" s="1">
        <v>1</v>
      </c>
      <c r="F5665" s="1">
        <v>35</v>
      </c>
      <c r="H5665" s="1">
        <v>1</v>
      </c>
    </row>
    <row r="5666" spans="1:61" x14ac:dyDescent="0.3">
      <c r="A5666" s="1" t="s">
        <v>71</v>
      </c>
      <c r="B5666" s="7">
        <v>40766</v>
      </c>
      <c r="C5666" s="1">
        <v>8.5</v>
      </c>
      <c r="D5666" s="1">
        <v>253</v>
      </c>
      <c r="E5666" s="1">
        <v>1</v>
      </c>
      <c r="F5666" s="1">
        <v>36</v>
      </c>
      <c r="H5666" s="1">
        <v>1</v>
      </c>
    </row>
    <row r="5667" spans="1:61" x14ac:dyDescent="0.3">
      <c r="A5667" s="1" t="s">
        <v>71</v>
      </c>
      <c r="B5667" s="7">
        <v>40766</v>
      </c>
      <c r="C5667" s="1">
        <v>8.5</v>
      </c>
      <c r="D5667" s="1">
        <v>253</v>
      </c>
      <c r="E5667" s="1">
        <v>1</v>
      </c>
      <c r="F5667" s="1">
        <v>37</v>
      </c>
    </row>
    <row r="5668" spans="1:61" x14ac:dyDescent="0.3">
      <c r="A5668" s="1" t="s">
        <v>71</v>
      </c>
      <c r="B5668" s="7">
        <v>40766</v>
      </c>
      <c r="C5668" s="1">
        <v>8.5</v>
      </c>
      <c r="D5668" s="1">
        <v>253</v>
      </c>
      <c r="E5668" s="1">
        <v>1</v>
      </c>
      <c r="F5668" s="1">
        <v>38</v>
      </c>
      <c r="I5668" s="1">
        <v>1</v>
      </c>
      <c r="J5668" s="1">
        <v>1</v>
      </c>
    </row>
    <row r="5669" spans="1:61" x14ac:dyDescent="0.3">
      <c r="A5669" s="1" t="s">
        <v>71</v>
      </c>
      <c r="B5669" s="7">
        <v>40766</v>
      </c>
      <c r="C5669" s="1">
        <v>8.5</v>
      </c>
      <c r="D5669" s="1">
        <v>253</v>
      </c>
      <c r="E5669" s="1">
        <v>1</v>
      </c>
      <c r="F5669" s="1">
        <v>39</v>
      </c>
      <c r="I5669" s="1">
        <v>1</v>
      </c>
      <c r="J5669" s="1">
        <v>1</v>
      </c>
    </row>
    <row r="5670" spans="1:61" x14ac:dyDescent="0.3">
      <c r="A5670" s="1" t="s">
        <v>71</v>
      </c>
      <c r="B5670" s="7">
        <v>40766</v>
      </c>
      <c r="C5670" s="1">
        <v>8.5</v>
      </c>
      <c r="D5670" s="1">
        <v>253</v>
      </c>
      <c r="E5670" s="1">
        <v>1</v>
      </c>
      <c r="F5670" s="1">
        <v>40</v>
      </c>
      <c r="J5670" s="3">
        <v>0</v>
      </c>
      <c r="K5670" s="3">
        <v>1</v>
      </c>
      <c r="N5670" s="1">
        <v>1</v>
      </c>
    </row>
    <row r="5671" spans="1:61" x14ac:dyDescent="0.3">
      <c r="A5671" s="1" t="s">
        <v>71</v>
      </c>
      <c r="B5671" s="7">
        <v>40766</v>
      </c>
      <c r="C5671" s="1">
        <v>8.5</v>
      </c>
      <c r="D5671" s="1">
        <v>253</v>
      </c>
      <c r="E5671" s="1">
        <v>1</v>
      </c>
      <c r="F5671" s="1">
        <v>41</v>
      </c>
      <c r="N5671" s="1">
        <v>1</v>
      </c>
    </row>
    <row r="5672" spans="1:61" x14ac:dyDescent="0.3">
      <c r="A5672" s="1" t="s">
        <v>71</v>
      </c>
      <c r="B5672" s="7">
        <v>40766</v>
      </c>
      <c r="C5672" s="1">
        <v>8.5</v>
      </c>
      <c r="D5672" s="1">
        <v>253</v>
      </c>
      <c r="E5672" s="1">
        <v>1</v>
      </c>
      <c r="F5672" s="1">
        <v>42</v>
      </c>
      <c r="J5672" s="1">
        <v>1</v>
      </c>
      <c r="BI5672" s="1">
        <v>1</v>
      </c>
    </row>
    <row r="5673" spans="1:61" x14ac:dyDescent="0.3">
      <c r="A5673" s="1" t="s">
        <v>71</v>
      </c>
      <c r="B5673" s="7">
        <v>40766</v>
      </c>
      <c r="C5673" s="1">
        <v>8.5</v>
      </c>
      <c r="D5673" s="1">
        <v>253</v>
      </c>
      <c r="E5673" s="1">
        <v>1</v>
      </c>
      <c r="F5673" s="1">
        <v>43</v>
      </c>
      <c r="I5673" s="1">
        <v>1</v>
      </c>
      <c r="J5673" s="1">
        <v>1</v>
      </c>
    </row>
    <row r="5674" spans="1:61" x14ac:dyDescent="0.3">
      <c r="A5674" s="1" t="s">
        <v>71</v>
      </c>
      <c r="B5674" s="7">
        <v>40766</v>
      </c>
      <c r="C5674" s="1">
        <v>8.5</v>
      </c>
      <c r="D5674" s="1">
        <v>253</v>
      </c>
      <c r="E5674" s="1">
        <v>1</v>
      </c>
      <c r="F5674" s="1">
        <v>44</v>
      </c>
      <c r="H5674" s="1">
        <v>1</v>
      </c>
      <c r="J5674" s="1">
        <v>1</v>
      </c>
    </row>
    <row r="5675" spans="1:61" x14ac:dyDescent="0.3">
      <c r="A5675" s="1" t="s">
        <v>71</v>
      </c>
      <c r="B5675" s="7">
        <v>40766</v>
      </c>
      <c r="C5675" s="1">
        <v>8.5</v>
      </c>
      <c r="D5675" s="1">
        <v>253</v>
      </c>
      <c r="E5675" s="1">
        <v>1</v>
      </c>
      <c r="F5675" s="1">
        <v>45</v>
      </c>
      <c r="H5675" s="1">
        <v>1</v>
      </c>
      <c r="J5675" s="1">
        <v>1</v>
      </c>
      <c r="N5675" s="1">
        <v>1</v>
      </c>
    </row>
    <row r="5676" spans="1:61" x14ac:dyDescent="0.3">
      <c r="A5676" s="1" t="s">
        <v>71</v>
      </c>
      <c r="B5676" s="7">
        <v>40766</v>
      </c>
      <c r="C5676" s="1">
        <v>8.5</v>
      </c>
      <c r="D5676" s="1">
        <v>253</v>
      </c>
      <c r="E5676" s="1">
        <v>1</v>
      </c>
      <c r="F5676" s="1">
        <v>46</v>
      </c>
    </row>
    <row r="5677" spans="1:61" x14ac:dyDescent="0.3">
      <c r="A5677" s="1" t="s">
        <v>71</v>
      </c>
      <c r="B5677" s="7">
        <v>40766</v>
      </c>
      <c r="C5677" s="1">
        <v>8.5</v>
      </c>
      <c r="D5677" s="1">
        <v>253</v>
      </c>
      <c r="E5677" s="1">
        <v>1</v>
      </c>
      <c r="F5677" s="1">
        <v>47</v>
      </c>
    </row>
    <row r="5678" spans="1:61" x14ac:dyDescent="0.3">
      <c r="A5678" s="1" t="s">
        <v>71</v>
      </c>
      <c r="B5678" s="7">
        <v>40766</v>
      </c>
      <c r="C5678" s="1">
        <v>8.5</v>
      </c>
      <c r="D5678" s="1">
        <v>253</v>
      </c>
      <c r="E5678" s="1">
        <v>1</v>
      </c>
      <c r="F5678" s="1">
        <v>48</v>
      </c>
      <c r="J5678" s="1">
        <v>1</v>
      </c>
    </row>
    <row r="5679" spans="1:61" x14ac:dyDescent="0.3">
      <c r="A5679" s="1" t="s">
        <v>71</v>
      </c>
      <c r="B5679" s="7">
        <v>40766</v>
      </c>
      <c r="C5679" s="1">
        <v>8.5</v>
      </c>
      <c r="D5679" s="1">
        <v>253</v>
      </c>
      <c r="E5679" s="1">
        <v>1</v>
      </c>
      <c r="F5679" s="1">
        <v>49</v>
      </c>
      <c r="H5679" s="1">
        <v>1</v>
      </c>
    </row>
    <row r="5680" spans="1:61" x14ac:dyDescent="0.3">
      <c r="A5680" s="1" t="s">
        <v>71</v>
      </c>
      <c r="B5680" s="7">
        <v>40766</v>
      </c>
      <c r="C5680" s="1">
        <v>8.5</v>
      </c>
      <c r="D5680" s="1">
        <v>253</v>
      </c>
      <c r="E5680" s="1">
        <v>1</v>
      </c>
      <c r="F5680" s="1">
        <v>50</v>
      </c>
      <c r="J5680" s="1">
        <v>1</v>
      </c>
      <c r="N5680" s="1">
        <v>1</v>
      </c>
    </row>
    <row r="5681" spans="1:45" x14ac:dyDescent="0.3">
      <c r="A5681" s="1" t="s">
        <v>71</v>
      </c>
      <c r="B5681" s="7">
        <v>40766</v>
      </c>
      <c r="C5681" s="1">
        <v>8.5</v>
      </c>
      <c r="D5681" s="1">
        <v>253</v>
      </c>
      <c r="E5681" s="1">
        <v>1</v>
      </c>
      <c r="F5681" s="1">
        <v>51</v>
      </c>
      <c r="J5681" s="1">
        <v>1</v>
      </c>
    </row>
    <row r="5682" spans="1:45" x14ac:dyDescent="0.3">
      <c r="A5682" s="1" t="s">
        <v>71</v>
      </c>
      <c r="B5682" s="7">
        <v>40766</v>
      </c>
      <c r="C5682" s="1">
        <v>8.5</v>
      </c>
      <c r="D5682" s="1">
        <v>253</v>
      </c>
      <c r="E5682" s="1">
        <v>1</v>
      </c>
      <c r="F5682" s="1">
        <v>52</v>
      </c>
      <c r="J5682" s="3">
        <v>0</v>
      </c>
      <c r="K5682" s="3">
        <v>1</v>
      </c>
    </row>
    <row r="5683" spans="1:45" x14ac:dyDescent="0.3">
      <c r="A5683" s="1" t="s">
        <v>71</v>
      </c>
      <c r="B5683" s="7">
        <v>40766</v>
      </c>
      <c r="C5683" s="1">
        <v>8.5</v>
      </c>
      <c r="D5683" s="1">
        <v>253</v>
      </c>
      <c r="E5683" s="1">
        <v>1</v>
      </c>
      <c r="F5683" s="1">
        <v>53</v>
      </c>
      <c r="J5683" s="1">
        <v>1</v>
      </c>
    </row>
    <row r="5684" spans="1:45" x14ac:dyDescent="0.3">
      <c r="A5684" s="1" t="s">
        <v>71</v>
      </c>
      <c r="B5684" s="7">
        <v>40766</v>
      </c>
      <c r="C5684" s="1">
        <v>8.5</v>
      </c>
      <c r="D5684" s="1">
        <v>253</v>
      </c>
      <c r="E5684" s="1">
        <v>1</v>
      </c>
      <c r="F5684" s="1">
        <v>54</v>
      </c>
      <c r="J5684" s="1">
        <v>1</v>
      </c>
    </row>
    <row r="5685" spans="1:45" x14ac:dyDescent="0.3">
      <c r="A5685" s="1" t="s">
        <v>71</v>
      </c>
      <c r="B5685" s="7">
        <v>40766</v>
      </c>
      <c r="C5685" s="1">
        <v>8.5</v>
      </c>
      <c r="D5685" s="1">
        <v>253</v>
      </c>
      <c r="E5685" s="1">
        <v>1</v>
      </c>
      <c r="F5685" s="1">
        <v>55</v>
      </c>
      <c r="J5685" s="1">
        <v>1</v>
      </c>
    </row>
    <row r="5686" spans="1:45" x14ac:dyDescent="0.3">
      <c r="A5686" s="1" t="s">
        <v>71</v>
      </c>
      <c r="B5686" s="7">
        <v>40766</v>
      </c>
      <c r="C5686" s="1">
        <v>8.5</v>
      </c>
      <c r="D5686" s="1">
        <v>253</v>
      </c>
      <c r="E5686" s="1">
        <v>1</v>
      </c>
      <c r="F5686" s="1">
        <v>56</v>
      </c>
      <c r="J5686" s="3">
        <v>0</v>
      </c>
      <c r="K5686" s="3">
        <v>1</v>
      </c>
    </row>
    <row r="5687" spans="1:45" x14ac:dyDescent="0.3">
      <c r="A5687" s="1" t="s">
        <v>71</v>
      </c>
      <c r="B5687" s="7">
        <v>40766</v>
      </c>
      <c r="C5687" s="1">
        <v>8.5</v>
      </c>
      <c r="D5687" s="1">
        <v>253</v>
      </c>
      <c r="E5687" s="1">
        <v>1</v>
      </c>
      <c r="F5687" s="1">
        <v>57</v>
      </c>
      <c r="J5687" s="1">
        <v>1</v>
      </c>
    </row>
    <row r="5688" spans="1:45" x14ac:dyDescent="0.3">
      <c r="A5688" s="1" t="s">
        <v>71</v>
      </c>
      <c r="B5688" s="7">
        <v>40766</v>
      </c>
      <c r="C5688" s="1">
        <v>8.5</v>
      </c>
      <c r="D5688" s="1">
        <v>253</v>
      </c>
      <c r="E5688" s="1">
        <v>1</v>
      </c>
      <c r="F5688" s="1">
        <v>58</v>
      </c>
      <c r="I5688" s="1">
        <v>1</v>
      </c>
      <c r="J5688" s="1">
        <v>1</v>
      </c>
    </row>
    <row r="5689" spans="1:45" x14ac:dyDescent="0.3">
      <c r="A5689" s="1" t="s">
        <v>71</v>
      </c>
      <c r="B5689" s="7">
        <v>40766</v>
      </c>
      <c r="C5689" s="1">
        <v>8.5</v>
      </c>
      <c r="D5689" s="1">
        <v>253</v>
      </c>
      <c r="E5689" s="1">
        <v>1</v>
      </c>
      <c r="F5689" s="1">
        <v>59</v>
      </c>
      <c r="H5689" s="1">
        <v>1</v>
      </c>
      <c r="J5689" s="1">
        <v>1</v>
      </c>
    </row>
    <row r="5690" spans="1:45" x14ac:dyDescent="0.3">
      <c r="A5690" s="1" t="s">
        <v>71</v>
      </c>
      <c r="B5690" s="7">
        <v>40766</v>
      </c>
      <c r="C5690" s="1">
        <v>8.5</v>
      </c>
      <c r="D5690" s="1">
        <v>253</v>
      </c>
      <c r="E5690" s="1">
        <v>1</v>
      </c>
      <c r="F5690" s="1">
        <v>60</v>
      </c>
      <c r="J5690" s="1">
        <v>1</v>
      </c>
    </row>
    <row r="5691" spans="1:45" x14ac:dyDescent="0.3">
      <c r="A5691" s="1" t="s">
        <v>71</v>
      </c>
      <c r="B5691" s="7">
        <v>40766</v>
      </c>
      <c r="C5691" s="1">
        <v>8.5</v>
      </c>
      <c r="D5691" s="1">
        <v>253</v>
      </c>
      <c r="E5691" s="1">
        <v>1</v>
      </c>
      <c r="F5691" s="1">
        <v>61</v>
      </c>
      <c r="J5691" s="1">
        <v>1</v>
      </c>
    </row>
    <row r="5692" spans="1:45" x14ac:dyDescent="0.3">
      <c r="A5692" s="1" t="s">
        <v>71</v>
      </c>
      <c r="B5692" s="7">
        <v>40766</v>
      </c>
      <c r="C5692" s="1">
        <v>8.5</v>
      </c>
      <c r="D5692" s="1">
        <v>253</v>
      </c>
      <c r="E5692" s="1">
        <v>1</v>
      </c>
      <c r="F5692" s="1">
        <v>62</v>
      </c>
      <c r="J5692" s="1">
        <v>1</v>
      </c>
    </row>
    <row r="5693" spans="1:45" x14ac:dyDescent="0.3">
      <c r="A5693" s="1" t="s">
        <v>71</v>
      </c>
      <c r="B5693" s="7">
        <v>40766</v>
      </c>
      <c r="C5693" s="1">
        <v>8.5</v>
      </c>
      <c r="D5693" s="1">
        <v>253</v>
      </c>
      <c r="E5693" s="1">
        <v>1</v>
      </c>
      <c r="F5693" s="1">
        <v>63</v>
      </c>
      <c r="J5693" s="3">
        <v>0</v>
      </c>
      <c r="K5693" s="3">
        <v>1</v>
      </c>
    </row>
    <row r="5694" spans="1:45" x14ac:dyDescent="0.3">
      <c r="A5694" s="1" t="s">
        <v>71</v>
      </c>
      <c r="B5694" s="7">
        <v>40766</v>
      </c>
      <c r="C5694" s="1">
        <v>8.5</v>
      </c>
      <c r="D5694" s="1">
        <v>253</v>
      </c>
      <c r="E5694" s="1">
        <v>1</v>
      </c>
      <c r="F5694" s="1">
        <v>64</v>
      </c>
      <c r="J5694" s="1">
        <v>1</v>
      </c>
      <c r="L5694" s="1">
        <v>1</v>
      </c>
    </row>
    <row r="5695" spans="1:45" x14ac:dyDescent="0.3">
      <c r="A5695" s="1" t="s">
        <v>71</v>
      </c>
      <c r="B5695" s="7">
        <v>40766</v>
      </c>
      <c r="C5695" s="1">
        <v>8.5</v>
      </c>
      <c r="D5695" s="1">
        <v>253</v>
      </c>
      <c r="E5695" s="1">
        <v>1</v>
      </c>
      <c r="F5695" s="1">
        <v>65</v>
      </c>
      <c r="H5695" s="1">
        <v>1</v>
      </c>
      <c r="I5695" s="1">
        <v>1</v>
      </c>
    </row>
    <row r="5696" spans="1:45" x14ac:dyDescent="0.3">
      <c r="A5696" s="1" t="s">
        <v>71</v>
      </c>
      <c r="B5696" s="7">
        <v>40766</v>
      </c>
      <c r="C5696" s="1">
        <v>8.5</v>
      </c>
      <c r="D5696" s="1">
        <v>253</v>
      </c>
      <c r="E5696" s="1">
        <v>1</v>
      </c>
      <c r="F5696" s="1">
        <v>66</v>
      </c>
      <c r="I5696" s="1">
        <v>1</v>
      </c>
      <c r="J5696" s="1">
        <v>1</v>
      </c>
      <c r="AS5696" s="1">
        <v>1</v>
      </c>
    </row>
    <row r="5697" spans="1:61" x14ac:dyDescent="0.3">
      <c r="A5697" s="1" t="s">
        <v>71</v>
      </c>
      <c r="B5697" s="7">
        <v>40766</v>
      </c>
      <c r="C5697" s="1">
        <v>8.5</v>
      </c>
      <c r="D5697" s="1">
        <v>253</v>
      </c>
      <c r="E5697" s="1">
        <v>1</v>
      </c>
      <c r="F5697" s="1">
        <v>67</v>
      </c>
      <c r="I5697" s="1">
        <v>1</v>
      </c>
    </row>
    <row r="5698" spans="1:61" x14ac:dyDescent="0.3">
      <c r="A5698" s="1" t="s">
        <v>71</v>
      </c>
      <c r="B5698" s="7">
        <v>40766</v>
      </c>
      <c r="C5698" s="1">
        <v>8.5</v>
      </c>
      <c r="D5698" s="1">
        <v>253</v>
      </c>
      <c r="E5698" s="1">
        <v>1</v>
      </c>
      <c r="F5698" s="1">
        <v>68</v>
      </c>
      <c r="J5698" s="1">
        <v>1</v>
      </c>
    </row>
    <row r="5699" spans="1:61" x14ac:dyDescent="0.3">
      <c r="A5699" s="1" t="s">
        <v>71</v>
      </c>
      <c r="B5699" s="7">
        <v>40766</v>
      </c>
      <c r="C5699" s="1">
        <v>8.5</v>
      </c>
      <c r="D5699" s="1">
        <v>253</v>
      </c>
      <c r="E5699" s="1">
        <v>1</v>
      </c>
      <c r="F5699" s="1">
        <v>69</v>
      </c>
      <c r="J5699" s="1">
        <v>1</v>
      </c>
    </row>
    <row r="5700" spans="1:61" x14ac:dyDescent="0.3">
      <c r="A5700" s="1" t="s">
        <v>71</v>
      </c>
      <c r="B5700" s="7">
        <v>40766</v>
      </c>
      <c r="C5700" s="1">
        <v>8.5</v>
      </c>
      <c r="D5700" s="1">
        <v>253</v>
      </c>
      <c r="E5700" s="1">
        <v>1</v>
      </c>
      <c r="F5700" s="1">
        <v>70</v>
      </c>
      <c r="H5700" s="1">
        <v>1</v>
      </c>
    </row>
    <row r="5701" spans="1:61" x14ac:dyDescent="0.3">
      <c r="A5701" s="1" t="s">
        <v>71</v>
      </c>
      <c r="B5701" s="7">
        <v>40766</v>
      </c>
      <c r="C5701" s="1">
        <v>8.5</v>
      </c>
      <c r="D5701" s="1">
        <v>253</v>
      </c>
      <c r="E5701" s="1">
        <v>1</v>
      </c>
      <c r="F5701" s="1">
        <v>71</v>
      </c>
      <c r="J5701" s="1">
        <v>1</v>
      </c>
    </row>
    <row r="5702" spans="1:61" x14ac:dyDescent="0.3">
      <c r="A5702" s="1" t="s">
        <v>71</v>
      </c>
      <c r="B5702" s="7">
        <v>40766</v>
      </c>
      <c r="C5702" s="1">
        <v>8.5</v>
      </c>
      <c r="D5702" s="1">
        <v>253</v>
      </c>
      <c r="E5702" s="1">
        <v>1</v>
      </c>
      <c r="F5702" s="1">
        <v>72</v>
      </c>
      <c r="J5702" s="1">
        <v>1</v>
      </c>
    </row>
    <row r="5703" spans="1:61" x14ac:dyDescent="0.3">
      <c r="A5703" s="1" t="s">
        <v>71</v>
      </c>
      <c r="B5703" s="7">
        <v>40766</v>
      </c>
      <c r="C5703" s="1">
        <v>8.5</v>
      </c>
      <c r="D5703" s="1">
        <v>253</v>
      </c>
      <c r="E5703" s="1">
        <v>1</v>
      </c>
      <c r="F5703" s="1">
        <v>73</v>
      </c>
      <c r="L5703" s="1">
        <v>1</v>
      </c>
    </row>
    <row r="5704" spans="1:61" x14ac:dyDescent="0.3">
      <c r="A5704" s="1" t="s">
        <v>71</v>
      </c>
      <c r="B5704" s="7">
        <v>40766</v>
      </c>
      <c r="C5704" s="1">
        <v>8.5</v>
      </c>
      <c r="D5704" s="1">
        <v>253</v>
      </c>
      <c r="E5704" s="1">
        <v>1</v>
      </c>
      <c r="F5704" s="1">
        <v>74</v>
      </c>
      <c r="J5704" s="3">
        <v>0</v>
      </c>
      <c r="K5704" s="3">
        <v>1</v>
      </c>
    </row>
    <row r="5705" spans="1:61" x14ac:dyDescent="0.3">
      <c r="A5705" s="1" t="s">
        <v>71</v>
      </c>
      <c r="B5705" s="7">
        <v>40766</v>
      </c>
      <c r="C5705" s="1">
        <v>8.5</v>
      </c>
      <c r="D5705" s="1">
        <v>253</v>
      </c>
      <c r="E5705" s="1">
        <v>1</v>
      </c>
      <c r="F5705" s="1">
        <v>75</v>
      </c>
      <c r="I5705" s="1">
        <v>1</v>
      </c>
      <c r="AF5705" s="1">
        <v>1</v>
      </c>
    </row>
    <row r="5706" spans="1:61" x14ac:dyDescent="0.3">
      <c r="A5706" s="1" t="s">
        <v>71</v>
      </c>
      <c r="B5706" s="7">
        <v>40766</v>
      </c>
      <c r="C5706" s="1">
        <v>8.5</v>
      </c>
      <c r="D5706" s="1">
        <v>253</v>
      </c>
      <c r="E5706" s="1">
        <v>1</v>
      </c>
      <c r="F5706" s="1">
        <v>76</v>
      </c>
      <c r="BI5706" s="1">
        <v>1</v>
      </c>
    </row>
    <row r="5707" spans="1:61" x14ac:dyDescent="0.3">
      <c r="A5707" s="1" t="s">
        <v>71</v>
      </c>
      <c r="B5707" s="7">
        <v>40766</v>
      </c>
      <c r="C5707" s="1">
        <v>8.5</v>
      </c>
      <c r="D5707" s="1">
        <v>253</v>
      </c>
      <c r="E5707" s="1">
        <v>1</v>
      </c>
      <c r="F5707" s="1">
        <v>77</v>
      </c>
      <c r="H5707" s="1">
        <v>1</v>
      </c>
      <c r="I5707" s="1">
        <v>1</v>
      </c>
    </row>
    <row r="5708" spans="1:61" x14ac:dyDescent="0.3">
      <c r="A5708" s="1" t="s">
        <v>71</v>
      </c>
      <c r="B5708" s="7">
        <v>40766</v>
      </c>
      <c r="C5708" s="1">
        <v>8.5</v>
      </c>
      <c r="D5708" s="1">
        <v>253</v>
      </c>
      <c r="E5708" s="1">
        <v>1</v>
      </c>
      <c r="F5708" s="1">
        <v>78</v>
      </c>
      <c r="J5708" s="3">
        <v>0</v>
      </c>
      <c r="K5708" s="3">
        <v>1</v>
      </c>
    </row>
    <row r="5709" spans="1:61" x14ac:dyDescent="0.3">
      <c r="A5709" s="1" t="s">
        <v>71</v>
      </c>
      <c r="B5709" s="7">
        <v>40766</v>
      </c>
      <c r="C5709" s="1">
        <v>8.5</v>
      </c>
      <c r="D5709" s="1">
        <v>253</v>
      </c>
      <c r="E5709" s="1">
        <v>1</v>
      </c>
      <c r="F5709" s="1">
        <v>79</v>
      </c>
      <c r="J5709" s="1">
        <v>1</v>
      </c>
    </row>
    <row r="5710" spans="1:61" x14ac:dyDescent="0.3">
      <c r="A5710" s="1" t="s">
        <v>71</v>
      </c>
      <c r="B5710" s="7">
        <v>40766</v>
      </c>
      <c r="C5710" s="1">
        <v>8.5</v>
      </c>
      <c r="D5710" s="1">
        <v>253</v>
      </c>
      <c r="E5710" s="1">
        <v>1</v>
      </c>
      <c r="F5710" s="1">
        <v>80</v>
      </c>
      <c r="H5710" s="1">
        <v>1</v>
      </c>
    </row>
    <row r="5711" spans="1:61" x14ac:dyDescent="0.3">
      <c r="A5711" s="1" t="s">
        <v>71</v>
      </c>
      <c r="B5711" s="7">
        <v>40766</v>
      </c>
      <c r="C5711" s="1">
        <v>8.5</v>
      </c>
      <c r="D5711" s="1">
        <v>253</v>
      </c>
      <c r="E5711" s="1">
        <v>1</v>
      </c>
      <c r="F5711" s="1">
        <v>81</v>
      </c>
    </row>
    <row r="5712" spans="1:61" x14ac:dyDescent="0.3">
      <c r="A5712" s="1" t="s">
        <v>71</v>
      </c>
      <c r="B5712" s="7">
        <v>40766</v>
      </c>
      <c r="C5712" s="1">
        <v>8.5</v>
      </c>
      <c r="D5712" s="1">
        <v>253</v>
      </c>
      <c r="E5712" s="1">
        <v>1</v>
      </c>
      <c r="F5712" s="1">
        <v>82</v>
      </c>
      <c r="J5712" s="1">
        <v>1</v>
      </c>
      <c r="N5712" s="1">
        <v>1</v>
      </c>
    </row>
    <row r="5713" spans="1:65" x14ac:dyDescent="0.3">
      <c r="A5713" s="1" t="s">
        <v>71</v>
      </c>
      <c r="B5713" s="7">
        <v>40766</v>
      </c>
      <c r="C5713" s="1">
        <v>8.5</v>
      </c>
      <c r="D5713" s="1">
        <v>253</v>
      </c>
      <c r="E5713" s="1">
        <v>1</v>
      </c>
      <c r="F5713" s="1">
        <v>83</v>
      </c>
      <c r="J5713" s="1">
        <v>1</v>
      </c>
      <c r="L5713" s="1">
        <v>1</v>
      </c>
    </row>
    <row r="5714" spans="1:65" x14ac:dyDescent="0.3">
      <c r="A5714" s="1" t="s">
        <v>71</v>
      </c>
      <c r="B5714" s="7">
        <v>40766</v>
      </c>
      <c r="C5714" s="1">
        <v>8.5</v>
      </c>
      <c r="D5714" s="1">
        <v>253</v>
      </c>
      <c r="E5714" s="1">
        <v>1</v>
      </c>
      <c r="F5714" s="1">
        <v>84</v>
      </c>
      <c r="T5714" s="1">
        <v>1</v>
      </c>
    </row>
    <row r="5715" spans="1:65" x14ac:dyDescent="0.3">
      <c r="A5715" s="1" t="s">
        <v>71</v>
      </c>
      <c r="B5715" s="7">
        <v>40766</v>
      </c>
      <c r="C5715" s="1">
        <v>8.5</v>
      </c>
      <c r="D5715" s="1">
        <v>253</v>
      </c>
      <c r="E5715" s="1">
        <v>1</v>
      </c>
      <c r="F5715" s="1">
        <v>85</v>
      </c>
      <c r="H5715" s="1">
        <v>1</v>
      </c>
      <c r="N5715" s="1">
        <v>1</v>
      </c>
    </row>
    <row r="5716" spans="1:65" x14ac:dyDescent="0.3">
      <c r="A5716" s="1" t="s">
        <v>71</v>
      </c>
      <c r="B5716" s="7">
        <v>40766</v>
      </c>
      <c r="C5716" s="1">
        <v>8.5</v>
      </c>
      <c r="D5716" s="1">
        <v>253</v>
      </c>
      <c r="E5716" s="1">
        <v>1</v>
      </c>
      <c r="F5716" s="1">
        <v>86</v>
      </c>
      <c r="H5716" s="1">
        <v>1</v>
      </c>
    </row>
    <row r="5717" spans="1:65" x14ac:dyDescent="0.3">
      <c r="A5717" s="1" t="s">
        <v>71</v>
      </c>
      <c r="B5717" s="7">
        <v>40766</v>
      </c>
      <c r="C5717" s="1">
        <v>8.5</v>
      </c>
      <c r="D5717" s="1">
        <v>253</v>
      </c>
      <c r="E5717" s="1">
        <v>1</v>
      </c>
      <c r="F5717" s="1">
        <v>87</v>
      </c>
    </row>
    <row r="5718" spans="1:65" x14ac:dyDescent="0.3">
      <c r="A5718" s="1" t="s">
        <v>71</v>
      </c>
      <c r="B5718" s="7">
        <v>40766</v>
      </c>
      <c r="C5718" s="1">
        <v>8.5</v>
      </c>
      <c r="D5718" s="1">
        <v>253</v>
      </c>
      <c r="E5718" s="1">
        <v>1</v>
      </c>
      <c r="F5718" s="1">
        <v>88</v>
      </c>
      <c r="J5718" s="1">
        <v>1</v>
      </c>
    </row>
    <row r="5719" spans="1:65" x14ac:dyDescent="0.3">
      <c r="A5719" s="1" t="s">
        <v>71</v>
      </c>
      <c r="B5719" s="7">
        <v>40766</v>
      </c>
      <c r="C5719" s="1">
        <v>8.5</v>
      </c>
      <c r="D5719" s="1">
        <v>253</v>
      </c>
      <c r="E5719" s="1">
        <v>1</v>
      </c>
      <c r="F5719" s="1">
        <v>89</v>
      </c>
      <c r="I5719" s="1">
        <v>1</v>
      </c>
    </row>
    <row r="5720" spans="1:65" x14ac:dyDescent="0.3">
      <c r="A5720" s="1" t="s">
        <v>71</v>
      </c>
      <c r="B5720" s="7">
        <v>40766</v>
      </c>
      <c r="C5720" s="1">
        <v>8.5</v>
      </c>
      <c r="D5720" s="1">
        <v>253</v>
      </c>
      <c r="E5720" s="1">
        <v>1</v>
      </c>
      <c r="F5720" s="1">
        <v>90</v>
      </c>
      <c r="I5720" s="1">
        <v>1</v>
      </c>
    </row>
    <row r="5721" spans="1:65" x14ac:dyDescent="0.3">
      <c r="A5721" s="1" t="s">
        <v>71</v>
      </c>
      <c r="B5721" s="7">
        <v>40766</v>
      </c>
      <c r="C5721" s="1">
        <v>8.5</v>
      </c>
      <c r="D5721" s="1">
        <v>253</v>
      </c>
      <c r="E5721" s="1">
        <v>1</v>
      </c>
      <c r="F5721" s="1">
        <v>91</v>
      </c>
      <c r="N5721" s="1">
        <v>1</v>
      </c>
    </row>
    <row r="5722" spans="1:65" x14ac:dyDescent="0.3">
      <c r="A5722" s="1" t="s">
        <v>71</v>
      </c>
      <c r="B5722" s="7">
        <v>40766</v>
      </c>
      <c r="C5722" s="1">
        <v>8.5</v>
      </c>
      <c r="D5722" s="1">
        <v>253</v>
      </c>
      <c r="E5722" s="1">
        <v>1</v>
      </c>
      <c r="F5722" s="1">
        <v>92</v>
      </c>
      <c r="J5722" s="3">
        <v>0</v>
      </c>
      <c r="K5722" s="3">
        <v>1</v>
      </c>
      <c r="L5722" s="1">
        <v>1</v>
      </c>
    </row>
    <row r="5723" spans="1:65" x14ac:dyDescent="0.3">
      <c r="A5723" s="1" t="s">
        <v>71</v>
      </c>
      <c r="B5723" s="7">
        <v>40766</v>
      </c>
      <c r="C5723" s="1">
        <v>8.5</v>
      </c>
      <c r="D5723" s="1">
        <v>253</v>
      </c>
      <c r="E5723" s="1">
        <v>1</v>
      </c>
      <c r="F5723" s="1">
        <v>93</v>
      </c>
      <c r="I5723" s="1">
        <v>1</v>
      </c>
      <c r="T5723" s="1">
        <v>1</v>
      </c>
    </row>
    <row r="5724" spans="1:65" x14ac:dyDescent="0.3">
      <c r="A5724" s="1" t="s">
        <v>71</v>
      </c>
      <c r="B5724" s="7">
        <v>40766</v>
      </c>
      <c r="C5724" s="1">
        <v>8.5</v>
      </c>
      <c r="D5724" s="1">
        <v>253</v>
      </c>
      <c r="E5724" s="1">
        <v>1</v>
      </c>
      <c r="F5724" s="1">
        <v>94</v>
      </c>
      <c r="H5724" s="1">
        <v>1</v>
      </c>
      <c r="L5724" s="1">
        <v>1</v>
      </c>
    </row>
    <row r="5725" spans="1:65" x14ac:dyDescent="0.3">
      <c r="A5725" s="1" t="s">
        <v>71</v>
      </c>
      <c r="B5725" s="7">
        <v>40766</v>
      </c>
      <c r="C5725" s="1">
        <v>8.5</v>
      </c>
      <c r="D5725" s="1">
        <v>253</v>
      </c>
      <c r="E5725" s="1">
        <v>1</v>
      </c>
      <c r="F5725" s="1">
        <v>95</v>
      </c>
      <c r="H5725" s="1">
        <v>1</v>
      </c>
      <c r="T5725" s="1">
        <v>1</v>
      </c>
    </row>
    <row r="5726" spans="1:65" x14ac:dyDescent="0.3">
      <c r="A5726" s="1" t="s">
        <v>71</v>
      </c>
      <c r="B5726" s="7">
        <v>40766</v>
      </c>
      <c r="C5726" s="1">
        <v>8.5</v>
      </c>
      <c r="D5726" s="1">
        <v>253</v>
      </c>
      <c r="E5726" s="1">
        <v>1</v>
      </c>
      <c r="F5726" s="1">
        <v>96</v>
      </c>
      <c r="T5726" s="1">
        <v>1</v>
      </c>
      <c r="BM5726" s="1">
        <v>1</v>
      </c>
    </row>
    <row r="5727" spans="1:65" x14ac:dyDescent="0.3">
      <c r="A5727" s="1" t="s">
        <v>71</v>
      </c>
      <c r="B5727" s="7">
        <v>40766</v>
      </c>
      <c r="C5727" s="1">
        <v>8.5</v>
      </c>
      <c r="D5727" s="1">
        <v>253</v>
      </c>
      <c r="E5727" s="1">
        <v>1</v>
      </c>
      <c r="F5727" s="1">
        <v>97</v>
      </c>
      <c r="H5727" s="1">
        <v>1</v>
      </c>
      <c r="J5727" s="1">
        <v>1</v>
      </c>
    </row>
    <row r="5728" spans="1:65" x14ac:dyDescent="0.3">
      <c r="A5728" s="1" t="s">
        <v>71</v>
      </c>
      <c r="B5728" s="7">
        <v>40766</v>
      </c>
      <c r="C5728" s="1">
        <v>8.5</v>
      </c>
      <c r="D5728" s="1">
        <v>253</v>
      </c>
      <c r="E5728" s="1">
        <v>1</v>
      </c>
      <c r="F5728" s="1">
        <v>98</v>
      </c>
      <c r="J5728" s="3">
        <v>0</v>
      </c>
      <c r="K5728" s="3">
        <v>1</v>
      </c>
    </row>
    <row r="5729" spans="1:90" x14ac:dyDescent="0.3">
      <c r="A5729" s="1" t="s">
        <v>71</v>
      </c>
      <c r="B5729" s="7">
        <v>40766</v>
      </c>
      <c r="C5729" s="1">
        <v>8.5</v>
      </c>
      <c r="D5729" s="1">
        <v>253</v>
      </c>
      <c r="E5729" s="1">
        <v>1</v>
      </c>
      <c r="F5729" s="1">
        <v>99</v>
      </c>
      <c r="L5729" s="1">
        <v>1</v>
      </c>
    </row>
    <row r="5730" spans="1:90" x14ac:dyDescent="0.3">
      <c r="A5730" s="1" t="s">
        <v>71</v>
      </c>
      <c r="B5730" s="7">
        <v>40766</v>
      </c>
      <c r="C5730" s="1">
        <v>8.5</v>
      </c>
      <c r="D5730" s="1">
        <v>253</v>
      </c>
      <c r="E5730" s="1">
        <v>1</v>
      </c>
      <c r="F5730" s="1">
        <v>100</v>
      </c>
      <c r="I5730" s="1">
        <v>1</v>
      </c>
    </row>
    <row r="5731" spans="1:90" s="12" customFormat="1" x14ac:dyDescent="0.3">
      <c r="A5731" s="14" t="s">
        <v>71</v>
      </c>
      <c r="B5731" s="13"/>
      <c r="G5731" s="12">
        <f>SUM(G5531:G5730)</f>
        <v>3</v>
      </c>
      <c r="H5731" s="12">
        <f t="shared" ref="H5731" si="2189">SUM(H5531:H5730)</f>
        <v>31</v>
      </c>
      <c r="I5731" s="12">
        <f t="shared" ref="I5731" si="2190">SUM(I5531:I5730)</f>
        <v>41</v>
      </c>
      <c r="J5731" s="12">
        <f t="shared" ref="J5731" si="2191">SUM(J5531:J5730)</f>
        <v>41</v>
      </c>
      <c r="K5731" s="12">
        <f t="shared" ref="K5731" si="2192">SUM(K5531:K5730)</f>
        <v>15</v>
      </c>
      <c r="L5731" s="12">
        <f t="shared" ref="L5731" si="2193">SUM(L5531:L5730)</f>
        <v>24</v>
      </c>
      <c r="M5731" s="12">
        <f t="shared" ref="M5731" si="2194">SUM(M5531:M5730)</f>
        <v>0</v>
      </c>
      <c r="N5731" s="12">
        <f t="shared" ref="N5731" si="2195">SUM(N5531:N5730)</f>
        <v>9</v>
      </c>
      <c r="O5731" s="12">
        <f t="shared" ref="O5731" si="2196">SUM(O5531:O5730)</f>
        <v>0</v>
      </c>
      <c r="P5731" s="12">
        <f t="shared" ref="P5731" si="2197">SUM(P5531:P5730)</f>
        <v>0</v>
      </c>
      <c r="Q5731" s="12">
        <f t="shared" ref="Q5731" si="2198">SUM(Q5531:Q5730)</f>
        <v>0</v>
      </c>
      <c r="R5731" s="12">
        <f t="shared" ref="R5731" si="2199">SUM(R5531:R5730)</f>
        <v>23</v>
      </c>
      <c r="S5731" s="12">
        <f t="shared" ref="S5731" si="2200">SUM(S5531:S5730)</f>
        <v>15</v>
      </c>
      <c r="T5731" s="12">
        <f t="shared" ref="T5731" si="2201">SUM(T5531:T5730)</f>
        <v>49</v>
      </c>
      <c r="U5731" s="12">
        <f t="shared" ref="U5731" si="2202">SUM(U5531:U5730)</f>
        <v>0</v>
      </c>
      <c r="V5731" s="12">
        <f t="shared" ref="V5731" si="2203">SUM(V5531:V5730)</f>
        <v>3</v>
      </c>
      <c r="W5731" s="12">
        <f t="shared" ref="W5731" si="2204">SUM(W5531:W5730)</f>
        <v>0</v>
      </c>
      <c r="X5731" s="12">
        <f t="shared" ref="X5731" si="2205">SUM(X5531:X5730)</f>
        <v>0</v>
      </c>
      <c r="Y5731" s="12">
        <f t="shared" ref="Y5731" si="2206">SUM(Y5531:Y5730)</f>
        <v>0</v>
      </c>
      <c r="Z5731" s="12">
        <f t="shared" ref="Z5731" si="2207">SUM(Z5531:Z5730)</f>
        <v>0</v>
      </c>
      <c r="AA5731" s="12">
        <f t="shared" ref="AA5731" si="2208">SUM(AA5531:AA5730)</f>
        <v>0</v>
      </c>
      <c r="AB5731" s="12">
        <f t="shared" ref="AB5731" si="2209">SUM(AB5531:AB5730)</f>
        <v>0</v>
      </c>
      <c r="AC5731" s="12">
        <f t="shared" ref="AC5731" si="2210">SUM(AC5531:AC5730)</f>
        <v>0</v>
      </c>
      <c r="AD5731" s="12">
        <f t="shared" ref="AD5731" si="2211">SUM(AD5531:AD5730)</f>
        <v>0</v>
      </c>
      <c r="AE5731" s="12">
        <f t="shared" ref="AE5731" si="2212">SUM(AE5531:AE5730)</f>
        <v>0</v>
      </c>
      <c r="AF5731" s="12">
        <f t="shared" ref="AF5731" si="2213">SUM(AF5531:AF5730)</f>
        <v>1</v>
      </c>
      <c r="AG5731" s="12">
        <f t="shared" ref="AG5731" si="2214">SUM(AG5531:AG5730)</f>
        <v>0</v>
      </c>
      <c r="AH5731" s="12">
        <f t="shared" ref="AH5731" si="2215">SUM(AH5531:AH5730)</f>
        <v>0</v>
      </c>
      <c r="AI5731" s="12">
        <f t="shared" ref="AI5731" si="2216">SUM(AI5531:AI5730)</f>
        <v>3</v>
      </c>
      <c r="AJ5731" s="12">
        <f t="shared" ref="AJ5731" si="2217">SUM(AJ5531:AJ5730)</f>
        <v>0</v>
      </c>
      <c r="AK5731" s="12">
        <f t="shared" ref="AK5731" si="2218">SUM(AK5531:AK5730)</f>
        <v>0</v>
      </c>
      <c r="AL5731" s="12">
        <f t="shared" ref="AL5731" si="2219">SUM(AL5531:AL5730)</f>
        <v>0</v>
      </c>
      <c r="AM5731" s="12">
        <f t="shared" ref="AM5731" si="2220">SUM(AM5531:AM5730)</f>
        <v>0</v>
      </c>
      <c r="AN5731" s="12">
        <f t="shared" ref="AN5731" si="2221">SUM(AN5531:AN5730)</f>
        <v>0</v>
      </c>
      <c r="AO5731" s="12">
        <f t="shared" ref="AO5731" si="2222">SUM(AO5531:AO5730)</f>
        <v>0</v>
      </c>
      <c r="AP5731" s="12">
        <f t="shared" ref="AP5731" si="2223">SUM(AP5531:AP5730)</f>
        <v>0</v>
      </c>
      <c r="AQ5731" s="12">
        <f t="shared" ref="AQ5731" si="2224">SUM(AQ5531:AQ5730)</f>
        <v>0</v>
      </c>
      <c r="AR5731" s="12">
        <f t="shared" ref="AR5731" si="2225">SUM(AR5531:AR5730)</f>
        <v>0</v>
      </c>
      <c r="AS5731" s="12">
        <f t="shared" ref="AS5731" si="2226">SUM(AS5531:AS5730)</f>
        <v>1</v>
      </c>
      <c r="AT5731" s="12">
        <f t="shared" ref="AT5731" si="2227">SUM(AT5531:AT5730)</f>
        <v>0</v>
      </c>
      <c r="AU5731" s="12">
        <f t="shared" ref="AU5731" si="2228">SUM(AU5531:AU5730)</f>
        <v>0</v>
      </c>
      <c r="AV5731" s="12">
        <f t="shared" ref="AV5731" si="2229">SUM(AV5531:AV5730)</f>
        <v>0</v>
      </c>
      <c r="AW5731" s="12">
        <f t="shared" ref="AW5731" si="2230">SUM(AW5531:AW5730)</f>
        <v>0</v>
      </c>
      <c r="AX5731" s="12">
        <f t="shared" ref="AX5731" si="2231">SUM(AX5531:AX5730)</f>
        <v>0</v>
      </c>
      <c r="AY5731" s="12">
        <f t="shared" ref="AY5731" si="2232">SUM(AY5531:AY5730)</f>
        <v>0</v>
      </c>
      <c r="AZ5731" s="12">
        <f t="shared" ref="AZ5731" si="2233">SUM(AZ5531:AZ5730)</f>
        <v>0</v>
      </c>
      <c r="BA5731" s="12">
        <f t="shared" ref="BA5731" si="2234">SUM(BA5531:BA5730)</f>
        <v>3</v>
      </c>
      <c r="BB5731" s="12">
        <f t="shared" ref="BB5731" si="2235">SUM(BB5531:BB5730)</f>
        <v>0</v>
      </c>
      <c r="BC5731" s="12">
        <f t="shared" ref="BC5731" si="2236">SUM(BC5531:BC5730)</f>
        <v>0</v>
      </c>
      <c r="BD5731" s="12">
        <f t="shared" ref="BD5731" si="2237">SUM(BD5531:BD5730)</f>
        <v>0</v>
      </c>
      <c r="BE5731" s="12">
        <f t="shared" ref="BE5731" si="2238">SUM(BE5531:BE5730)</f>
        <v>0</v>
      </c>
      <c r="BF5731" s="12">
        <f t="shared" ref="BF5731" si="2239">SUM(BF5531:BF5730)</f>
        <v>0</v>
      </c>
      <c r="BG5731" s="12">
        <f t="shared" ref="BG5731" si="2240">SUM(BG5531:BG5730)</f>
        <v>0</v>
      </c>
      <c r="BH5731" s="12">
        <f t="shared" ref="BH5731" si="2241">SUM(BH5531:BH5730)</f>
        <v>0</v>
      </c>
      <c r="BI5731" s="12">
        <f t="shared" ref="BI5731" si="2242">SUM(BI5531:BI5730)</f>
        <v>3</v>
      </c>
      <c r="BJ5731" s="12">
        <f t="shared" ref="BJ5731" si="2243">SUM(BJ5531:BJ5730)</f>
        <v>0</v>
      </c>
      <c r="BK5731" s="12">
        <f t="shared" ref="BK5731" si="2244">SUM(BK5531:BK5730)</f>
        <v>0</v>
      </c>
      <c r="BL5731" s="12">
        <f t="shared" ref="BL5731" si="2245">SUM(BL5531:BL5730)</f>
        <v>0</v>
      </c>
      <c r="BM5731" s="12">
        <f t="shared" ref="BM5731" si="2246">SUM(BM5531:BM5730)</f>
        <v>2</v>
      </c>
      <c r="BN5731" s="12">
        <f t="shared" ref="BN5731" si="2247">SUM(BN5531:BN5730)</f>
        <v>0</v>
      </c>
      <c r="BO5731" s="12">
        <f t="shared" ref="BO5731" si="2248">SUM(BO5531:BO5730)</f>
        <v>0</v>
      </c>
      <c r="BP5731" s="12">
        <f t="shared" ref="BP5731" si="2249">SUM(BP5531:BP5730)</f>
        <v>0</v>
      </c>
      <c r="BQ5731" s="12">
        <f t="shared" ref="BQ5731" si="2250">SUM(BQ5531:BQ5730)</f>
        <v>0</v>
      </c>
      <c r="BR5731" s="12">
        <f t="shared" ref="BR5731" si="2251">SUM(BR5531:BR5730)</f>
        <v>0</v>
      </c>
      <c r="BS5731" s="12">
        <f t="shared" ref="BS5731" si="2252">SUM(BS5531:BS5730)</f>
        <v>0</v>
      </c>
      <c r="BT5731" s="12">
        <f t="shared" ref="BT5731" si="2253">SUM(BT5531:BT5730)</f>
        <v>0</v>
      </c>
      <c r="BU5731" s="12">
        <f t="shared" ref="BU5731" si="2254">SUM(BU5531:BU5730)</f>
        <v>0</v>
      </c>
      <c r="BV5731" s="12">
        <f t="shared" ref="BV5731" si="2255">SUM(BV5531:BV5730)</f>
        <v>0</v>
      </c>
      <c r="BW5731" s="12">
        <f t="shared" ref="BW5731" si="2256">SUM(BW5531:BW5730)</f>
        <v>0</v>
      </c>
      <c r="BX5731" s="12">
        <f t="shared" ref="BX5731" si="2257">SUM(BX5531:BX5730)</f>
        <v>0</v>
      </c>
      <c r="BY5731" s="12">
        <f t="shared" ref="BY5731" si="2258">SUM(BY5531:BY5730)</f>
        <v>0</v>
      </c>
      <c r="BZ5731" s="12">
        <f t="shared" ref="BZ5731" si="2259">SUM(BZ5531:BZ5730)</f>
        <v>0</v>
      </c>
      <c r="CA5731" s="12">
        <f t="shared" ref="CA5731" si="2260">SUM(CA5531:CA5730)</f>
        <v>0</v>
      </c>
      <c r="CB5731" s="12">
        <f t="shared" ref="CB5731" si="2261">SUM(CB5531:CB5730)</f>
        <v>0</v>
      </c>
      <c r="CC5731" s="12">
        <f t="shared" ref="CC5731" si="2262">SUM(CC5531:CC5730)</f>
        <v>0</v>
      </c>
      <c r="CD5731" s="12">
        <f t="shared" ref="CD5731" si="2263">SUM(CD5531:CD5730)</f>
        <v>0</v>
      </c>
      <c r="CE5731" s="12">
        <f t="shared" ref="CE5731" si="2264">SUM(CE5531:CE5730)</f>
        <v>0</v>
      </c>
      <c r="CF5731" s="12">
        <f t="shared" ref="CF5731" si="2265">SUM(CF5531:CF5730)</f>
        <v>0</v>
      </c>
      <c r="CG5731" s="12">
        <f t="shared" ref="CG5731" si="2266">SUM(CG5531:CG5730)</f>
        <v>0</v>
      </c>
      <c r="CH5731" s="12">
        <f t="shared" ref="CH5731" si="2267">SUM(CH5531:CH5730)</f>
        <v>0</v>
      </c>
      <c r="CI5731" s="12">
        <f t="shared" ref="CI5731" si="2268">SUM(CI5531:CI5730)</f>
        <v>0</v>
      </c>
      <c r="CJ5731" s="12">
        <f t="shared" ref="CJ5731" si="2269">SUM(CJ5531:CJ5730)</f>
        <v>0</v>
      </c>
      <c r="CK5731" s="12">
        <f t="shared" ref="CK5731" si="2270">SUM(CK5531:CK5730)</f>
        <v>0</v>
      </c>
      <c r="CL5731" s="12">
        <f t="shared" ref="CL5731" si="2271">SUM(CL5531:CL5730)</f>
        <v>0</v>
      </c>
    </row>
  </sheetData>
  <autoFilter ref="A1:A5731" xr:uid="{00000000-0001-0000-0300-000000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haypiles_ORIGINAL</vt:lpstr>
      <vt:lpstr>point_intercept_ORIGINAL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</dc:creator>
  <cp:lastModifiedBy>Isabel C Barrio - LBHI</cp:lastModifiedBy>
  <dcterms:created xsi:type="dcterms:W3CDTF">2015-09-23T09:05:14Z</dcterms:created>
  <dcterms:modified xsi:type="dcterms:W3CDTF">2026-06-14T21:55:06Z</dcterms:modified>
</cp:coreProperties>
</file>